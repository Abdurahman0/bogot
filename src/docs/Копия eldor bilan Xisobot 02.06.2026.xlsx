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mc:AlternateContent xmlns:mc="http://schemas.openxmlformats.org/markup-compatibility/2006">
    <mc:Choice Requires="x15">
      <x15ac:absPath xmlns:x15ac="http://schemas.microsoft.com/office/spreadsheetml/2010/11/ac" url="C:\Users\ACS\Desktop\"/>
    </mc:Choice>
  </mc:AlternateContent>
  <bookViews>
    <workbookView xWindow="-108" yWindow="-108" windowWidth="19416" windowHeight="9048" tabRatio="551" firstSheet="10" activeTab="14"/>
  </bookViews>
  <sheets>
    <sheet name="Лист3" sheetId="3" state="hidden" r:id="rId1"/>
    <sheet name="Qoraqalpoq " sheetId="15" state="hidden" r:id="rId2"/>
    <sheet name="QAraqalpoq Jonibek og`a " sheetId="16" state="hidden" r:id="rId3"/>
    <sheet name="МХК" sheetId="5" r:id="rId4"/>
    <sheet name="Списка фирма" sheetId="4" r:id="rId5"/>
    <sheet name="Лист6" sheetId="38" state="hidden" r:id="rId6"/>
    <sheet name="с" sheetId="32" r:id="rId7"/>
    <sheet name="сомпютер " sheetId="12" state="hidden" r:id="rId8"/>
    <sheet name="Лист1" sheetId="17" state="hidden" r:id="rId9"/>
    <sheet name="Qarzdorlar " sheetId="19" state="hidden" r:id="rId10"/>
    <sheet name="панел" sheetId="39" r:id="rId11"/>
    <sheet name="Остатка" sheetId="41" r:id="rId12"/>
    <sheet name="Лист7" sheetId="42" r:id="rId13"/>
    <sheet name="Лист2" sheetId="43" r:id="rId14"/>
    <sheet name="Касса" sheetId="44" r:id="rId15"/>
    <sheet name="Лист8" sheetId="50" r:id="rId16"/>
    <sheet name="Смарт" sheetId="46" r:id="rId17"/>
    <sheet name="Лист4" sheetId="47" r:id="rId18"/>
    <sheet name="Лист5" sheetId="48" r:id="rId19"/>
    <sheet name="Rasulbek Xisob kitob " sheetId="49" r:id="rId20"/>
  </sheets>
  <definedNames>
    <definedName name="_xlnm._FilterDatabase" localSheetId="1" hidden="1">'Qoraqalpoq '!$A$2:$J$84</definedName>
    <definedName name="_xlnm._FilterDatabase" localSheetId="0" hidden="1">Лист3!$A$3:$N$615</definedName>
    <definedName name="_xlnm._FilterDatabase" localSheetId="6" hidden="1">с!$A$24:$O$31</definedName>
    <definedName name="_xlnm._FilterDatabase" localSheetId="4" hidden="1">'Списка фирма'!$A$1:$AM$92</definedName>
  </definedNames>
  <calcPr calcId="162913"/>
</workbook>
</file>

<file path=xl/calcChain.xml><?xml version="1.0" encoding="utf-8"?>
<calcChain xmlns="http://schemas.openxmlformats.org/spreadsheetml/2006/main">
  <c r="V7499" i="44" l="1"/>
  <c r="T7499" i="44"/>
  <c r="T7505" i="44" s="1"/>
  <c r="J7508" i="44" s="1"/>
  <c r="R7499" i="44"/>
  <c r="P7499" i="44"/>
  <c r="P7505" i="44" s="1"/>
  <c r="J7509" i="44" s="1"/>
  <c r="N7499" i="44"/>
  <c r="L7499" i="44"/>
  <c r="J7499" i="44"/>
  <c r="J7449" i="44"/>
  <c r="V7464" i="44"/>
  <c r="T7464" i="44"/>
  <c r="R7464" i="44"/>
  <c r="P7464" i="44"/>
  <c r="P7470" i="44" s="1"/>
  <c r="J7474" i="44" s="1"/>
  <c r="N7464" i="44"/>
  <c r="L7464" i="44"/>
  <c r="J7464" i="44"/>
  <c r="L7412" i="44"/>
  <c r="J7506" i="44" l="1"/>
  <c r="J7507" i="44" s="1"/>
  <c r="T7470" i="44"/>
  <c r="J7473" i="44" s="1"/>
  <c r="J7471" i="44"/>
  <c r="J7472" i="44" s="1"/>
  <c r="V7429" i="44" l="1"/>
  <c r="T7429" i="44"/>
  <c r="T7435" i="44" s="1"/>
  <c r="J7438" i="44" s="1"/>
  <c r="R7429" i="44"/>
  <c r="P7429" i="44"/>
  <c r="P7435" i="44" s="1"/>
  <c r="J7439" i="44" s="1"/>
  <c r="N7429" i="44"/>
  <c r="L7429" i="44"/>
  <c r="J7429" i="44"/>
  <c r="J7436" i="44" l="1"/>
  <c r="J7437" i="44" s="1"/>
  <c r="J7379" i="44"/>
  <c r="J7376" i="44" l="1"/>
  <c r="V7393" i="44"/>
  <c r="T7393" i="44"/>
  <c r="T7399" i="44" s="1"/>
  <c r="J7402" i="44" s="1"/>
  <c r="R7393" i="44"/>
  <c r="P7393" i="44"/>
  <c r="N7393" i="44"/>
  <c r="L7393" i="44"/>
  <c r="J7393" i="44"/>
  <c r="V7358" i="44"/>
  <c r="T7358" i="44"/>
  <c r="T7364" i="44" s="1"/>
  <c r="J7367" i="44" s="1"/>
  <c r="R7358" i="44"/>
  <c r="P7358" i="44"/>
  <c r="P7364" i="44" s="1"/>
  <c r="J7368" i="44" s="1"/>
  <c r="N7358" i="44"/>
  <c r="L7358" i="44"/>
  <c r="J7358" i="44"/>
  <c r="J7400" i="44" l="1"/>
  <c r="J7401" i="44" s="1"/>
  <c r="P7399" i="44"/>
  <c r="J7403" i="44" s="1"/>
  <c r="J7365" i="44"/>
  <c r="J7366" i="44" s="1"/>
  <c r="C160" i="49" l="1"/>
  <c r="C161" i="49"/>
  <c r="C162" i="49"/>
  <c r="C163" i="49"/>
  <c r="C164" i="49"/>
  <c r="C165" i="49"/>
  <c r="C166" i="49"/>
  <c r="J7310" i="44"/>
  <c r="V7323" i="44"/>
  <c r="T7323" i="44"/>
  <c r="T7329" i="44" s="1"/>
  <c r="J7332" i="44" s="1"/>
  <c r="R7323" i="44"/>
  <c r="P7323" i="44"/>
  <c r="P7329" i="44" s="1"/>
  <c r="J7333" i="44" s="1"/>
  <c r="N7323" i="44"/>
  <c r="J7323" i="44"/>
  <c r="L7323" i="44"/>
  <c r="J7278" i="44"/>
  <c r="J7274" i="44"/>
  <c r="L7273" i="44"/>
  <c r="V7288" i="44"/>
  <c r="T7288" i="44"/>
  <c r="T7294" i="44" s="1"/>
  <c r="J7297" i="44" s="1"/>
  <c r="R7288" i="44"/>
  <c r="P7288" i="44"/>
  <c r="P7294" i="44" s="1"/>
  <c r="J7298" i="44" s="1"/>
  <c r="N7288" i="44"/>
  <c r="L7288" i="44"/>
  <c r="J7288" i="44"/>
  <c r="J7229" i="44"/>
  <c r="J7248" i="44" s="1"/>
  <c r="V7248" i="44"/>
  <c r="T7248" i="44"/>
  <c r="T7254" i="44" s="1"/>
  <c r="J7257" i="44" s="1"/>
  <c r="R7248" i="44"/>
  <c r="P7248" i="44"/>
  <c r="P7254" i="44" s="1"/>
  <c r="J7258" i="44" s="1"/>
  <c r="N7248" i="44"/>
  <c r="L7248" i="44"/>
  <c r="J7330" i="44" l="1"/>
  <c r="J7331" i="44" s="1"/>
  <c r="J7295" i="44"/>
  <c r="J7296" i="44" s="1"/>
  <c r="J7255" i="44"/>
  <c r="J7256" i="44" s="1"/>
  <c r="L7201" i="44" l="1"/>
  <c r="L7196" i="44"/>
  <c r="V7212" i="44"/>
  <c r="T7212" i="44"/>
  <c r="T7218" i="44" s="1"/>
  <c r="J7221" i="44" s="1"/>
  <c r="R7212" i="44"/>
  <c r="P7212" i="44"/>
  <c r="P7218" i="44" s="1"/>
  <c r="J7222" i="44" s="1"/>
  <c r="N7212" i="44"/>
  <c r="L7212" i="44"/>
  <c r="J7212" i="44"/>
  <c r="J7219" i="44" l="1"/>
  <c r="J7220" i="44" s="1"/>
  <c r="V7175" i="44" l="1"/>
  <c r="T7175" i="44"/>
  <c r="T7181" i="44" s="1"/>
  <c r="J7184" i="44" s="1"/>
  <c r="R7175" i="44"/>
  <c r="P7175" i="44"/>
  <c r="P7181" i="44" s="1"/>
  <c r="J7185" i="44" s="1"/>
  <c r="N7175" i="44"/>
  <c r="L7175" i="44"/>
  <c r="J7175" i="44"/>
  <c r="J7121" i="44"/>
  <c r="J7138" i="44" s="1"/>
  <c r="V7138" i="44"/>
  <c r="T7138" i="44"/>
  <c r="R7138" i="44"/>
  <c r="P7138" i="44"/>
  <c r="P7144" i="44" s="1"/>
  <c r="J7148" i="44" s="1"/>
  <c r="N7138" i="44"/>
  <c r="L7138" i="44"/>
  <c r="J7085" i="44"/>
  <c r="J7182" i="44" l="1"/>
  <c r="J7183" i="44" s="1"/>
  <c r="T7144" i="44"/>
  <c r="J7147" i="44" s="1"/>
  <c r="J7145" i="44"/>
  <c r="J7146" i="44" s="1"/>
  <c r="V7103" i="44"/>
  <c r="T7103" i="44"/>
  <c r="T7109" i="44" s="1"/>
  <c r="J7112" i="44" s="1"/>
  <c r="R7103" i="44"/>
  <c r="P7103" i="44"/>
  <c r="P7109" i="44" s="1"/>
  <c r="J7113" i="44" s="1"/>
  <c r="N7103" i="44"/>
  <c r="L7103" i="44"/>
  <c r="J7103" i="44"/>
  <c r="N7048" i="44"/>
  <c r="N7067" i="44" s="1"/>
  <c r="V7067" i="44"/>
  <c r="T7067" i="44"/>
  <c r="T7073" i="44" s="1"/>
  <c r="J7076" i="44" s="1"/>
  <c r="R7067" i="44"/>
  <c r="P7067" i="44"/>
  <c r="P7073" i="44" s="1"/>
  <c r="J7077" i="44" s="1"/>
  <c r="L7067" i="44"/>
  <c r="J7067" i="44"/>
  <c r="J7027" i="44"/>
  <c r="J7019" i="44"/>
  <c r="J7018" i="44"/>
  <c r="J7110" i="44" l="1"/>
  <c r="J7111" i="44" s="1"/>
  <c r="J7074" i="44"/>
  <c r="J7075" i="44" s="1"/>
  <c r="J7016" i="44" l="1"/>
  <c r="J7015" i="44"/>
  <c r="V7031" i="44"/>
  <c r="T7031" i="44"/>
  <c r="T7037" i="44" s="1"/>
  <c r="J7040" i="44" s="1"/>
  <c r="R7031" i="44"/>
  <c r="P7031" i="44"/>
  <c r="P7037" i="44" s="1"/>
  <c r="J7041" i="44" s="1"/>
  <c r="N7031" i="44"/>
  <c r="L7031" i="44"/>
  <c r="J7031" i="44"/>
  <c r="J6991" i="44"/>
  <c r="J6990" i="44"/>
  <c r="J6987" i="44"/>
  <c r="J6986" i="44"/>
  <c r="J6985" i="44"/>
  <c r="J6981" i="44"/>
  <c r="J6977" i="44"/>
  <c r="N6976" i="44"/>
  <c r="N6995" i="44" s="1"/>
  <c r="V6995" i="44"/>
  <c r="T6995" i="44"/>
  <c r="T7001" i="44" s="1"/>
  <c r="J7004" i="44" s="1"/>
  <c r="R6995" i="44"/>
  <c r="P6995" i="44"/>
  <c r="P7001" i="44" s="1"/>
  <c r="J7005" i="44" s="1"/>
  <c r="L6995" i="44"/>
  <c r="J6946" i="44"/>
  <c r="J6945" i="44"/>
  <c r="C148" i="49"/>
  <c r="C149" i="49"/>
  <c r="C150" i="49"/>
  <c r="C151" i="49"/>
  <c r="C153" i="49"/>
  <c r="C154" i="49"/>
  <c r="C155" i="49"/>
  <c r="C156" i="49"/>
  <c r="C157" i="49"/>
  <c r="C158" i="49"/>
  <c r="C159" i="49"/>
  <c r="C167" i="49"/>
  <c r="C168" i="49"/>
  <c r="P6967" i="44"/>
  <c r="J6971" i="44" s="1"/>
  <c r="V6961" i="44"/>
  <c r="T6961" i="44"/>
  <c r="T6967" i="44" s="1"/>
  <c r="J6970" i="44" s="1"/>
  <c r="R6961" i="44"/>
  <c r="P6961" i="44"/>
  <c r="N6961" i="44"/>
  <c r="L6961" i="44"/>
  <c r="J6961" i="44"/>
  <c r="J7038" i="44" l="1"/>
  <c r="J7039" i="44" s="1"/>
  <c r="J6995" i="44"/>
  <c r="J7002" i="44" s="1"/>
  <c r="J7003" i="44" s="1"/>
  <c r="J6968" i="44"/>
  <c r="J6969" i="44" s="1"/>
  <c r="L6913" i="44" l="1"/>
  <c r="L6924" i="44"/>
  <c r="L6910" i="44"/>
  <c r="J6912" i="44"/>
  <c r="J6911" i="44"/>
  <c r="J6910" i="44"/>
  <c r="J6909" i="44"/>
  <c r="V6924" i="44"/>
  <c r="T6924" i="44"/>
  <c r="T6930" i="44"/>
  <c r="J6933" i="44"/>
  <c r="R6924" i="44"/>
  <c r="P6924" i="44"/>
  <c r="P6930" i="44"/>
  <c r="J6934" i="44"/>
  <c r="N6924" i="44"/>
  <c r="J6924" i="44"/>
  <c r="J6931" i="44"/>
  <c r="J6932" i="44"/>
  <c r="V6888" i="44"/>
  <c r="T6888" i="44"/>
  <c r="R6888" i="44"/>
  <c r="P6894" i="44"/>
  <c r="J6898" i="44"/>
  <c r="P6888" i="44"/>
  <c r="N6888" i="44"/>
  <c r="L6888" i="44"/>
  <c r="J6888" i="44"/>
  <c r="J6838" i="44"/>
  <c r="J6833" i="44"/>
  <c r="J6832" i="44"/>
  <c r="J6831" i="44"/>
  <c r="V6850" i="44"/>
  <c r="T6850" i="44"/>
  <c r="R6850" i="44"/>
  <c r="P6850" i="44"/>
  <c r="P6856" i="44"/>
  <c r="J6860" i="44"/>
  <c r="N6850" i="44"/>
  <c r="L6850" i="44"/>
  <c r="J6803" i="44"/>
  <c r="J6802" i="44"/>
  <c r="J6801" i="44"/>
  <c r="J6800" i="44"/>
  <c r="J6799" i="44"/>
  <c r="J6798" i="44"/>
  <c r="J6797" i="44"/>
  <c r="J6895" i="44"/>
  <c r="J6896" i="44"/>
  <c r="T6894" i="44"/>
  <c r="J6897" i="44"/>
  <c r="T6856" i="44"/>
  <c r="J6859" i="44"/>
  <c r="J6850" i="44"/>
  <c r="J6857" i="44"/>
  <c r="J6858" i="44"/>
  <c r="V6812" i="44"/>
  <c r="T6812" i="44"/>
  <c r="R6812" i="44"/>
  <c r="P6812" i="44"/>
  <c r="P6818" i="44"/>
  <c r="J6822" i="44"/>
  <c r="N6812" i="44"/>
  <c r="L6812" i="44"/>
  <c r="J6812" i="44"/>
  <c r="J6764" i="44"/>
  <c r="J6763" i="44"/>
  <c r="J6760" i="44"/>
  <c r="J6755" i="44"/>
  <c r="V6774" i="44"/>
  <c r="T6774" i="44"/>
  <c r="R6774" i="44"/>
  <c r="P6774" i="44"/>
  <c r="P6780" i="44"/>
  <c r="J6784" i="44"/>
  <c r="N6774" i="44"/>
  <c r="L6774" i="44"/>
  <c r="J6719" i="44"/>
  <c r="L6718" i="44"/>
  <c r="L6737" i="44"/>
  <c r="N6718" i="44"/>
  <c r="N6737" i="44"/>
  <c r="V6737" i="44"/>
  <c r="T6737" i="44"/>
  <c r="T6743" i="44"/>
  <c r="J6746" i="44"/>
  <c r="R6737" i="44"/>
  <c r="P6737" i="44"/>
  <c r="P6743" i="44"/>
  <c r="J6747" i="44"/>
  <c r="J6737" i="44"/>
  <c r="V6698" i="44"/>
  <c r="T6698" i="44"/>
  <c r="T6704" i="44"/>
  <c r="J6707" i="44"/>
  <c r="R6698" i="44"/>
  <c r="P6698" i="44"/>
  <c r="P6704" i="44"/>
  <c r="J6708" i="44"/>
  <c r="N6698" i="44"/>
  <c r="L6698" i="44"/>
  <c r="J6698" i="44"/>
  <c r="J6819" i="44"/>
  <c r="J6820" i="44"/>
  <c r="T6818" i="44"/>
  <c r="J6821" i="44"/>
  <c r="J6774" i="44"/>
  <c r="J6781" i="44"/>
  <c r="J6782" i="44"/>
  <c r="T6780" i="44"/>
  <c r="J6783" i="44"/>
  <c r="J6744" i="44"/>
  <c r="J6745" i="44"/>
  <c r="J6705" i="44"/>
  <c r="J6706" i="44"/>
  <c r="D20" i="50"/>
  <c r="F43" i="50"/>
  <c r="D18" i="50"/>
  <c r="H20" i="50"/>
  <c r="H18" i="50"/>
  <c r="F18" i="50"/>
  <c r="H17" i="50"/>
  <c r="D11" i="50"/>
  <c r="H9" i="50"/>
  <c r="F26" i="50"/>
  <c r="P26" i="50"/>
  <c r="N26" i="50"/>
  <c r="N32" i="50"/>
  <c r="D35" i="50"/>
  <c r="L26" i="50"/>
  <c r="J26" i="50"/>
  <c r="J32" i="50"/>
  <c r="D36" i="50"/>
  <c r="J6642" i="44"/>
  <c r="J6641" i="44"/>
  <c r="J6660" i="44"/>
  <c r="N6641" i="44"/>
  <c r="N6660" i="44"/>
  <c r="V6660" i="44"/>
  <c r="T6660" i="44"/>
  <c r="T6666" i="44"/>
  <c r="J6669" i="44"/>
  <c r="R6660" i="44"/>
  <c r="P6660" i="44"/>
  <c r="P6666" i="44"/>
  <c r="J6670" i="44"/>
  <c r="L6660" i="44"/>
  <c r="J6621" i="44"/>
  <c r="J6619" i="44"/>
  <c r="J6618" i="44"/>
  <c r="J6617" i="44"/>
  <c r="J6616" i="44"/>
  <c r="J6667" i="44"/>
  <c r="D26" i="50"/>
  <c r="D33" i="50"/>
  <c r="H26" i="50"/>
  <c r="J6668" i="44"/>
  <c r="D34" i="50"/>
  <c r="V6625" i="44"/>
  <c r="T6625" i="44"/>
  <c r="R6625" i="44"/>
  <c r="P6625" i="44"/>
  <c r="P6631" i="44"/>
  <c r="J6635" i="44"/>
  <c r="N6625" i="44"/>
  <c r="L6625" i="44"/>
  <c r="J6580" i="44"/>
  <c r="J6579" i="44"/>
  <c r="J6576" i="44"/>
  <c r="J6575" i="44"/>
  <c r="J6574" i="44"/>
  <c r="J6573" i="44"/>
  <c r="J6571" i="44"/>
  <c r="J6569" i="44"/>
  <c r="J6567" i="44"/>
  <c r="V6588" i="44"/>
  <c r="T6588" i="44"/>
  <c r="T6594" i="44"/>
  <c r="J6597" i="44"/>
  <c r="R6588" i="44"/>
  <c r="P6588" i="44"/>
  <c r="P6594" i="44"/>
  <c r="J6598" i="44"/>
  <c r="N6588" i="44"/>
  <c r="L6588" i="44"/>
  <c r="J6530" i="44"/>
  <c r="J6529" i="44"/>
  <c r="J6528" i="44"/>
  <c r="T6631" i="44"/>
  <c r="J6634" i="44"/>
  <c r="J6625" i="44"/>
  <c r="J6632" i="44"/>
  <c r="J6633" i="44"/>
  <c r="J6588" i="44"/>
  <c r="J6595" i="44"/>
  <c r="J6596" i="44"/>
  <c r="J6527" i="44"/>
  <c r="J6526" i="44"/>
  <c r="V6540" i="44"/>
  <c r="T6540" i="44"/>
  <c r="T6546" i="44"/>
  <c r="J6549" i="44"/>
  <c r="R6540" i="44"/>
  <c r="P6540" i="44"/>
  <c r="N6540" i="44"/>
  <c r="L6540" i="44"/>
  <c r="J6540" i="44"/>
  <c r="P6546" i="44"/>
  <c r="J6550" i="44"/>
  <c r="J6547" i="44"/>
  <c r="J6548" i="44"/>
  <c r="V6504" i="44"/>
  <c r="T6504" i="44"/>
  <c r="T6510" i="44"/>
  <c r="J6513" i="44"/>
  <c r="R6504" i="44"/>
  <c r="P6504" i="44"/>
  <c r="P6510" i="44"/>
  <c r="J6514" i="44"/>
  <c r="N6504" i="44"/>
  <c r="L6504" i="44"/>
  <c r="J6504" i="44"/>
  <c r="V6468" i="44"/>
  <c r="T6468" i="44"/>
  <c r="R6468" i="44"/>
  <c r="P6468" i="44"/>
  <c r="P6474" i="44"/>
  <c r="J6478" i="44"/>
  <c r="N6468" i="44"/>
  <c r="L6468" i="44"/>
  <c r="J6468" i="44"/>
  <c r="J6475" i="44"/>
  <c r="C131" i="49"/>
  <c r="C132" i="49"/>
  <c r="C133" i="49"/>
  <c r="C134" i="49"/>
  <c r="C135" i="49"/>
  <c r="C136" i="49"/>
  <c r="C137" i="49"/>
  <c r="C138" i="49"/>
  <c r="C139" i="49"/>
  <c r="C140" i="49"/>
  <c r="C141" i="49"/>
  <c r="C142" i="49"/>
  <c r="C143" i="49"/>
  <c r="C144" i="49"/>
  <c r="C145" i="49"/>
  <c r="C146" i="49"/>
  <c r="C147" i="49"/>
  <c r="J6511" i="44"/>
  <c r="J6512" i="44"/>
  <c r="T6474" i="44"/>
  <c r="J6477" i="44"/>
  <c r="J6476" i="44"/>
  <c r="V6433" i="44"/>
  <c r="T6433" i="44"/>
  <c r="T6439" i="44"/>
  <c r="J6442" i="44"/>
  <c r="R6433" i="44"/>
  <c r="P6433" i="44"/>
  <c r="P6439" i="44"/>
  <c r="J6443" i="44"/>
  <c r="N6433" i="44"/>
  <c r="L6433" i="44"/>
  <c r="J6433" i="44"/>
  <c r="V6397" i="44"/>
  <c r="T6397" i="44"/>
  <c r="R6397" i="44"/>
  <c r="P6397" i="44"/>
  <c r="P6403" i="44"/>
  <c r="J6407" i="44"/>
  <c r="N6397" i="44"/>
  <c r="L6397" i="44"/>
  <c r="J6397" i="44"/>
  <c r="L6346" i="44"/>
  <c r="J6341" i="44"/>
  <c r="J6440" i="44"/>
  <c r="J6441" i="44"/>
  <c r="T6403" i="44"/>
  <c r="J6406" i="44"/>
  <c r="J6404" i="44"/>
  <c r="J6405" i="44"/>
  <c r="V6359" i="44"/>
  <c r="T6359" i="44"/>
  <c r="R6359" i="44"/>
  <c r="P6359" i="44"/>
  <c r="P6365" i="44"/>
  <c r="J6369" i="44"/>
  <c r="N6359" i="44"/>
  <c r="L6359" i="44"/>
  <c r="J6359" i="44"/>
  <c r="T6365" i="44"/>
  <c r="J6368" i="44"/>
  <c r="J6366" i="44"/>
  <c r="J6367" i="44"/>
  <c r="C123" i="49"/>
  <c r="C124" i="49"/>
  <c r="C125" i="49"/>
  <c r="C126" i="49"/>
  <c r="C127" i="49"/>
  <c r="C128" i="49"/>
  <c r="C129" i="49"/>
  <c r="C130" i="49"/>
  <c r="V6323" i="44"/>
  <c r="T6323" i="44"/>
  <c r="T6329" i="44"/>
  <c r="J6332" i="44"/>
  <c r="R6323" i="44"/>
  <c r="P6323" i="44"/>
  <c r="N6323" i="44"/>
  <c r="L6323" i="44"/>
  <c r="J6323" i="44"/>
  <c r="V6287" i="44"/>
  <c r="T6287" i="44"/>
  <c r="T6293" i="44"/>
  <c r="J6296" i="44"/>
  <c r="R6287" i="44"/>
  <c r="P6287" i="44"/>
  <c r="P6293" i="44"/>
  <c r="J6297" i="44"/>
  <c r="N6287" i="44"/>
  <c r="L6287" i="44"/>
  <c r="J6287" i="44"/>
  <c r="C115" i="49"/>
  <c r="C116" i="49"/>
  <c r="C114" i="49"/>
  <c r="V6251" i="44"/>
  <c r="T6251" i="44"/>
  <c r="T6257" i="44"/>
  <c r="J6260" i="44"/>
  <c r="R6251" i="44"/>
  <c r="P6251" i="44"/>
  <c r="P6257" i="44"/>
  <c r="J6261" i="44"/>
  <c r="N6251" i="44"/>
  <c r="L6251" i="44"/>
  <c r="J6251" i="44"/>
  <c r="P6329" i="44"/>
  <c r="J6333" i="44"/>
  <c r="J6330" i="44"/>
  <c r="J6331" i="44"/>
  <c r="J6294" i="44"/>
  <c r="J6295" i="44"/>
  <c r="J6258" i="44"/>
  <c r="J6259" i="44"/>
  <c r="V6216" i="44"/>
  <c r="T6216" i="44"/>
  <c r="R6216" i="44"/>
  <c r="P6216" i="44"/>
  <c r="P6222" i="44"/>
  <c r="J6226" i="44"/>
  <c r="N6216" i="44"/>
  <c r="L6216" i="44"/>
  <c r="J6216" i="44"/>
  <c r="T6222" i="44"/>
  <c r="J6225" i="44"/>
  <c r="J6223" i="44"/>
  <c r="J6224" i="44"/>
  <c r="V6181" i="44"/>
  <c r="T6181" i="44"/>
  <c r="T6187" i="44"/>
  <c r="J6190" i="44"/>
  <c r="R6181" i="44"/>
  <c r="P6181" i="44"/>
  <c r="P6187" i="44"/>
  <c r="J6191" i="44"/>
  <c r="N6181" i="44"/>
  <c r="L6181" i="44"/>
  <c r="J6181" i="44"/>
  <c r="J6131" i="44"/>
  <c r="J6130" i="44"/>
  <c r="J6128" i="44"/>
  <c r="J6188" i="44"/>
  <c r="J6189" i="44"/>
  <c r="V6146" i="44"/>
  <c r="T6146" i="44"/>
  <c r="R6146" i="44"/>
  <c r="P6146" i="44"/>
  <c r="P6152" i="44"/>
  <c r="J6156" i="44"/>
  <c r="N6146" i="44"/>
  <c r="L6146" i="44"/>
  <c r="J6146" i="44"/>
  <c r="V6112" i="44"/>
  <c r="T6112" i="44"/>
  <c r="R6112" i="44"/>
  <c r="P6112" i="44"/>
  <c r="P6118" i="44"/>
  <c r="J6122" i="44"/>
  <c r="N6112" i="44"/>
  <c r="L6112" i="44"/>
  <c r="J6112" i="44"/>
  <c r="J6062" i="44"/>
  <c r="J6061" i="44"/>
  <c r="J6059" i="44"/>
  <c r="C110" i="49"/>
  <c r="C111" i="49"/>
  <c r="C112" i="49"/>
  <c r="C118" i="49"/>
  <c r="C119" i="49"/>
  <c r="C120" i="49"/>
  <c r="C121" i="49"/>
  <c r="C122" i="49"/>
  <c r="V6078" i="44"/>
  <c r="T6078" i="44"/>
  <c r="R6078" i="44"/>
  <c r="P6078" i="44"/>
  <c r="P6084" i="44"/>
  <c r="J6088" i="44"/>
  <c r="N6078" i="44"/>
  <c r="L6078" i="44"/>
  <c r="J6078" i="44"/>
  <c r="J6153" i="44"/>
  <c r="J6154" i="44"/>
  <c r="T6152" i="44"/>
  <c r="J6155" i="44"/>
  <c r="T6118" i="44"/>
  <c r="J6121" i="44"/>
  <c r="J6119" i="44"/>
  <c r="J6120" i="44"/>
  <c r="T6084" i="44"/>
  <c r="J6087" i="44"/>
  <c r="J6085" i="44"/>
  <c r="J6086" i="44"/>
  <c r="V6042" i="44"/>
  <c r="T6042" i="44"/>
  <c r="R6042" i="44"/>
  <c r="P6042" i="44"/>
  <c r="P6048" i="44"/>
  <c r="J6052" i="44"/>
  <c r="N6042" i="44"/>
  <c r="L6042" i="44"/>
  <c r="J6042" i="44"/>
  <c r="T6048" i="44"/>
  <c r="J6049" i="44"/>
  <c r="J6050" i="44"/>
  <c r="V6007" i="44"/>
  <c r="T6007" i="44"/>
  <c r="R6007" i="44"/>
  <c r="P6007" i="44"/>
  <c r="P6013" i="44"/>
  <c r="J6017" i="44"/>
  <c r="N6007" i="44"/>
  <c r="L6007" i="44"/>
  <c r="J6007" i="44"/>
  <c r="T6013" i="44"/>
  <c r="J6016" i="44"/>
  <c r="J6014" i="44"/>
  <c r="J6015" i="44"/>
  <c r="V5971" i="44"/>
  <c r="T5971" i="44"/>
  <c r="T5977" i="44"/>
  <c r="R5971" i="44"/>
  <c r="P5971" i="44"/>
  <c r="N5971" i="44"/>
  <c r="L5971" i="44"/>
  <c r="J5971" i="44"/>
  <c r="J5933" i="44"/>
  <c r="J5932" i="44"/>
  <c r="J5931" i="44"/>
  <c r="J5930" i="44"/>
  <c r="J5928" i="44"/>
  <c r="J5927" i="44"/>
  <c r="J5926" i="44"/>
  <c r="J5925" i="44"/>
  <c r="V5935" i="44"/>
  <c r="T5935" i="44"/>
  <c r="T5941" i="44"/>
  <c r="R5935" i="44"/>
  <c r="P5935" i="44"/>
  <c r="N5935" i="44"/>
  <c r="L5935" i="44"/>
  <c r="V5894" i="44"/>
  <c r="T5894" i="44"/>
  <c r="R5894" i="44"/>
  <c r="P5894" i="44"/>
  <c r="N5894" i="44"/>
  <c r="L5894" i="44"/>
  <c r="J5894" i="44"/>
  <c r="J5845" i="44"/>
  <c r="C94" i="49"/>
  <c r="C95" i="49"/>
  <c r="C96" i="49"/>
  <c r="C97" i="49"/>
  <c r="C98" i="49"/>
  <c r="C99" i="49"/>
  <c r="C100" i="49"/>
  <c r="C101" i="49"/>
  <c r="C102" i="49"/>
  <c r="C103" i="49"/>
  <c r="C104" i="49"/>
  <c r="C105" i="49"/>
  <c r="C106" i="49"/>
  <c r="C107" i="49"/>
  <c r="C108" i="49"/>
  <c r="C109" i="49"/>
  <c r="P5941" i="44"/>
  <c r="J5945" i="44"/>
  <c r="P5977" i="44"/>
  <c r="J5981" i="44"/>
  <c r="J5978" i="44"/>
  <c r="J5979" i="44"/>
  <c r="P5900" i="44"/>
  <c r="J5904" i="44"/>
  <c r="T5900" i="44"/>
  <c r="J5935" i="44"/>
  <c r="J5942" i="44"/>
  <c r="J5943" i="44"/>
  <c r="J5901" i="44"/>
  <c r="J5902" i="44"/>
  <c r="V5856" i="44"/>
  <c r="T5856" i="44"/>
  <c r="R5856" i="44"/>
  <c r="P5856" i="44"/>
  <c r="N5856" i="44"/>
  <c r="L5856" i="44"/>
  <c r="J5856" i="44"/>
  <c r="V5817" i="44"/>
  <c r="T5817" i="44"/>
  <c r="T5823" i="44"/>
  <c r="J5826" i="44"/>
  <c r="R5817" i="44"/>
  <c r="P5817" i="44"/>
  <c r="N5817" i="44"/>
  <c r="L5817" i="44"/>
  <c r="J5817" i="44"/>
  <c r="P5823" i="44"/>
  <c r="J5827" i="44"/>
  <c r="J5863" i="44"/>
  <c r="J5864" i="44"/>
  <c r="T5862" i="44"/>
  <c r="J5865" i="44"/>
  <c r="P5862" i="44"/>
  <c r="J5866" i="44"/>
  <c r="J5824" i="44"/>
  <c r="J5825" i="44"/>
  <c r="V5777" i="44"/>
  <c r="T5777" i="44"/>
  <c r="R5777" i="44"/>
  <c r="P5777" i="44"/>
  <c r="N5777" i="44"/>
  <c r="L5777" i="44"/>
  <c r="J5777" i="44"/>
  <c r="J5784" i="44"/>
  <c r="J5785" i="44"/>
  <c r="T5783" i="44"/>
  <c r="J5786" i="44"/>
  <c r="P5783" i="44"/>
  <c r="J5787" i="44"/>
  <c r="V5737" i="44"/>
  <c r="T5737" i="44"/>
  <c r="R5737" i="44"/>
  <c r="P5737" i="44"/>
  <c r="N5737" i="44"/>
  <c r="L5737" i="44"/>
  <c r="J5737" i="44"/>
  <c r="C82" i="49"/>
  <c r="C83" i="49"/>
  <c r="C84" i="49"/>
  <c r="C85" i="49"/>
  <c r="C86" i="49"/>
  <c r="C87" i="49"/>
  <c r="C88" i="49"/>
  <c r="C89" i="49"/>
  <c r="C90" i="49"/>
  <c r="C91" i="49"/>
  <c r="C92" i="49"/>
  <c r="C93" i="49"/>
  <c r="T5743" i="44"/>
  <c r="J5746" i="44"/>
  <c r="P5743" i="44"/>
  <c r="J5747" i="44"/>
  <c r="J5744" i="44"/>
  <c r="J5745" i="44"/>
  <c r="V5697" i="44"/>
  <c r="T5697" i="44"/>
  <c r="T5703" i="44"/>
  <c r="J5706" i="44"/>
  <c r="R5697" i="44"/>
  <c r="P5697" i="44"/>
  <c r="N5697" i="44"/>
  <c r="L5697" i="44"/>
  <c r="J5697" i="44"/>
  <c r="P5703" i="44"/>
  <c r="J5707" i="44"/>
  <c r="J5704" i="44"/>
  <c r="J5705" i="44"/>
  <c r="C26" i="49"/>
  <c r="C27" i="49"/>
  <c r="C28" i="49"/>
  <c r="C29" i="49"/>
  <c r="C30" i="49"/>
  <c r="C31" i="49"/>
  <c r="C32" i="49"/>
  <c r="C33" i="49"/>
  <c r="C34" i="49"/>
  <c r="C35" i="49"/>
  <c r="C36" i="49"/>
  <c r="C37" i="49"/>
  <c r="C38" i="49"/>
  <c r="C39" i="49"/>
  <c r="C40" i="49"/>
  <c r="C41" i="49"/>
  <c r="C42" i="49"/>
  <c r="C43" i="49"/>
  <c r="C45" i="49"/>
  <c r="C46" i="49"/>
  <c r="C47" i="49"/>
  <c r="C48" i="49"/>
  <c r="C49" i="49"/>
  <c r="C50" i="49"/>
  <c r="C51" i="49"/>
  <c r="C52" i="49"/>
  <c r="C53" i="49"/>
  <c r="C54" i="49"/>
  <c r="C55" i="49"/>
  <c r="C56" i="49"/>
  <c r="C57" i="49"/>
  <c r="C58" i="49"/>
  <c r="C59" i="49"/>
  <c r="C60" i="49"/>
  <c r="C61" i="49"/>
  <c r="C62" i="49"/>
  <c r="C63" i="49"/>
  <c r="C64" i="49"/>
  <c r="C65" i="49"/>
  <c r="C66" i="49"/>
  <c r="C67" i="49"/>
  <c r="C68" i="49"/>
  <c r="C69" i="49"/>
  <c r="C70" i="49"/>
  <c r="C71" i="49"/>
  <c r="C72" i="49"/>
  <c r="C73" i="49"/>
  <c r="C74" i="49"/>
  <c r="C75" i="49"/>
  <c r="C76" i="49"/>
  <c r="C77" i="49"/>
  <c r="C78" i="49"/>
  <c r="C79" i="49"/>
  <c r="C80" i="49"/>
  <c r="C81" i="49"/>
  <c r="C25" i="49"/>
  <c r="C19" i="49"/>
  <c r="C20" i="49"/>
  <c r="C21" i="49"/>
  <c r="C22" i="49"/>
  <c r="C23" i="49"/>
  <c r="C18" i="49"/>
  <c r="C7" i="49"/>
  <c r="C8" i="49"/>
  <c r="C9" i="49"/>
  <c r="C10" i="49"/>
  <c r="C11" i="49"/>
  <c r="C12" i="49"/>
  <c r="C13" i="49"/>
  <c r="C14" i="49"/>
  <c r="C15" i="49"/>
  <c r="C6" i="49"/>
  <c r="D169" i="49"/>
  <c r="A169" i="49"/>
  <c r="B169" i="49"/>
  <c r="C5" i="49"/>
  <c r="C169" i="49"/>
  <c r="V5656" i="44"/>
  <c r="T5656" i="44"/>
  <c r="R5656" i="44"/>
  <c r="P5656" i="44"/>
  <c r="N5656" i="44"/>
  <c r="L5656" i="44"/>
  <c r="J5656" i="44"/>
  <c r="P5662" i="44"/>
  <c r="J5666" i="44"/>
  <c r="J5663" i="44"/>
  <c r="J5664" i="44"/>
  <c r="T5662" i="44"/>
  <c r="J5665" i="44"/>
  <c r="V5617" i="44"/>
  <c r="T5617" i="44"/>
  <c r="R5617" i="44"/>
  <c r="P5617" i="44"/>
  <c r="N5617" i="44"/>
  <c r="L5617" i="44"/>
  <c r="J5617" i="44"/>
  <c r="V5580" i="44"/>
  <c r="T5580" i="44"/>
  <c r="R5580" i="44"/>
  <c r="P5580" i="44"/>
  <c r="N5580" i="44"/>
  <c r="L5580" i="44"/>
  <c r="J5580" i="44"/>
  <c r="P5623" i="44"/>
  <c r="J5627" i="44"/>
  <c r="T5623" i="44"/>
  <c r="J5626" i="44"/>
  <c r="J5624" i="44"/>
  <c r="J5625" i="44"/>
  <c r="P5586" i="44"/>
  <c r="J5590" i="44"/>
  <c r="T5586" i="44"/>
  <c r="J5589" i="44"/>
  <c r="J5587" i="44"/>
  <c r="J5588" i="44"/>
  <c r="V5542" i="44"/>
  <c r="T5542" i="44"/>
  <c r="R5542" i="44"/>
  <c r="P5542" i="44"/>
  <c r="P5548" i="44"/>
  <c r="J5552" i="44"/>
  <c r="N5542" i="44"/>
  <c r="L5542" i="44"/>
  <c r="J5542" i="44"/>
  <c r="T5548" i="44"/>
  <c r="J5551" i="44"/>
  <c r="J5549" i="44"/>
  <c r="J5550" i="44"/>
  <c r="V5504" i="44"/>
  <c r="T5504" i="44"/>
  <c r="R5504" i="44"/>
  <c r="P5504" i="44"/>
  <c r="N5504" i="44"/>
  <c r="L5504" i="44"/>
  <c r="J5504" i="44"/>
  <c r="P5510" i="44"/>
  <c r="J5514" i="44"/>
  <c r="J5511" i="44"/>
  <c r="J5512" i="44"/>
  <c r="T5510" i="44"/>
  <c r="J5513" i="44"/>
  <c r="V5467" i="44"/>
  <c r="T5467" i="44"/>
  <c r="R5467" i="44"/>
  <c r="P5467" i="44"/>
  <c r="N5467" i="44"/>
  <c r="L5467" i="44"/>
  <c r="J5467" i="44"/>
  <c r="P5473" i="44"/>
  <c r="J5477" i="44"/>
  <c r="T5473" i="44"/>
  <c r="J5476" i="44"/>
  <c r="J5474" i="44"/>
  <c r="J5475" i="44"/>
  <c r="V5429" i="44"/>
  <c r="T5429" i="44"/>
  <c r="R5429" i="44"/>
  <c r="P5429" i="44"/>
  <c r="N5429" i="44"/>
  <c r="L5429" i="44"/>
  <c r="J5429" i="44"/>
  <c r="V5392" i="44"/>
  <c r="T5392" i="44"/>
  <c r="R5392" i="44"/>
  <c r="P5392" i="44"/>
  <c r="N5392" i="44"/>
  <c r="L5392" i="44"/>
  <c r="J5392" i="44"/>
  <c r="V5354" i="44"/>
  <c r="T5354" i="44"/>
  <c r="R5354" i="44"/>
  <c r="P5354" i="44"/>
  <c r="N5354" i="44"/>
  <c r="L5354" i="44"/>
  <c r="J5354" i="44"/>
  <c r="V5315" i="44"/>
  <c r="T5315" i="44"/>
  <c r="R5315" i="44"/>
  <c r="P5315" i="44"/>
  <c r="N5315" i="44"/>
  <c r="L5315" i="44"/>
  <c r="J5315" i="44"/>
  <c r="P5398" i="44"/>
  <c r="J5402" i="44"/>
  <c r="T5321" i="44"/>
  <c r="J5324" i="44"/>
  <c r="P5360" i="44"/>
  <c r="J5364" i="44"/>
  <c r="P5435" i="44"/>
  <c r="J5439" i="44"/>
  <c r="T5435" i="44"/>
  <c r="J5438" i="44"/>
  <c r="J5436" i="44"/>
  <c r="J5437" i="44"/>
  <c r="J5399" i="44"/>
  <c r="J5400" i="44"/>
  <c r="T5398" i="44"/>
  <c r="J5401" i="44"/>
  <c r="T5360" i="44"/>
  <c r="J5363" i="44"/>
  <c r="J5361" i="44"/>
  <c r="J5362" i="44"/>
  <c r="J5322" i="44"/>
  <c r="J5323" i="44"/>
  <c r="P5321" i="44"/>
  <c r="J5325" i="44"/>
  <c r="V5274" i="44"/>
  <c r="T5274" i="44"/>
  <c r="T5280" i="44"/>
  <c r="J5283" i="44"/>
  <c r="R5274" i="44"/>
  <c r="P5274" i="44"/>
  <c r="N5274" i="44"/>
  <c r="L5274" i="44"/>
  <c r="J5274" i="44"/>
  <c r="J5281" i="44"/>
  <c r="J5282" i="44"/>
  <c r="P5280" i="44"/>
  <c r="J5284" i="44"/>
  <c r="V5234" i="44"/>
  <c r="T5234" i="44"/>
  <c r="R5234" i="44"/>
  <c r="P5234" i="44"/>
  <c r="N5234" i="44"/>
  <c r="L5234" i="44"/>
  <c r="J5234" i="44"/>
  <c r="V5192" i="44"/>
  <c r="T5192" i="44"/>
  <c r="T5198" i="44"/>
  <c r="J5201" i="44"/>
  <c r="R5192" i="44"/>
  <c r="P5192" i="44"/>
  <c r="N5192" i="44"/>
  <c r="L5192" i="44"/>
  <c r="J5192" i="44"/>
  <c r="P5198" i="44"/>
  <c r="J5202" i="44"/>
  <c r="T5240" i="44"/>
  <c r="J5243" i="44"/>
  <c r="P5240" i="44"/>
  <c r="J5244" i="44"/>
  <c r="J5241" i="44"/>
  <c r="J5242" i="44"/>
  <c r="J5199" i="44"/>
  <c r="J5200" i="44"/>
  <c r="V5157" i="44"/>
  <c r="T5157" i="44"/>
  <c r="R5157" i="44"/>
  <c r="P5157" i="44"/>
  <c r="N5157" i="44"/>
  <c r="L5157" i="44"/>
  <c r="J5157" i="44"/>
  <c r="V5122" i="44"/>
  <c r="T5122" i="44"/>
  <c r="T5128" i="44"/>
  <c r="J5131" i="44"/>
  <c r="R5122" i="44"/>
  <c r="P5122" i="44"/>
  <c r="N5122" i="44"/>
  <c r="L5122" i="44"/>
  <c r="J5122" i="44"/>
  <c r="P5163" i="44"/>
  <c r="J5167" i="44"/>
  <c r="T5163" i="44"/>
  <c r="J5166" i="44"/>
  <c r="J5164" i="44"/>
  <c r="J5165" i="44"/>
  <c r="P5128" i="44"/>
  <c r="J5132" i="44"/>
  <c r="J5129" i="44"/>
  <c r="J5130" i="44"/>
  <c r="J5069" i="44"/>
  <c r="J5068" i="44"/>
  <c r="J5086" i="44"/>
  <c r="L5086" i="44"/>
  <c r="N5086" i="44"/>
  <c r="P5086" i="44"/>
  <c r="R5086" i="44"/>
  <c r="T5086" i="44"/>
  <c r="V5086" i="44"/>
  <c r="T5092" i="44"/>
  <c r="J5095" i="44"/>
  <c r="P5092" i="44"/>
  <c r="J5096" i="44"/>
  <c r="J5093" i="44"/>
  <c r="J5094" i="44"/>
  <c r="J5046" i="44"/>
  <c r="J5039" i="44"/>
  <c r="J5037" i="44"/>
  <c r="J5035" i="44"/>
  <c r="J5034" i="44"/>
  <c r="J5032" i="44"/>
  <c r="V5050" i="44"/>
  <c r="T5050" i="44"/>
  <c r="R5050" i="44"/>
  <c r="P5050" i="44"/>
  <c r="N5050" i="44"/>
  <c r="L5050" i="44"/>
  <c r="J5002" i="44"/>
  <c r="J5050" i="44"/>
  <c r="T5056" i="44"/>
  <c r="J5059" i="44"/>
  <c r="P5056" i="44"/>
  <c r="J5060" i="44"/>
  <c r="J5057" i="44"/>
  <c r="J5058" i="44"/>
  <c r="V5013" i="44"/>
  <c r="T5013" i="44"/>
  <c r="R5013" i="44"/>
  <c r="P5013" i="44"/>
  <c r="P5019" i="44"/>
  <c r="J5023" i="44"/>
  <c r="N5013" i="44"/>
  <c r="L5013" i="44"/>
  <c r="J5013" i="44"/>
  <c r="T5019" i="44"/>
  <c r="J5022" i="44"/>
  <c r="J5020" i="44"/>
  <c r="J5021" i="44"/>
  <c r="V4981" i="44"/>
  <c r="T4981" i="44"/>
  <c r="R4981" i="44"/>
  <c r="P4981" i="44"/>
  <c r="P4987" i="44"/>
  <c r="J4991" i="44"/>
  <c r="N4981" i="44"/>
  <c r="L4981" i="44"/>
  <c r="J4981" i="44"/>
  <c r="T4987" i="44"/>
  <c r="J4990" i="44"/>
  <c r="J4988" i="44"/>
  <c r="J4989" i="44"/>
  <c r="V4948" i="44"/>
  <c r="T4948" i="44"/>
  <c r="R4948" i="44"/>
  <c r="P4948" i="44"/>
  <c r="N4948" i="44"/>
  <c r="L4948" i="44"/>
  <c r="J4948" i="44"/>
  <c r="R4904" i="44"/>
  <c r="V4917" i="44"/>
  <c r="T4917" i="44"/>
  <c r="R4917" i="44"/>
  <c r="P4917" i="44"/>
  <c r="N4917" i="44"/>
  <c r="L4917" i="44"/>
  <c r="J4917" i="44"/>
  <c r="V4885" i="44"/>
  <c r="T4885" i="44"/>
  <c r="R4885" i="44"/>
  <c r="P4885" i="44"/>
  <c r="P4891" i="44"/>
  <c r="J4895" i="44"/>
  <c r="N4885" i="44"/>
  <c r="L4885" i="44"/>
  <c r="J4885" i="44"/>
  <c r="V4853" i="44"/>
  <c r="T4853" i="44"/>
  <c r="T4859" i="44"/>
  <c r="J4862" i="44"/>
  <c r="R4853" i="44"/>
  <c r="P4853" i="44"/>
  <c r="N4853" i="44"/>
  <c r="L4853" i="44"/>
  <c r="J4853" i="44"/>
  <c r="P4859" i="44"/>
  <c r="J4863" i="44"/>
  <c r="T4954" i="44"/>
  <c r="J4957" i="44"/>
  <c r="P4954" i="44"/>
  <c r="J4958" i="44"/>
  <c r="J4955" i="44"/>
  <c r="J4956" i="44"/>
  <c r="P4923" i="44"/>
  <c r="J4927" i="44"/>
  <c r="T4923" i="44"/>
  <c r="J4926" i="44"/>
  <c r="J4924" i="44"/>
  <c r="J4925" i="44"/>
  <c r="T4891" i="44"/>
  <c r="J4894" i="44"/>
  <c r="J4892" i="44"/>
  <c r="J4893" i="44"/>
  <c r="J4860" i="44"/>
  <c r="J4861" i="44"/>
  <c r="V4821" i="44"/>
  <c r="T4821" i="44"/>
  <c r="T4827" i="44"/>
  <c r="J4830" i="44"/>
  <c r="R4821" i="44"/>
  <c r="P4821" i="44"/>
  <c r="P4827" i="44"/>
  <c r="J4831" i="44"/>
  <c r="N4821" i="44"/>
  <c r="L4821" i="44"/>
  <c r="J4821" i="44"/>
  <c r="V4788" i="44"/>
  <c r="T4788" i="44"/>
  <c r="R4788" i="44"/>
  <c r="P4788" i="44"/>
  <c r="P4794" i="44"/>
  <c r="J4798" i="44"/>
  <c r="N4788" i="44"/>
  <c r="L4788" i="44"/>
  <c r="J4788" i="44"/>
  <c r="J4828" i="44"/>
  <c r="J4829" i="44"/>
  <c r="T4794" i="44"/>
  <c r="J4797" i="44"/>
  <c r="J4795" i="44"/>
  <c r="J4796" i="44"/>
  <c r="V4755" i="44"/>
  <c r="T4755" i="44"/>
  <c r="T4761" i="44"/>
  <c r="J4764" i="44"/>
  <c r="R4755" i="44"/>
  <c r="P4755" i="44"/>
  <c r="P4761" i="44"/>
  <c r="J4765" i="44"/>
  <c r="N4755" i="44"/>
  <c r="L4755" i="44"/>
  <c r="J4755" i="44"/>
  <c r="V4723" i="44"/>
  <c r="T4723" i="44"/>
  <c r="T4729" i="44"/>
  <c r="J4732" i="44"/>
  <c r="R4723" i="44"/>
  <c r="P4723" i="44"/>
  <c r="N4723" i="44"/>
  <c r="L4723" i="44"/>
  <c r="J4723" i="44"/>
  <c r="V4691" i="44"/>
  <c r="T4691" i="44"/>
  <c r="T4697" i="44"/>
  <c r="J4700" i="44"/>
  <c r="R4691" i="44"/>
  <c r="P4691" i="44"/>
  <c r="P4697" i="44"/>
  <c r="J4701" i="44"/>
  <c r="N4691" i="44"/>
  <c r="L4691" i="44"/>
  <c r="J4691" i="44"/>
  <c r="V4659" i="44"/>
  <c r="T4659" i="44"/>
  <c r="T4665" i="44"/>
  <c r="J4668" i="44"/>
  <c r="R4659" i="44"/>
  <c r="P4659" i="44"/>
  <c r="P4665" i="44"/>
  <c r="J4669" i="44"/>
  <c r="N4659" i="44"/>
  <c r="L4659" i="44"/>
  <c r="J4659" i="44"/>
  <c r="P4729" i="44"/>
  <c r="J4733" i="44"/>
  <c r="J4762" i="44"/>
  <c r="J4763" i="44"/>
  <c r="J4730" i="44"/>
  <c r="J4731" i="44"/>
  <c r="J4698" i="44"/>
  <c r="J4699" i="44"/>
  <c r="J4666" i="44"/>
  <c r="J4667" i="44"/>
  <c r="V4627" i="44"/>
  <c r="T4627" i="44"/>
  <c r="R4627" i="44"/>
  <c r="P4627" i="44"/>
  <c r="P4633" i="44"/>
  <c r="J4637" i="44"/>
  <c r="N4627" i="44"/>
  <c r="L4627" i="44"/>
  <c r="J4627" i="44"/>
  <c r="V4594" i="44"/>
  <c r="T4594" i="44"/>
  <c r="R4594" i="44"/>
  <c r="P4594" i="44"/>
  <c r="P4600" i="44"/>
  <c r="J4604" i="44"/>
  <c r="N4594" i="44"/>
  <c r="L4594" i="44"/>
  <c r="J4594" i="44"/>
  <c r="T4633" i="44"/>
  <c r="J4636" i="44"/>
  <c r="J4634" i="44"/>
  <c r="J4635" i="44"/>
  <c r="T4600" i="44"/>
  <c r="J4603" i="44"/>
  <c r="J4601" i="44"/>
  <c r="J4602" i="44"/>
  <c r="V4561" i="44"/>
  <c r="T4561" i="44"/>
  <c r="T4567" i="44"/>
  <c r="J4570" i="44"/>
  <c r="R4561" i="44"/>
  <c r="P4561" i="44"/>
  <c r="N4561" i="44"/>
  <c r="L4561" i="44"/>
  <c r="J4561" i="44"/>
  <c r="V4528" i="44"/>
  <c r="T4528" i="44"/>
  <c r="T4534" i="44"/>
  <c r="J4537" i="44"/>
  <c r="R4528" i="44"/>
  <c r="P4528" i="44"/>
  <c r="P4534" i="44"/>
  <c r="J4538" i="44"/>
  <c r="N4528" i="44"/>
  <c r="L4528" i="44"/>
  <c r="J4528" i="44"/>
  <c r="P4567" i="44"/>
  <c r="J4571" i="44"/>
  <c r="J4568" i="44"/>
  <c r="J4569" i="44"/>
  <c r="J4535" i="44"/>
  <c r="J4536" i="44"/>
  <c r="V4496" i="44"/>
  <c r="T4496" i="44"/>
  <c r="T4502" i="44"/>
  <c r="J4505" i="44"/>
  <c r="R4496" i="44"/>
  <c r="P4496" i="44"/>
  <c r="N4496" i="44"/>
  <c r="L4496" i="44"/>
  <c r="J4496" i="44"/>
  <c r="P4502" i="44"/>
  <c r="J4506" i="44"/>
  <c r="J4503" i="44"/>
  <c r="J4504" i="44"/>
  <c r="V4463" i="44"/>
  <c r="T4463" i="44"/>
  <c r="T4469" i="44"/>
  <c r="J4472" i="44"/>
  <c r="R4463" i="44"/>
  <c r="P4463" i="44"/>
  <c r="P4469" i="44"/>
  <c r="J4473" i="44"/>
  <c r="N4463" i="44"/>
  <c r="L4463" i="44"/>
  <c r="J4463" i="44"/>
  <c r="V4431" i="44"/>
  <c r="T4431" i="44"/>
  <c r="T4437" i="44"/>
  <c r="J4440" i="44"/>
  <c r="R4431" i="44"/>
  <c r="P4431" i="44"/>
  <c r="P4437" i="44"/>
  <c r="J4441" i="44"/>
  <c r="N4431" i="44"/>
  <c r="L4431" i="44"/>
  <c r="J4431" i="44"/>
  <c r="V4398" i="44"/>
  <c r="T4398" i="44"/>
  <c r="T4404" i="44"/>
  <c r="J4407" i="44"/>
  <c r="R4398" i="44"/>
  <c r="P4398" i="44"/>
  <c r="P4404" i="44"/>
  <c r="J4408" i="44"/>
  <c r="N4398" i="44"/>
  <c r="L4398" i="44"/>
  <c r="J4398" i="44"/>
  <c r="J4470" i="44"/>
  <c r="J4471" i="44"/>
  <c r="J4438" i="44"/>
  <c r="J4439" i="44"/>
  <c r="J4405" i="44"/>
  <c r="J4406" i="44"/>
  <c r="J4357" i="44"/>
  <c r="J4366" i="44"/>
  <c r="V4366" i="44"/>
  <c r="T4366" i="44"/>
  <c r="T4372" i="44"/>
  <c r="J4375" i="44"/>
  <c r="R4366" i="44"/>
  <c r="P4366" i="44"/>
  <c r="N4366" i="44"/>
  <c r="L4366" i="44"/>
  <c r="V4333" i="44"/>
  <c r="T4333" i="44"/>
  <c r="R4333" i="44"/>
  <c r="P4333" i="44"/>
  <c r="N4333" i="44"/>
  <c r="L4333" i="44"/>
  <c r="J4333" i="44"/>
  <c r="T4339" i="44"/>
  <c r="J4342" i="44"/>
  <c r="P4339" i="44"/>
  <c r="J4343" i="44"/>
  <c r="P4372" i="44"/>
  <c r="J4376" i="44"/>
  <c r="J4373" i="44"/>
  <c r="J4374" i="44"/>
  <c r="J4340" i="44"/>
  <c r="J4341" i="44"/>
  <c r="V4300" i="44"/>
  <c r="T4300" i="44"/>
  <c r="T4306" i="44"/>
  <c r="J4309" i="44"/>
  <c r="R4300" i="44"/>
  <c r="P4300" i="44"/>
  <c r="P4306" i="44"/>
  <c r="J4310" i="44"/>
  <c r="N4300" i="44"/>
  <c r="L4300" i="44"/>
  <c r="J4300" i="44"/>
  <c r="V4266" i="44"/>
  <c r="T4266" i="44"/>
  <c r="R4266" i="44"/>
  <c r="P4266" i="44"/>
  <c r="P4272" i="44"/>
  <c r="J4276" i="44"/>
  <c r="N4266" i="44"/>
  <c r="L4266" i="44"/>
  <c r="J4266" i="44"/>
  <c r="T4272" i="44"/>
  <c r="J4275" i="44"/>
  <c r="J4307" i="44"/>
  <c r="J4308" i="44"/>
  <c r="J4273" i="44"/>
  <c r="J4274" i="44"/>
  <c r="V4232" i="44"/>
  <c r="T4232" i="44"/>
  <c r="T4238" i="44"/>
  <c r="J4241" i="44"/>
  <c r="R4232" i="44"/>
  <c r="P4232" i="44"/>
  <c r="N4232" i="44"/>
  <c r="L4232" i="44"/>
  <c r="J4232" i="44"/>
  <c r="P4238" i="44"/>
  <c r="J4242" i="44"/>
  <c r="J4239" i="44"/>
  <c r="J4240" i="44"/>
  <c r="V4200" i="44"/>
  <c r="T4200" i="44"/>
  <c r="T4206" i="44"/>
  <c r="J4209" i="44"/>
  <c r="R4200" i="44"/>
  <c r="P4200" i="44"/>
  <c r="N4200" i="44"/>
  <c r="L4200" i="44"/>
  <c r="J4200" i="44"/>
  <c r="V4166" i="44"/>
  <c r="T4166" i="44"/>
  <c r="T4172" i="44"/>
  <c r="J4175" i="44"/>
  <c r="R4166" i="44"/>
  <c r="P4166" i="44"/>
  <c r="N4166" i="44"/>
  <c r="L4166" i="44"/>
  <c r="J4166" i="44"/>
  <c r="J4131" i="44"/>
  <c r="V4131" i="44"/>
  <c r="T4131" i="44"/>
  <c r="T4137" i="44"/>
  <c r="J4140" i="44"/>
  <c r="R4131" i="44"/>
  <c r="P4131" i="44"/>
  <c r="N4131" i="44"/>
  <c r="L4131" i="44"/>
  <c r="P4137" i="44"/>
  <c r="J4141" i="44"/>
  <c r="P4172" i="44"/>
  <c r="J4176" i="44"/>
  <c r="P4206" i="44"/>
  <c r="J4210" i="44"/>
  <c r="J4207" i="44"/>
  <c r="J4208" i="44"/>
  <c r="J4173" i="44"/>
  <c r="J4174" i="44"/>
  <c r="J4138" i="44"/>
  <c r="J4139" i="44"/>
  <c r="V4096" i="44"/>
  <c r="T4096" i="44"/>
  <c r="T4102" i="44"/>
  <c r="J4105" i="44"/>
  <c r="R4096" i="44"/>
  <c r="P4096" i="44"/>
  <c r="P4102" i="44"/>
  <c r="J4106" i="44"/>
  <c r="N4096" i="44"/>
  <c r="L4096" i="44"/>
  <c r="J4096" i="44"/>
  <c r="J4063" i="44"/>
  <c r="V4063" i="44"/>
  <c r="T4063" i="44"/>
  <c r="T4069" i="44"/>
  <c r="J4072" i="44"/>
  <c r="R4063" i="44"/>
  <c r="P4063" i="44"/>
  <c r="N4063" i="44"/>
  <c r="L4063" i="44"/>
  <c r="P4069" i="44"/>
  <c r="J4073" i="44"/>
  <c r="J4103" i="44"/>
  <c r="J4104" i="44"/>
  <c r="J4070" i="44"/>
  <c r="J4071" i="44"/>
  <c r="J4013" i="44"/>
  <c r="V4029" i="44"/>
  <c r="T4029" i="44"/>
  <c r="T4035" i="44"/>
  <c r="J4038" i="44"/>
  <c r="R4029" i="44"/>
  <c r="P4029" i="44"/>
  <c r="N4029" i="44"/>
  <c r="L4029" i="44"/>
  <c r="J4029" i="44"/>
  <c r="V3996" i="44"/>
  <c r="T3996" i="44"/>
  <c r="T4002" i="44"/>
  <c r="J4005" i="44"/>
  <c r="R3996" i="44"/>
  <c r="P3996" i="44"/>
  <c r="N3996" i="44"/>
  <c r="L3996" i="44"/>
  <c r="J3996" i="44"/>
  <c r="V3961" i="44"/>
  <c r="T3961" i="44"/>
  <c r="R3961" i="44"/>
  <c r="P3961" i="44"/>
  <c r="N3961" i="44"/>
  <c r="L3961" i="44"/>
  <c r="J3961" i="44"/>
  <c r="J3912" i="44"/>
  <c r="J3927" i="44"/>
  <c r="V3927" i="44"/>
  <c r="T3927" i="44"/>
  <c r="R3927" i="44"/>
  <c r="P3927" i="44"/>
  <c r="N3927" i="44"/>
  <c r="L3927" i="44"/>
  <c r="J3879" i="44"/>
  <c r="J3878" i="44"/>
  <c r="P3933" i="44"/>
  <c r="J3937" i="44"/>
  <c r="T3967" i="44"/>
  <c r="J3970" i="44"/>
  <c r="T3933" i="44"/>
  <c r="J3936" i="44"/>
  <c r="J4036" i="44"/>
  <c r="J4037" i="44"/>
  <c r="P4035" i="44"/>
  <c r="J4039" i="44"/>
  <c r="P4002" i="44"/>
  <c r="J4006" i="44"/>
  <c r="J4003" i="44"/>
  <c r="J4004" i="44"/>
  <c r="P3967" i="44"/>
  <c r="J3971" i="44"/>
  <c r="J3968" i="44"/>
  <c r="J3969" i="44"/>
  <c r="J3934" i="44"/>
  <c r="J3935" i="44"/>
  <c r="V3893" i="44"/>
  <c r="T3893" i="44"/>
  <c r="T3899" i="44"/>
  <c r="J3902" i="44"/>
  <c r="R3893" i="44"/>
  <c r="P3893" i="44"/>
  <c r="P3899" i="44"/>
  <c r="J3903" i="44"/>
  <c r="N3893" i="44"/>
  <c r="L3893" i="44"/>
  <c r="J3893" i="44"/>
  <c r="V3861" i="44"/>
  <c r="T3861" i="44"/>
  <c r="T3867" i="44"/>
  <c r="J3870" i="44"/>
  <c r="R3861" i="44"/>
  <c r="P3861" i="44"/>
  <c r="N3861" i="44"/>
  <c r="L3861" i="44"/>
  <c r="J3861" i="44"/>
  <c r="L3815" i="44"/>
  <c r="N3813" i="44"/>
  <c r="N3828" i="44"/>
  <c r="V3828" i="44"/>
  <c r="T3828" i="44"/>
  <c r="T3834" i="44"/>
  <c r="J3837" i="44"/>
  <c r="R3828" i="44"/>
  <c r="P3828" i="44"/>
  <c r="P3834" i="44"/>
  <c r="J3838" i="44"/>
  <c r="L3828" i="44"/>
  <c r="J3828" i="44"/>
  <c r="V3791" i="44"/>
  <c r="T3791" i="44"/>
  <c r="R3791" i="44"/>
  <c r="P3791" i="44"/>
  <c r="P3797" i="44"/>
  <c r="J3801" i="44"/>
  <c r="N3791" i="44"/>
  <c r="L3791" i="44"/>
  <c r="J3791" i="44"/>
  <c r="L3746" i="44"/>
  <c r="V3759" i="44"/>
  <c r="T3759" i="44"/>
  <c r="T3765" i="44"/>
  <c r="J3768" i="44"/>
  <c r="R3759" i="44"/>
  <c r="P3759" i="44"/>
  <c r="N3759" i="44"/>
  <c r="L3759" i="44"/>
  <c r="J3759" i="44"/>
  <c r="L3712" i="44"/>
  <c r="L3727" i="44"/>
  <c r="V3727" i="44"/>
  <c r="T3727" i="44"/>
  <c r="T3733" i="44"/>
  <c r="J3736" i="44"/>
  <c r="R3727" i="44"/>
  <c r="P3727" i="44"/>
  <c r="N3727" i="44"/>
  <c r="J3727" i="44"/>
  <c r="T3797" i="44"/>
  <c r="J3800" i="44"/>
  <c r="P3867" i="44"/>
  <c r="J3871" i="44"/>
  <c r="P3765" i="44"/>
  <c r="J3769" i="44"/>
  <c r="J3900" i="44"/>
  <c r="J3901" i="44"/>
  <c r="J3868" i="44"/>
  <c r="J3869" i="44"/>
  <c r="J3835" i="44"/>
  <c r="J3836" i="44"/>
  <c r="J3798" i="44"/>
  <c r="J3799" i="44"/>
  <c r="J3766" i="44"/>
  <c r="J3767" i="44"/>
  <c r="J3734" i="44"/>
  <c r="P3733" i="44"/>
  <c r="J3737" i="44"/>
  <c r="J3735" i="44"/>
  <c r="P3695" i="44"/>
  <c r="R3683" i="44"/>
  <c r="R3695" i="44"/>
  <c r="V3695" i="44"/>
  <c r="T3695" i="44"/>
  <c r="T3701" i="44"/>
  <c r="J3704" i="44"/>
  <c r="N3695" i="44"/>
  <c r="L3695" i="44"/>
  <c r="J3695" i="44"/>
  <c r="P3701" i="44"/>
  <c r="J3705" i="44"/>
  <c r="J3702" i="44"/>
  <c r="J3703" i="44"/>
  <c r="V3661" i="44"/>
  <c r="T3661" i="44"/>
  <c r="R3661" i="44"/>
  <c r="P3661" i="44"/>
  <c r="N3661" i="44"/>
  <c r="L3661" i="44"/>
  <c r="J3661" i="44"/>
  <c r="J3619" i="44"/>
  <c r="J3628" i="44"/>
  <c r="V3628" i="44"/>
  <c r="T3628" i="44"/>
  <c r="T3634" i="44"/>
  <c r="J3637" i="44"/>
  <c r="R3628" i="44"/>
  <c r="P3628" i="44"/>
  <c r="N3628" i="44"/>
  <c r="L3628" i="44"/>
  <c r="R3600" i="44"/>
  <c r="L3588" i="44"/>
  <c r="L3600" i="44"/>
  <c r="V3600" i="44"/>
  <c r="T3600" i="44"/>
  <c r="P3600" i="44"/>
  <c r="N3600" i="44"/>
  <c r="J3600" i="44"/>
  <c r="T3667" i="44"/>
  <c r="J3670" i="44"/>
  <c r="P3667" i="44"/>
  <c r="J3671" i="44"/>
  <c r="J3668" i="44"/>
  <c r="J3669" i="44"/>
  <c r="P3634" i="44"/>
  <c r="J3638" i="44"/>
  <c r="J3635" i="44"/>
  <c r="J3636" i="44"/>
  <c r="T3606" i="44"/>
  <c r="J3609" i="44"/>
  <c r="P3606" i="44"/>
  <c r="J3610" i="44"/>
  <c r="J3607" i="44"/>
  <c r="J3608" i="44"/>
  <c r="V3570" i="44"/>
  <c r="T3570" i="44"/>
  <c r="T3576" i="44"/>
  <c r="J3579" i="44"/>
  <c r="R3570" i="44"/>
  <c r="P3570" i="44"/>
  <c r="N3570" i="44"/>
  <c r="L3570" i="44"/>
  <c r="J3570" i="44"/>
  <c r="V3540" i="44"/>
  <c r="T3540" i="44"/>
  <c r="T3546" i="44"/>
  <c r="J3549" i="44"/>
  <c r="R3540" i="44"/>
  <c r="P3540" i="44"/>
  <c r="N3540" i="44"/>
  <c r="L3540" i="44"/>
  <c r="J3540" i="44"/>
  <c r="J3497" i="44"/>
  <c r="J3509" i="44"/>
  <c r="V3509" i="44"/>
  <c r="T3509" i="44"/>
  <c r="R3509" i="44"/>
  <c r="P3509" i="44"/>
  <c r="N3509" i="44"/>
  <c r="L3509" i="44"/>
  <c r="J3468" i="44"/>
  <c r="J3480" i="44"/>
  <c r="L3480" i="44"/>
  <c r="V3480" i="44"/>
  <c r="T3480" i="44"/>
  <c r="R3480" i="44"/>
  <c r="P3480" i="44"/>
  <c r="N3480" i="44"/>
  <c r="V3452" i="44"/>
  <c r="T3452" i="44"/>
  <c r="T3458" i="44"/>
  <c r="J3461" i="44"/>
  <c r="R3452" i="44"/>
  <c r="P3452" i="44"/>
  <c r="P3458" i="44"/>
  <c r="J3462" i="44"/>
  <c r="N3452" i="44"/>
  <c r="J3452" i="44"/>
  <c r="L3452" i="44"/>
  <c r="L3415" i="44"/>
  <c r="L3424" i="44"/>
  <c r="V3424" i="44"/>
  <c r="T3424" i="44"/>
  <c r="T3430" i="44"/>
  <c r="J3433" i="44"/>
  <c r="P3424" i="44"/>
  <c r="N3424" i="44"/>
  <c r="J3424" i="44"/>
  <c r="R3424" i="44"/>
  <c r="N3383" i="44"/>
  <c r="N3395" i="44"/>
  <c r="L3385" i="44"/>
  <c r="L3395" i="44"/>
  <c r="R3387" i="44"/>
  <c r="R3385" i="44"/>
  <c r="V3395" i="44"/>
  <c r="T3395" i="44"/>
  <c r="T3401" i="44"/>
  <c r="J3404" i="44"/>
  <c r="P3395" i="44"/>
  <c r="J3395" i="44"/>
  <c r="R3395" i="44"/>
  <c r="T3486" i="44"/>
  <c r="J3489" i="44"/>
  <c r="P3576" i="44"/>
  <c r="J3580" i="44"/>
  <c r="J3577" i="44"/>
  <c r="J3578" i="44"/>
  <c r="P3546" i="44"/>
  <c r="J3550" i="44"/>
  <c r="J3547" i="44"/>
  <c r="J3548" i="44"/>
  <c r="T3515" i="44"/>
  <c r="J3518" i="44"/>
  <c r="P3515" i="44"/>
  <c r="J3519" i="44"/>
  <c r="J3516" i="44"/>
  <c r="J3517" i="44"/>
  <c r="P3486" i="44"/>
  <c r="J3490" i="44"/>
  <c r="J3487" i="44"/>
  <c r="J3488" i="44"/>
  <c r="J3459" i="44"/>
  <c r="J3460" i="44"/>
  <c r="P3430" i="44"/>
  <c r="J3434" i="44"/>
  <c r="J3431" i="44"/>
  <c r="J3432" i="44"/>
  <c r="P3401" i="44"/>
  <c r="J3405" i="44"/>
  <c r="J3402" i="44"/>
  <c r="J3403" i="44"/>
  <c r="V3366" i="44"/>
  <c r="T3366" i="44"/>
  <c r="T3372" i="44"/>
  <c r="J3375" i="44"/>
  <c r="R3366" i="44"/>
  <c r="P3366" i="44"/>
  <c r="N3366" i="44"/>
  <c r="L3366" i="44"/>
  <c r="J3366" i="44"/>
  <c r="P3372" i="44"/>
  <c r="J3376" i="44"/>
  <c r="J3373" i="44"/>
  <c r="J3374" i="44"/>
  <c r="V3338" i="44"/>
  <c r="T3338" i="44"/>
  <c r="T3344" i="44"/>
  <c r="J3347" i="44"/>
  <c r="R3338" i="44"/>
  <c r="P3338" i="44"/>
  <c r="N3338" i="44"/>
  <c r="L3338" i="44"/>
  <c r="J3338" i="44"/>
  <c r="V3310" i="44"/>
  <c r="T3310" i="44"/>
  <c r="T3316" i="44"/>
  <c r="J3319" i="44"/>
  <c r="R3310" i="44"/>
  <c r="P3310" i="44"/>
  <c r="N3310" i="44"/>
  <c r="L3310" i="44"/>
  <c r="J3310" i="44"/>
  <c r="V3281" i="44"/>
  <c r="T3281" i="44"/>
  <c r="T3287" i="44"/>
  <c r="J3290" i="44"/>
  <c r="R3281" i="44"/>
  <c r="P3281" i="44"/>
  <c r="N3281" i="44"/>
  <c r="L3281" i="44"/>
  <c r="J3281" i="44"/>
  <c r="V3253" i="44"/>
  <c r="T3253" i="44"/>
  <c r="R3253" i="44"/>
  <c r="P3253" i="44"/>
  <c r="N3253" i="44"/>
  <c r="L3253" i="44"/>
  <c r="J3253" i="44"/>
  <c r="J3212" i="44"/>
  <c r="J3223" i="44"/>
  <c r="V3223" i="44"/>
  <c r="T3223" i="44"/>
  <c r="R3223" i="44"/>
  <c r="P3223" i="44"/>
  <c r="N3223" i="44"/>
  <c r="L3223" i="44"/>
  <c r="T3229" i="44"/>
  <c r="J3232" i="44"/>
  <c r="T3259" i="44"/>
  <c r="J3262" i="44"/>
  <c r="J3345" i="44"/>
  <c r="J3346" i="44"/>
  <c r="P3344" i="44"/>
  <c r="P3316" i="44"/>
  <c r="J3317" i="44"/>
  <c r="J3318" i="44"/>
  <c r="P3287" i="44"/>
  <c r="J3288" i="44"/>
  <c r="J3289" i="44"/>
  <c r="P3259" i="44"/>
  <c r="J3260" i="44"/>
  <c r="J3261" i="44"/>
  <c r="J3230" i="44"/>
  <c r="J3231" i="44"/>
  <c r="V3193" i="44"/>
  <c r="T3193" i="44"/>
  <c r="R3193" i="44"/>
  <c r="P3193" i="44"/>
  <c r="N3193" i="44"/>
  <c r="L3193" i="44"/>
  <c r="J3193" i="44"/>
  <c r="T3199" i="44"/>
  <c r="J3202" i="44"/>
  <c r="P3199" i="44"/>
  <c r="J3200" i="44"/>
  <c r="J3201" i="44"/>
  <c r="N2" i="32"/>
  <c r="J3153" i="44"/>
  <c r="V3164" i="44"/>
  <c r="T3164" i="44"/>
  <c r="R3164" i="44"/>
  <c r="P3164" i="44"/>
  <c r="P3170" i="44"/>
  <c r="N3164" i="44"/>
  <c r="L3164" i="44"/>
  <c r="J3164" i="44"/>
  <c r="N3114" i="44"/>
  <c r="N3115" i="44"/>
  <c r="N3116" i="44"/>
  <c r="T3170" i="44"/>
  <c r="J3173" i="44"/>
  <c r="J3171" i="44"/>
  <c r="J3172" i="44"/>
  <c r="V3131" i="44"/>
  <c r="T3131" i="44"/>
  <c r="R3131" i="44"/>
  <c r="P3131" i="44"/>
  <c r="N3131" i="44"/>
  <c r="L3131" i="44"/>
  <c r="J3131" i="44"/>
  <c r="T3137" i="44"/>
  <c r="J3140" i="44"/>
  <c r="J3138" i="44"/>
  <c r="P3137" i="44"/>
  <c r="J3139" i="44"/>
  <c r="V3101" i="44"/>
  <c r="T3101" i="44"/>
  <c r="T3107" i="44"/>
  <c r="J3110" i="44"/>
  <c r="R3101" i="44"/>
  <c r="P3101" i="44"/>
  <c r="N3101" i="44"/>
  <c r="L3101" i="44"/>
  <c r="J3101" i="44"/>
  <c r="J3108" i="44"/>
  <c r="P3107" i="44"/>
  <c r="J3109" i="44"/>
  <c r="B85" i="4"/>
  <c r="B86" i="4"/>
  <c r="V3073" i="44"/>
  <c r="T3073" i="44"/>
  <c r="R3073" i="44"/>
  <c r="P3073" i="44"/>
  <c r="N3073" i="44"/>
  <c r="L3073" i="44"/>
  <c r="J3073" i="44"/>
  <c r="J3080" i="44"/>
  <c r="T3079" i="44"/>
  <c r="J3082" i="44"/>
  <c r="P3079" i="44"/>
  <c r="J3081" i="44"/>
  <c r="R3029" i="44"/>
  <c r="V3041" i="44"/>
  <c r="T3041" i="44"/>
  <c r="T3047" i="44"/>
  <c r="J3050" i="44"/>
  <c r="R3041" i="44"/>
  <c r="P3041" i="44"/>
  <c r="N3041" i="44"/>
  <c r="L3041" i="44"/>
  <c r="J3041" i="44"/>
  <c r="J3048" i="44"/>
  <c r="Q3022" i="44"/>
  <c r="Q3023" i="44"/>
  <c r="V3005" i="44"/>
  <c r="T3005" i="44"/>
  <c r="R3005" i="44"/>
  <c r="P3005" i="44"/>
  <c r="N3005" i="44"/>
  <c r="L3005" i="44"/>
  <c r="J3005" i="44"/>
  <c r="J3012" i="44"/>
  <c r="T3011" i="44"/>
  <c r="J3014" i="44"/>
  <c r="P3047" i="44"/>
  <c r="J3049" i="44"/>
  <c r="P3011" i="44"/>
  <c r="J3013" i="44"/>
  <c r="V2975" i="44"/>
  <c r="T2975" i="44"/>
  <c r="T2981" i="44"/>
  <c r="J2984" i="44"/>
  <c r="R2975" i="44"/>
  <c r="P2975" i="44"/>
  <c r="N2975" i="44"/>
  <c r="L2975" i="44"/>
  <c r="J2975" i="44"/>
  <c r="P2930" i="44"/>
  <c r="P2932" i="44"/>
  <c r="V2946" i="44"/>
  <c r="T2946" i="44"/>
  <c r="T2952" i="44"/>
  <c r="J2955" i="44"/>
  <c r="R2946" i="44"/>
  <c r="P2946" i="44"/>
  <c r="N2946" i="44"/>
  <c r="L2946" i="44"/>
  <c r="J2946" i="44"/>
  <c r="J2953" i="44"/>
  <c r="P2928" i="44"/>
  <c r="V2913" i="44"/>
  <c r="T2913" i="44"/>
  <c r="T2919" i="44"/>
  <c r="J2922" i="44"/>
  <c r="R2913" i="44"/>
  <c r="P2913" i="44"/>
  <c r="N2913" i="44"/>
  <c r="L2913" i="44"/>
  <c r="J2913" i="44"/>
  <c r="V2885" i="44"/>
  <c r="T2885" i="44"/>
  <c r="R2885" i="44"/>
  <c r="P2885" i="44"/>
  <c r="N2885" i="44"/>
  <c r="L2885" i="44"/>
  <c r="J2885" i="44"/>
  <c r="J2846" i="44"/>
  <c r="J2858" i="44"/>
  <c r="V2858" i="44"/>
  <c r="T2858" i="44"/>
  <c r="T2864" i="44"/>
  <c r="J2867" i="44"/>
  <c r="R2858" i="44"/>
  <c r="P2858" i="44"/>
  <c r="N2858" i="44"/>
  <c r="L2858" i="44"/>
  <c r="C11" i="32"/>
  <c r="V2821" i="44"/>
  <c r="T2821" i="44"/>
  <c r="T2827" i="44"/>
  <c r="J2830" i="44"/>
  <c r="R2821" i="44"/>
  <c r="P2821" i="44"/>
  <c r="N2821" i="44"/>
  <c r="L2821" i="44"/>
  <c r="J2821" i="44"/>
  <c r="J2828" i="44"/>
  <c r="J2920" i="44"/>
  <c r="J2982" i="44"/>
  <c r="P2952" i="44"/>
  <c r="P2981" i="44"/>
  <c r="J2983" i="44"/>
  <c r="J2954" i="44"/>
  <c r="P2919" i="44"/>
  <c r="J2921" i="44"/>
  <c r="T2891" i="44"/>
  <c r="J2894" i="44"/>
  <c r="P2891" i="44"/>
  <c r="J2892" i="44"/>
  <c r="J2893" i="44"/>
  <c r="P2864" i="44"/>
  <c r="J2865" i="44"/>
  <c r="J2866" i="44"/>
  <c r="P2827" i="44"/>
  <c r="J2829" i="44"/>
  <c r="J2838" i="44"/>
  <c r="V2787" i="44"/>
  <c r="T2787" i="44"/>
  <c r="T2793" i="44"/>
  <c r="J2796" i="44"/>
  <c r="R2787" i="44"/>
  <c r="P2787" i="44"/>
  <c r="N2787" i="44"/>
  <c r="L2787" i="44"/>
  <c r="J2787" i="44"/>
  <c r="P2793" i="44"/>
  <c r="J2794" i="44"/>
  <c r="J2795" i="44"/>
  <c r="V2754" i="44"/>
  <c r="T2754" i="44"/>
  <c r="R2754" i="44"/>
  <c r="P2754" i="44"/>
  <c r="N2754" i="44"/>
  <c r="L2754" i="44"/>
  <c r="J2754" i="44"/>
  <c r="J2761" i="44"/>
  <c r="T2760" i="44"/>
  <c r="J2763" i="44"/>
  <c r="P2760" i="44"/>
  <c r="J2762" i="44"/>
  <c r="V2718" i="44"/>
  <c r="T2718" i="44"/>
  <c r="R2718" i="44"/>
  <c r="P2718" i="44"/>
  <c r="P2724" i="44"/>
  <c r="N2718" i="44"/>
  <c r="L2718" i="44"/>
  <c r="J2718" i="44"/>
  <c r="V2685" i="44"/>
  <c r="T2685" i="44"/>
  <c r="R2685" i="44"/>
  <c r="P2685" i="44"/>
  <c r="P2691" i="44"/>
  <c r="N2685" i="44"/>
  <c r="L2685" i="44"/>
  <c r="J2685" i="44"/>
  <c r="T2691" i="44"/>
  <c r="J2694" i="44"/>
  <c r="T2724" i="44"/>
  <c r="J2727" i="44"/>
  <c r="J2725" i="44"/>
  <c r="J2726" i="44"/>
  <c r="J2692" i="44"/>
  <c r="J2693" i="44"/>
  <c r="V2654" i="44"/>
  <c r="T2654" i="44"/>
  <c r="R2654" i="44"/>
  <c r="P2654" i="44"/>
  <c r="P2660" i="44"/>
  <c r="N2654" i="44"/>
  <c r="L2654" i="44"/>
  <c r="J2654" i="44"/>
  <c r="T2660" i="44"/>
  <c r="J2663" i="44"/>
  <c r="J2661" i="44"/>
  <c r="J2662" i="44"/>
  <c r="V2622" i="44"/>
  <c r="T2622" i="44"/>
  <c r="T2628" i="44"/>
  <c r="J2631" i="44"/>
  <c r="R2622" i="44"/>
  <c r="P2622" i="44"/>
  <c r="P2628" i="44"/>
  <c r="P2629" i="44"/>
  <c r="N2622" i="44"/>
  <c r="L2622" i="44"/>
  <c r="J2622" i="44"/>
  <c r="J2629" i="44"/>
  <c r="J2630" i="44"/>
  <c r="V2591" i="44"/>
  <c r="T2591" i="44"/>
  <c r="R2591" i="44"/>
  <c r="P2591" i="44"/>
  <c r="N2591" i="44"/>
  <c r="L2591" i="44"/>
  <c r="J2591" i="44"/>
  <c r="T2597" i="44"/>
  <c r="J2600" i="44"/>
  <c r="J2598" i="44"/>
  <c r="J2599" i="44"/>
  <c r="P2598" i="44"/>
  <c r="C26" i="32"/>
  <c r="T2550" i="44"/>
  <c r="V2562" i="44"/>
  <c r="T2562" i="44"/>
  <c r="T2568" i="44"/>
  <c r="J2571" i="44"/>
  <c r="R2562" i="44"/>
  <c r="P2562" i="44"/>
  <c r="N2562" i="44"/>
  <c r="L2562" i="44"/>
  <c r="J2562" i="44"/>
  <c r="P2569" i="44"/>
  <c r="J2569" i="44"/>
  <c r="J2570" i="44"/>
  <c r="V2532" i="44"/>
  <c r="T2532" i="44"/>
  <c r="R2532" i="44"/>
  <c r="P2532" i="44"/>
  <c r="N2532" i="44"/>
  <c r="L2532" i="44"/>
  <c r="J2532" i="44"/>
  <c r="T2538" i="44"/>
  <c r="J2541" i="44"/>
  <c r="P2539" i="44"/>
  <c r="J2539" i="44"/>
  <c r="J2540" i="44"/>
  <c r="V2499" i="44"/>
  <c r="T2499" i="44"/>
  <c r="R2499" i="44"/>
  <c r="P2499" i="44"/>
  <c r="N2499" i="44"/>
  <c r="L2499" i="44"/>
  <c r="J2499" i="44"/>
  <c r="T2505" i="44"/>
  <c r="J2508" i="44"/>
  <c r="P2506" i="44"/>
  <c r="J2506" i="44"/>
  <c r="J2507" i="44"/>
  <c r="V2465" i="44"/>
  <c r="T2465" i="44"/>
  <c r="T2471" i="44"/>
  <c r="J2474" i="44"/>
  <c r="R2465" i="44"/>
  <c r="N2465" i="44"/>
  <c r="L2465" i="44"/>
  <c r="J2465" i="44"/>
  <c r="P2465" i="44"/>
  <c r="J2472" i="44"/>
  <c r="P2472" i="44"/>
  <c r="J2473" i="44"/>
  <c r="P2418" i="44"/>
  <c r="V2429" i="44"/>
  <c r="T2429" i="44"/>
  <c r="R2429" i="44"/>
  <c r="P2429" i="44"/>
  <c r="P2436" i="44"/>
  <c r="N2429" i="44"/>
  <c r="J2429" i="44"/>
  <c r="L2429" i="44"/>
  <c r="T2435" i="44"/>
  <c r="J2438" i="44"/>
  <c r="J2436" i="44"/>
  <c r="J2437" i="44"/>
  <c r="J2441" i="44"/>
  <c r="L2385" i="44"/>
  <c r="V2397" i="44"/>
  <c r="T2397" i="44"/>
  <c r="T2403" i="44"/>
  <c r="J2406" i="44"/>
  <c r="R2397" i="44"/>
  <c r="P2397" i="44"/>
  <c r="N2397" i="44"/>
  <c r="L2397" i="44"/>
  <c r="J2397" i="44"/>
  <c r="J2404" i="44"/>
  <c r="J2405" i="44"/>
  <c r="J2408" i="44"/>
  <c r="P2404" i="44"/>
  <c r="V2365" i="44"/>
  <c r="T2365" i="44"/>
  <c r="T2371" i="44"/>
  <c r="J2374" i="44"/>
  <c r="R2365" i="44"/>
  <c r="P2365" i="44"/>
  <c r="P2372" i="44"/>
  <c r="N2365" i="44"/>
  <c r="L2365" i="44"/>
  <c r="J2365" i="44"/>
  <c r="J2372" i="44"/>
  <c r="J2373" i="44"/>
  <c r="X2322" i="44"/>
  <c r="V2322" i="44"/>
  <c r="T2322" i="44"/>
  <c r="R2322" i="44"/>
  <c r="P2322" i="44"/>
  <c r="P2329" i="44"/>
  <c r="P2336" i="44"/>
  <c r="N2322" i="44"/>
  <c r="L2322" i="44"/>
  <c r="J2322" i="44"/>
  <c r="T2328" i="44"/>
  <c r="J2331" i="44"/>
  <c r="J2329" i="44"/>
  <c r="J2330" i="44"/>
  <c r="X2290" i="44"/>
  <c r="V2290" i="44"/>
  <c r="T2290" i="44"/>
  <c r="R2290" i="44"/>
  <c r="P2290" i="44"/>
  <c r="P2297" i="44"/>
  <c r="N2290" i="44"/>
  <c r="L2290" i="44"/>
  <c r="J2290" i="44"/>
  <c r="P2249" i="44"/>
  <c r="P2260" i="44"/>
  <c r="L2248" i="44"/>
  <c r="L2260" i="44"/>
  <c r="J2267" i="44"/>
  <c r="X2260" i="44"/>
  <c r="V2260" i="44"/>
  <c r="T2260" i="44"/>
  <c r="R2260" i="44"/>
  <c r="N2260" i="44"/>
  <c r="J2260" i="44"/>
  <c r="T2266" i="44"/>
  <c r="J2269" i="44"/>
  <c r="J2297" i="44"/>
  <c r="J2298" i="44"/>
  <c r="J2302" i="44"/>
  <c r="T2296" i="44"/>
  <c r="J2299" i="44"/>
  <c r="J2268" i="44"/>
  <c r="L2219" i="44"/>
  <c r="X2231" i="44"/>
  <c r="V2231" i="44"/>
  <c r="T2231" i="44"/>
  <c r="R2231" i="44"/>
  <c r="P2231" i="44"/>
  <c r="P2238" i="44"/>
  <c r="N2231" i="44"/>
  <c r="L2231" i="44"/>
  <c r="J2231" i="44"/>
  <c r="X2193" i="44"/>
  <c r="V2193" i="44"/>
  <c r="T2193" i="44"/>
  <c r="R2193" i="44"/>
  <c r="P2193" i="44"/>
  <c r="P2200" i="44"/>
  <c r="N2193" i="44"/>
  <c r="L2193" i="44"/>
  <c r="J2193" i="44"/>
  <c r="X2156" i="44"/>
  <c r="V2156" i="44"/>
  <c r="T2156" i="44"/>
  <c r="R2156" i="44"/>
  <c r="P2156" i="44"/>
  <c r="N2156" i="44"/>
  <c r="L2156" i="44"/>
  <c r="J2156" i="44"/>
  <c r="V2125" i="44"/>
  <c r="T2125" i="44"/>
  <c r="T2131" i="44"/>
  <c r="J2134" i="44"/>
  <c r="R2125" i="44"/>
  <c r="P2125" i="44"/>
  <c r="N2125" i="44"/>
  <c r="L2125" i="44"/>
  <c r="J2125" i="44"/>
  <c r="J2132" i="44"/>
  <c r="L2098" i="44"/>
  <c r="K2067" i="44"/>
  <c r="K2066" i="44"/>
  <c r="K2068" i="44"/>
  <c r="M2" i="32"/>
  <c r="V2086" i="44"/>
  <c r="T2086" i="44"/>
  <c r="R2086" i="44"/>
  <c r="P2086" i="44"/>
  <c r="N2086" i="44"/>
  <c r="L2086" i="44"/>
  <c r="J2086" i="44"/>
  <c r="V2052" i="44"/>
  <c r="T2058" i="44"/>
  <c r="J2061" i="44"/>
  <c r="T2052" i="44"/>
  <c r="R2052" i="44"/>
  <c r="P2052" i="44"/>
  <c r="N2052" i="44"/>
  <c r="L2052" i="44"/>
  <c r="J2052" i="44"/>
  <c r="P2092" i="44"/>
  <c r="T2162" i="44"/>
  <c r="J2165" i="44"/>
  <c r="P2162" i="44"/>
  <c r="J2238" i="44"/>
  <c r="T2237" i="44"/>
  <c r="J2240" i="44"/>
  <c r="J2239" i="44"/>
  <c r="T2199" i="44"/>
  <c r="J2202" i="44"/>
  <c r="J2200" i="44"/>
  <c r="J2201" i="44"/>
  <c r="J2205" i="44"/>
  <c r="J2163" i="44"/>
  <c r="J2164" i="44"/>
  <c r="P2131" i="44"/>
  <c r="J2133" i="44"/>
  <c r="T2092" i="44"/>
  <c r="J2095" i="44"/>
  <c r="J2093" i="44"/>
  <c r="J2094" i="44"/>
  <c r="K2098" i="44"/>
  <c r="J2059" i="44"/>
  <c r="J2060" i="44"/>
  <c r="V2019" i="44"/>
  <c r="T2019" i="44"/>
  <c r="R2019" i="44"/>
  <c r="P2019" i="44"/>
  <c r="N2019" i="44"/>
  <c r="L2019" i="44"/>
  <c r="J2019" i="44"/>
  <c r="J2244" i="44"/>
  <c r="K2239" i="44"/>
  <c r="K2240" i="44"/>
  <c r="T2025" i="44"/>
  <c r="J2028" i="44"/>
  <c r="J2026" i="44"/>
  <c r="J2027" i="44"/>
  <c r="R1971" i="44"/>
  <c r="R1969" i="44"/>
  <c r="V1981" i="44"/>
  <c r="T1981" i="44"/>
  <c r="P1981" i="44"/>
  <c r="N1981" i="44"/>
  <c r="L1981" i="44"/>
  <c r="J1981" i="44"/>
  <c r="T1987" i="44"/>
  <c r="J1990" i="44"/>
  <c r="J1988" i="44"/>
  <c r="J1989" i="44"/>
  <c r="R1981" i="44"/>
  <c r="V1944" i="44"/>
  <c r="T1944" i="44"/>
  <c r="R1944" i="44"/>
  <c r="P1944" i="44"/>
  <c r="N1944" i="44"/>
  <c r="L1944" i="44"/>
  <c r="J1944" i="44"/>
  <c r="J1951" i="44"/>
  <c r="T1950" i="44"/>
  <c r="J1953" i="44"/>
  <c r="J1952" i="44"/>
  <c r="V1914" i="44"/>
  <c r="T1914" i="44"/>
  <c r="R1914" i="44"/>
  <c r="P1914" i="44"/>
  <c r="N1914" i="44"/>
  <c r="L1914" i="44"/>
  <c r="J1914" i="44"/>
  <c r="T1920" i="44"/>
  <c r="J1923" i="44"/>
  <c r="J1921" i="44"/>
  <c r="J1922" i="44"/>
  <c r="N1882" i="44"/>
  <c r="V1875" i="44"/>
  <c r="T1875" i="44"/>
  <c r="R1875" i="44"/>
  <c r="P1875" i="44"/>
  <c r="P1881" i="44"/>
  <c r="N1875" i="44"/>
  <c r="L1875" i="44"/>
  <c r="J1875" i="44"/>
  <c r="T1881" i="44"/>
  <c r="J1884" i="44"/>
  <c r="J1882" i="44"/>
  <c r="J1883" i="44"/>
  <c r="N1851" i="44"/>
  <c r="V1844" i="44"/>
  <c r="T1844" i="44"/>
  <c r="R1844" i="44"/>
  <c r="P1844" i="44"/>
  <c r="N1844" i="44"/>
  <c r="L1844" i="44"/>
  <c r="J1844" i="44"/>
  <c r="J1851" i="44"/>
  <c r="J1852" i="44"/>
  <c r="T1850" i="44"/>
  <c r="J1853" i="44"/>
  <c r="R1805" i="44"/>
  <c r="R1804" i="44"/>
  <c r="R1803" i="44"/>
  <c r="N1822" i="44"/>
  <c r="V1815" i="44"/>
  <c r="T1815" i="44"/>
  <c r="R1815" i="44"/>
  <c r="P1815" i="44"/>
  <c r="N1815" i="44"/>
  <c r="J1815" i="44"/>
  <c r="L1803" i="44"/>
  <c r="L1815" i="44"/>
  <c r="P1821" i="44"/>
  <c r="T1821" i="44"/>
  <c r="J1824" i="44"/>
  <c r="J1822" i="44"/>
  <c r="J1823" i="44"/>
  <c r="N1780" i="44"/>
  <c r="V1773" i="44"/>
  <c r="T1773" i="44"/>
  <c r="T1779" i="44"/>
  <c r="J1782" i="44"/>
  <c r="R1773" i="44"/>
  <c r="P1773" i="44"/>
  <c r="N1773" i="44"/>
  <c r="L1773" i="44"/>
  <c r="J1773" i="44"/>
  <c r="J1780" i="44"/>
  <c r="J1781" i="44"/>
  <c r="L1731" i="44"/>
  <c r="C22" i="32"/>
  <c r="C25" i="32"/>
  <c r="J1727" i="44"/>
  <c r="J1739" i="44"/>
  <c r="N1746" i="44"/>
  <c r="V1739" i="44"/>
  <c r="T1739" i="44"/>
  <c r="R1739" i="44"/>
  <c r="P1739" i="44"/>
  <c r="N1739" i="44"/>
  <c r="L1739" i="44"/>
  <c r="J1746" i="44"/>
  <c r="J1747" i="44"/>
  <c r="T1745" i="44"/>
  <c r="J1748" i="44"/>
  <c r="N1713" i="44"/>
  <c r="V1706" i="44"/>
  <c r="T1706" i="44"/>
  <c r="R1706" i="44"/>
  <c r="P1706" i="44"/>
  <c r="N1706" i="44"/>
  <c r="L1706" i="44"/>
  <c r="J1706" i="44"/>
  <c r="J1713" i="44"/>
  <c r="J1714" i="44"/>
  <c r="T1712" i="44"/>
  <c r="J1715" i="44"/>
  <c r="N1681" i="44"/>
  <c r="V1674" i="44"/>
  <c r="T1674" i="44"/>
  <c r="P1674" i="44"/>
  <c r="N1674" i="44"/>
  <c r="L1674" i="44"/>
  <c r="J1674" i="44"/>
  <c r="R1674" i="44"/>
  <c r="T1680" i="44"/>
  <c r="J1683" i="44"/>
  <c r="J1681" i="44"/>
  <c r="J1682" i="44"/>
  <c r="K1687" i="44"/>
  <c r="N1630" i="44"/>
  <c r="P1648" i="44"/>
  <c r="R1633" i="44"/>
  <c r="N1648" i="44"/>
  <c r="V1641" i="44"/>
  <c r="T1641" i="44"/>
  <c r="R1641" i="44"/>
  <c r="P1641" i="44"/>
  <c r="N1641" i="44"/>
  <c r="L1641" i="44"/>
  <c r="J1641" i="44"/>
  <c r="N1612" i="44"/>
  <c r="V1605" i="44"/>
  <c r="T1605" i="44"/>
  <c r="R1605" i="44"/>
  <c r="P1605" i="44"/>
  <c r="N1605" i="44"/>
  <c r="L1605" i="44"/>
  <c r="J1605" i="44"/>
  <c r="T1611" i="44"/>
  <c r="J1614" i="44"/>
  <c r="T1647" i="44"/>
  <c r="J1650" i="44"/>
  <c r="P1647" i="44"/>
  <c r="P1649" i="44"/>
  <c r="J1648" i="44"/>
  <c r="J1649" i="44"/>
  <c r="P1611" i="44"/>
  <c r="J1612" i="44"/>
  <c r="J1613" i="44"/>
  <c r="P1585" i="44"/>
  <c r="P1587" i="44"/>
  <c r="N1571" i="44"/>
  <c r="V1571" i="44"/>
  <c r="T1571" i="44"/>
  <c r="N1578" i="44"/>
  <c r="R1571" i="44"/>
  <c r="P1571" i="44"/>
  <c r="L1571" i="44"/>
  <c r="J1571" i="44"/>
  <c r="J1578" i="44"/>
  <c r="J1579" i="44"/>
  <c r="P1577" i="44"/>
  <c r="P1588" i="44"/>
  <c r="P1548" i="44"/>
  <c r="J1541" i="44"/>
  <c r="N1539" i="44"/>
  <c r="R1532" i="44"/>
  <c r="P1532" i="44"/>
  <c r="N1532" i="44"/>
  <c r="L1532" i="44"/>
  <c r="J1532" i="44"/>
  <c r="N1503" i="44"/>
  <c r="L1503" i="44"/>
  <c r="N1510" i="44"/>
  <c r="V1503" i="44"/>
  <c r="T1503" i="44"/>
  <c r="R1503" i="44"/>
  <c r="P1503" i="44"/>
  <c r="J1503" i="44"/>
  <c r="L1456" i="44"/>
  <c r="T1509" i="44"/>
  <c r="J1512" i="44"/>
  <c r="P1538" i="44"/>
  <c r="J1539" i="44"/>
  <c r="J1540" i="44"/>
  <c r="J1510" i="44"/>
  <c r="J1511" i="44"/>
  <c r="P1509" i="44"/>
  <c r="L1467" i="44"/>
  <c r="N1474" i="44"/>
  <c r="V1467" i="44"/>
  <c r="T1467" i="44"/>
  <c r="R1467" i="44"/>
  <c r="P1467" i="44"/>
  <c r="N1467" i="44"/>
  <c r="J1467" i="44"/>
  <c r="T1473" i="44"/>
  <c r="J1476" i="44"/>
  <c r="P1473" i="44"/>
  <c r="J1474" i="44"/>
  <c r="J1475" i="44"/>
  <c r="N1440" i="44"/>
  <c r="V1433" i="44"/>
  <c r="T1433" i="44"/>
  <c r="R1433" i="44"/>
  <c r="P1433" i="44"/>
  <c r="N1433" i="44"/>
  <c r="L1433" i="44"/>
  <c r="J1433" i="44"/>
  <c r="L2" i="32"/>
  <c r="T1439" i="44"/>
  <c r="J1442" i="44"/>
  <c r="J1440" i="44"/>
  <c r="J1441" i="44"/>
  <c r="P1439" i="44"/>
  <c r="N1402" i="44"/>
  <c r="V1395" i="44"/>
  <c r="T1395" i="44"/>
  <c r="R1395" i="44"/>
  <c r="P1395" i="44"/>
  <c r="N1395" i="44"/>
  <c r="L1395" i="44"/>
  <c r="J1395" i="44"/>
  <c r="V1362" i="44"/>
  <c r="T1362" i="44"/>
  <c r="R1362" i="44"/>
  <c r="P1362" i="44"/>
  <c r="N1362" i="44"/>
  <c r="L1362" i="44"/>
  <c r="J1362" i="44"/>
  <c r="J1282" i="44"/>
  <c r="L1282" i="44"/>
  <c r="N1282" i="44"/>
  <c r="P1282" i="44"/>
  <c r="R1282" i="44"/>
  <c r="T1282" i="44"/>
  <c r="V1282" i="44"/>
  <c r="T1401" i="44"/>
  <c r="J1404" i="44"/>
  <c r="T1368" i="44"/>
  <c r="J1371" i="44"/>
  <c r="J1289" i="44"/>
  <c r="J1290" i="44"/>
  <c r="P1288" i="44"/>
  <c r="T1288" i="44"/>
  <c r="J1291" i="44"/>
  <c r="J1402" i="44"/>
  <c r="J1403" i="44"/>
  <c r="J1406" i="44"/>
  <c r="P1401" i="44"/>
  <c r="P1406" i="44"/>
  <c r="P1368" i="44"/>
  <c r="J1369" i="44"/>
  <c r="J1370" i="44"/>
  <c r="V1319" i="44"/>
  <c r="T1319" i="44"/>
  <c r="R1319" i="44"/>
  <c r="P1319" i="44"/>
  <c r="N1319" i="44"/>
  <c r="L1319" i="44"/>
  <c r="J1319" i="44"/>
  <c r="V1244" i="44"/>
  <c r="T1244" i="44"/>
  <c r="R1244" i="44"/>
  <c r="P1244" i="44"/>
  <c r="N1244" i="44"/>
  <c r="J1244" i="44"/>
  <c r="L1244" i="44"/>
  <c r="L1203" i="44"/>
  <c r="T1325" i="44"/>
  <c r="J1328" i="44"/>
  <c r="P1325" i="44"/>
  <c r="T1250" i="44"/>
  <c r="J1253" i="44"/>
  <c r="J1326" i="44"/>
  <c r="J1327" i="44"/>
  <c r="P1250" i="44"/>
  <c r="J1251" i="44"/>
  <c r="J1252" i="44"/>
  <c r="V1212" i="44"/>
  <c r="T1212" i="44"/>
  <c r="R1212" i="44"/>
  <c r="P1212" i="44"/>
  <c r="N1212" i="44"/>
  <c r="L1212" i="44"/>
  <c r="J1212" i="44"/>
  <c r="N1189" i="44"/>
  <c r="B76" i="4"/>
  <c r="B77" i="4"/>
  <c r="B78" i="4"/>
  <c r="B79" i="4"/>
  <c r="B80" i="4"/>
  <c r="B81" i="4"/>
  <c r="B82" i="4"/>
  <c r="B83" i="4"/>
  <c r="T1218" i="44"/>
  <c r="J1221" i="44"/>
  <c r="J1219" i="44"/>
  <c r="J1220" i="44"/>
  <c r="K1224" i="44"/>
  <c r="P1218" i="44"/>
  <c r="V1182" i="44"/>
  <c r="T1182" i="44"/>
  <c r="R1182" i="44"/>
  <c r="P1182" i="44"/>
  <c r="N1182" i="44"/>
  <c r="L1182" i="44"/>
  <c r="J1182" i="44"/>
  <c r="N1154" i="44"/>
  <c r="N1156" i="44"/>
  <c r="V1147" i="44"/>
  <c r="T1147" i="44"/>
  <c r="R1147" i="44"/>
  <c r="P1147" i="44"/>
  <c r="N1147" i="44"/>
  <c r="L1147" i="44"/>
  <c r="J1147" i="44"/>
  <c r="V1110" i="44"/>
  <c r="T1110" i="44"/>
  <c r="R1110" i="44"/>
  <c r="P1110" i="44"/>
  <c r="N1110" i="44"/>
  <c r="L1110" i="44"/>
  <c r="J1110" i="44"/>
  <c r="V1076" i="44"/>
  <c r="T1076" i="44"/>
  <c r="R1076" i="44"/>
  <c r="P1076" i="44"/>
  <c r="N1076" i="44"/>
  <c r="L1076" i="44"/>
  <c r="J1076" i="44"/>
  <c r="T1153" i="44"/>
  <c r="J1156" i="44"/>
  <c r="T1188" i="44"/>
  <c r="J1191" i="44"/>
  <c r="P1082" i="44"/>
  <c r="T1116" i="44"/>
  <c r="J1119" i="44"/>
  <c r="P1188" i="44"/>
  <c r="T1082" i="44"/>
  <c r="J1085" i="44"/>
  <c r="J1189" i="44"/>
  <c r="J1190" i="44"/>
  <c r="J1154" i="44"/>
  <c r="J1155" i="44"/>
  <c r="P1153" i="44"/>
  <c r="J1117" i="44"/>
  <c r="J1118" i="44"/>
  <c r="P1116" i="44"/>
  <c r="J1083" i="44"/>
  <c r="J1084" i="44"/>
  <c r="V1040" i="44"/>
  <c r="T1040" i="44"/>
  <c r="R1040" i="44"/>
  <c r="P1040" i="44"/>
  <c r="N1040" i="44"/>
  <c r="L1040" i="44"/>
  <c r="J1040" i="44"/>
  <c r="J1047" i="44"/>
  <c r="J1048" i="44"/>
  <c r="P1046" i="44"/>
  <c r="T1046" i="44"/>
  <c r="J1049" i="44"/>
  <c r="V1006" i="44"/>
  <c r="T1006" i="44"/>
  <c r="R1006" i="44"/>
  <c r="P1006" i="44"/>
  <c r="N1006" i="44"/>
  <c r="L1006" i="44"/>
  <c r="J1006" i="44"/>
  <c r="T971" i="44"/>
  <c r="T977" i="44"/>
  <c r="J980" i="44"/>
  <c r="T1012" i="44"/>
  <c r="J1015" i="44"/>
  <c r="P1012" i="44"/>
  <c r="J1013" i="44"/>
  <c r="J1014" i="44"/>
  <c r="R971" i="44"/>
  <c r="P971" i="44"/>
  <c r="N971" i="44"/>
  <c r="L971" i="44"/>
  <c r="J971" i="44"/>
  <c r="R941" i="44"/>
  <c r="P941" i="44"/>
  <c r="N941" i="44"/>
  <c r="L941" i="44"/>
  <c r="J941" i="44"/>
  <c r="J948" i="44"/>
  <c r="J949" i="44"/>
  <c r="J978" i="44"/>
  <c r="J979" i="44"/>
  <c r="P977" i="44"/>
  <c r="P947" i="44"/>
  <c r="R907" i="44"/>
  <c r="P907" i="44"/>
  <c r="N907" i="44"/>
  <c r="L907" i="44"/>
  <c r="J907" i="44"/>
  <c r="R874" i="44"/>
  <c r="P874" i="44"/>
  <c r="N874" i="44"/>
  <c r="L874" i="44"/>
  <c r="J874" i="44"/>
  <c r="R833" i="44"/>
  <c r="P833" i="44"/>
  <c r="N833" i="44"/>
  <c r="L833" i="44"/>
  <c r="J833" i="44"/>
  <c r="P839" i="44"/>
  <c r="P880" i="44"/>
  <c r="J881" i="44"/>
  <c r="P913" i="44"/>
  <c r="J914" i="44"/>
  <c r="J915" i="44"/>
  <c r="J882" i="44"/>
  <c r="J840" i="44"/>
  <c r="J841" i="44"/>
  <c r="T800" i="44"/>
  <c r="R800" i="44"/>
  <c r="P800" i="44"/>
  <c r="N800" i="44"/>
  <c r="L800" i="44"/>
  <c r="J800" i="44"/>
  <c r="P806" i="44"/>
  <c r="J807" i="44"/>
  <c r="J808" i="44"/>
  <c r="J758" i="44"/>
  <c r="N758" i="44"/>
  <c r="T758" i="44"/>
  <c r="Q766" i="44"/>
  <c r="O742" i="44"/>
  <c r="R758" i="44"/>
  <c r="P758" i="44"/>
  <c r="L758" i="44"/>
  <c r="P764" i="44"/>
  <c r="J765" i="44"/>
  <c r="J766" i="44"/>
  <c r="J770" i="44"/>
  <c r="R727" i="44"/>
  <c r="P727" i="44"/>
  <c r="N727" i="44"/>
  <c r="L727" i="44"/>
  <c r="J727" i="44"/>
  <c r="R699" i="44"/>
  <c r="P699" i="44"/>
  <c r="N699" i="44"/>
  <c r="L699" i="44"/>
  <c r="J699" i="44"/>
  <c r="P705" i="44"/>
  <c r="P733" i="44"/>
  <c r="J734" i="44"/>
  <c r="J735" i="44"/>
  <c r="J706" i="44"/>
  <c r="J707" i="44"/>
  <c r="AA64" i="41"/>
  <c r="R664" i="44"/>
  <c r="P664" i="44"/>
  <c r="N664" i="44"/>
  <c r="L664" i="44"/>
  <c r="J664" i="44"/>
  <c r="B65" i="4"/>
  <c r="B66" i="4"/>
  <c r="B67" i="4"/>
  <c r="B68" i="4"/>
  <c r="B69" i="4"/>
  <c r="B70" i="4"/>
  <c r="B71" i="4"/>
  <c r="B72" i="4"/>
  <c r="B73" i="4"/>
  <c r="B74" i="4"/>
  <c r="P670" i="44"/>
  <c r="J671" i="44"/>
  <c r="J672" i="44"/>
  <c r="N638" i="44"/>
  <c r="N639" i="44"/>
  <c r="R631" i="44"/>
  <c r="P631" i="44"/>
  <c r="N631" i="44"/>
  <c r="L631" i="44"/>
  <c r="J631" i="44"/>
  <c r="P637" i="44"/>
  <c r="J638" i="44"/>
  <c r="J639" i="44"/>
  <c r="N609" i="44"/>
  <c r="N610" i="44"/>
  <c r="R602" i="44"/>
  <c r="P602" i="44"/>
  <c r="N602" i="44"/>
  <c r="L602" i="44"/>
  <c r="J602" i="44"/>
  <c r="N577" i="44"/>
  <c r="R570" i="44"/>
  <c r="P570" i="44"/>
  <c r="N570" i="44"/>
  <c r="L570" i="44"/>
  <c r="J570" i="44"/>
  <c r="P608" i="44"/>
  <c r="J609" i="44"/>
  <c r="J610" i="44"/>
  <c r="J577" i="44"/>
  <c r="J578" i="44"/>
  <c r="R540" i="44"/>
  <c r="P540" i="44"/>
  <c r="N540" i="44"/>
  <c r="L540" i="44"/>
  <c r="J540" i="44"/>
  <c r="N513" i="44"/>
  <c r="R509" i="44"/>
  <c r="P509" i="44"/>
  <c r="N509" i="44"/>
  <c r="L509" i="44"/>
  <c r="J509" i="44"/>
  <c r="J547" i="44"/>
  <c r="J548" i="44"/>
  <c r="J516" i="44"/>
  <c r="J517" i="44"/>
  <c r="J470" i="44"/>
  <c r="J479" i="44"/>
  <c r="R479" i="44"/>
  <c r="P479" i="44"/>
  <c r="N479" i="44"/>
  <c r="L479" i="44"/>
  <c r="L458" i="44"/>
  <c r="K2" i="32"/>
  <c r="L450" i="44"/>
  <c r="R442" i="44"/>
  <c r="P442" i="44"/>
  <c r="N442" i="44"/>
  <c r="L442" i="44"/>
  <c r="J442" i="44"/>
  <c r="J382" i="44"/>
  <c r="N382" i="44"/>
  <c r="L382" i="44"/>
  <c r="R411" i="44"/>
  <c r="P411" i="44"/>
  <c r="L411" i="44"/>
  <c r="J411" i="44"/>
  <c r="L395" i="44"/>
  <c r="L396" i="44"/>
  <c r="M394" i="44"/>
  <c r="M395" i="44"/>
  <c r="M396" i="44"/>
  <c r="N369" i="44"/>
  <c r="R382" i="44"/>
  <c r="P382" i="44"/>
  <c r="P386" i="44"/>
  <c r="N402" i="44"/>
  <c r="N411" i="44"/>
  <c r="J486" i="44"/>
  <c r="J487" i="44"/>
  <c r="J449" i="44"/>
  <c r="J450" i="44"/>
  <c r="J418" i="44"/>
  <c r="J386" i="44"/>
  <c r="J387" i="44"/>
  <c r="J389" i="44"/>
  <c r="J419" i="44"/>
  <c r="R352" i="44"/>
  <c r="P352" i="44"/>
  <c r="L352" i="44"/>
  <c r="J352" i="44"/>
  <c r="L324" i="44"/>
  <c r="R324" i="44"/>
  <c r="P324" i="44"/>
  <c r="N324" i="44"/>
  <c r="J324" i="44"/>
  <c r="P356" i="44"/>
  <c r="P328" i="44"/>
  <c r="J356" i="44"/>
  <c r="J328" i="44"/>
  <c r="J329" i="44"/>
  <c r="N343" i="44"/>
  <c r="N352" i="44"/>
  <c r="J292" i="44"/>
  <c r="J296" i="44"/>
  <c r="N296" i="44"/>
  <c r="R296" i="44"/>
  <c r="P296" i="44"/>
  <c r="L296" i="44"/>
  <c r="K273" i="44"/>
  <c r="J277" i="44"/>
  <c r="R267" i="44"/>
  <c r="P267" i="44"/>
  <c r="N267" i="44"/>
  <c r="L267" i="44"/>
  <c r="J267" i="44"/>
  <c r="J357" i="44"/>
  <c r="J300" i="44"/>
  <c r="J301" i="44"/>
  <c r="P300" i="44"/>
  <c r="P271" i="44"/>
  <c r="J271" i="44"/>
  <c r="J272" i="44"/>
  <c r="R246" i="44"/>
  <c r="N246" i="44"/>
  <c r="L246" i="44"/>
  <c r="J246" i="44"/>
  <c r="J250" i="44"/>
  <c r="J220" i="44"/>
  <c r="J226" i="44"/>
  <c r="R226" i="44"/>
  <c r="N226" i="44"/>
  <c r="L226" i="44"/>
  <c r="J230" i="44"/>
  <c r="L180" i="44"/>
  <c r="N203" i="44"/>
  <c r="L203" i="44"/>
  <c r="J203" i="44"/>
  <c r="R203" i="44"/>
  <c r="J207" i="44"/>
  <c r="R180" i="44"/>
  <c r="N180" i="44"/>
  <c r="J180" i="44"/>
  <c r="J184" i="44"/>
  <c r="R161" i="44"/>
  <c r="P161" i="44"/>
  <c r="N161" i="44"/>
  <c r="L161" i="44"/>
  <c r="J161" i="44"/>
  <c r="J165" i="44"/>
  <c r="J185" i="44"/>
  <c r="J208" i="44"/>
  <c r="J231" i="44"/>
  <c r="J251" i="44"/>
  <c r="P163" i="44"/>
  <c r="P173" i="44"/>
  <c r="P180" i="44"/>
  <c r="P184" i="44"/>
  <c r="P196" i="44"/>
  <c r="P203" i="44"/>
  <c r="P207" i="44"/>
  <c r="P220" i="44"/>
  <c r="P226" i="44"/>
  <c r="P230" i="44"/>
  <c r="P239" i="44"/>
  <c r="P246" i="44"/>
  <c r="P250" i="44"/>
  <c r="J164" i="44"/>
  <c r="J137" i="44"/>
  <c r="J136" i="44"/>
  <c r="N142" i="44"/>
  <c r="L142" i="44"/>
  <c r="J142" i="44"/>
  <c r="J145" i="44"/>
  <c r="J146" i="44"/>
  <c r="J2" i="32"/>
  <c r="J115" i="44"/>
  <c r="N115" i="44"/>
  <c r="L115" i="44"/>
  <c r="J120" i="44"/>
  <c r="J121" i="44"/>
  <c r="N88" i="44"/>
  <c r="N93" i="44"/>
  <c r="J93" i="44"/>
  <c r="L93" i="44"/>
  <c r="J98" i="44"/>
  <c r="P70" i="44"/>
  <c r="J77" i="44"/>
  <c r="P86" i="44"/>
  <c r="P93" i="44"/>
  <c r="J100" i="44"/>
  <c r="N64" i="44"/>
  <c r="N70" i="44"/>
  <c r="D75" i="44"/>
  <c r="L70" i="44"/>
  <c r="J70" i="44"/>
  <c r="J75" i="44"/>
  <c r="N47" i="44"/>
  <c r="P41" i="44"/>
  <c r="P47" i="44"/>
  <c r="L47" i="44"/>
  <c r="J52" i="44"/>
  <c r="J36" i="44"/>
  <c r="N34" i="44"/>
  <c r="L34" i="44"/>
  <c r="P34" i="44"/>
  <c r="L23" i="44"/>
  <c r="N23" i="44"/>
  <c r="N12" i="44"/>
  <c r="L12" i="44"/>
  <c r="J12" i="44"/>
  <c r="J13" i="44"/>
  <c r="J24" i="44"/>
  <c r="L342" i="43"/>
  <c r="K342" i="43"/>
  <c r="K343" i="43"/>
  <c r="J342" i="43"/>
  <c r="I342" i="43"/>
  <c r="G342" i="43"/>
  <c r="H341" i="43"/>
  <c r="H342" i="43"/>
  <c r="L333" i="43"/>
  <c r="K333" i="43"/>
  <c r="J333" i="43"/>
  <c r="I333" i="43"/>
  <c r="G333" i="43"/>
  <c r="H333" i="43"/>
  <c r="A323" i="43"/>
  <c r="A324" i="43"/>
  <c r="A325" i="43"/>
  <c r="A326" i="43"/>
  <c r="A327" i="43"/>
  <c r="A328" i="43"/>
  <c r="A329" i="43"/>
  <c r="M319" i="43"/>
  <c r="L319" i="43"/>
  <c r="K319" i="43"/>
  <c r="J319" i="43"/>
  <c r="I319" i="43"/>
  <c r="G319" i="43"/>
  <c r="H319" i="43"/>
  <c r="A307" i="43"/>
  <c r="A308" i="43"/>
  <c r="A309" i="43"/>
  <c r="A310" i="43"/>
  <c r="A311" i="43"/>
  <c r="AA9" i="42"/>
  <c r="X9" i="42"/>
  <c r="L303" i="43"/>
  <c r="K303" i="43"/>
  <c r="J303" i="43"/>
  <c r="I303" i="43"/>
  <c r="G303" i="43"/>
  <c r="H303" i="43"/>
  <c r="A290" i="43"/>
  <c r="A291" i="43"/>
  <c r="A292" i="43"/>
  <c r="A293" i="43"/>
  <c r="A294" i="43"/>
  <c r="L285" i="43"/>
  <c r="K285" i="43"/>
  <c r="J285" i="43"/>
  <c r="I285" i="43"/>
  <c r="G285" i="43"/>
  <c r="H285" i="43"/>
  <c r="A270" i="43"/>
  <c r="A271" i="43"/>
  <c r="A272" i="43"/>
  <c r="A273" i="43"/>
  <c r="R9" i="42"/>
  <c r="K252" i="43"/>
  <c r="K266" i="43"/>
  <c r="K267" i="43"/>
  <c r="L266" i="43"/>
  <c r="J266" i="43"/>
  <c r="I266" i="43"/>
  <c r="G266" i="43"/>
  <c r="H266" i="43"/>
  <c r="A253" i="43"/>
  <c r="A254" i="43"/>
  <c r="A255" i="43"/>
  <c r="A256" i="43"/>
  <c r="A257" i="43"/>
  <c r="J238" i="43"/>
  <c r="J249" i="43"/>
  <c r="L249" i="43"/>
  <c r="K249" i="43"/>
  <c r="I249" i="43"/>
  <c r="H249" i="43"/>
  <c r="G249" i="43"/>
  <c r="A239" i="43"/>
  <c r="A240" i="43"/>
  <c r="A241" i="43"/>
  <c r="A242" i="43"/>
  <c r="A243" i="43"/>
  <c r="A244" i="43"/>
  <c r="A245" i="43"/>
  <c r="L235" i="43"/>
  <c r="K235" i="43"/>
  <c r="J235" i="43"/>
  <c r="I235" i="43"/>
  <c r="D190" i="43"/>
  <c r="H214" i="43"/>
  <c r="H235" i="43"/>
  <c r="D191" i="43"/>
  <c r="D215" i="43"/>
  <c r="G235" i="43"/>
  <c r="A213" i="43"/>
  <c r="A214" i="43"/>
  <c r="A215" i="43"/>
  <c r="A216" i="43"/>
  <c r="A217" i="43"/>
  <c r="A218" i="43"/>
  <c r="D43" i="43"/>
  <c r="L209" i="43"/>
  <c r="K209" i="43"/>
  <c r="J209" i="43"/>
  <c r="I209" i="43"/>
  <c r="H209" i="43"/>
  <c r="G209" i="43"/>
  <c r="A186" i="43"/>
  <c r="A187" i="43"/>
  <c r="A188" i="43"/>
  <c r="A189" i="43"/>
  <c r="A190" i="43"/>
  <c r="A191" i="43"/>
  <c r="F9" i="42"/>
  <c r="I156" i="43"/>
  <c r="J156" i="43"/>
  <c r="G181" i="43"/>
  <c r="K181" i="43"/>
  <c r="J181" i="43"/>
  <c r="I181" i="43"/>
  <c r="H181" i="43"/>
  <c r="D158" i="43"/>
  <c r="D46" i="43"/>
  <c r="L153" i="43"/>
  <c r="K153" i="43"/>
  <c r="L182" i="43"/>
  <c r="J153" i="43"/>
  <c r="J154" i="43"/>
  <c r="I153" i="43"/>
  <c r="X47" i="41"/>
  <c r="H153" i="43"/>
  <c r="G153" i="43"/>
  <c r="D106" i="43"/>
  <c r="A130" i="43"/>
  <c r="A131" i="43"/>
  <c r="A132" i="43"/>
  <c r="A133" i="43"/>
  <c r="A134" i="43"/>
  <c r="A135" i="43"/>
  <c r="L286" i="43"/>
  <c r="L304" i="43"/>
  <c r="L320" i="43"/>
  <c r="K210" i="43"/>
  <c r="K236" i="43"/>
  <c r="J182" i="43"/>
  <c r="J210" i="43"/>
  <c r="I236" i="43"/>
  <c r="J250" i="43"/>
  <c r="J267" i="43"/>
  <c r="J286" i="43"/>
  <c r="J304" i="43"/>
  <c r="J320" i="43"/>
  <c r="J334" i="43"/>
  <c r="J343" i="43"/>
  <c r="H154" i="43"/>
  <c r="H182" i="43"/>
  <c r="H183" i="43"/>
  <c r="H210" i="43"/>
  <c r="H236" i="43"/>
  <c r="H250" i="43"/>
  <c r="H267" i="43"/>
  <c r="H286" i="43"/>
  <c r="H304" i="43"/>
  <c r="H320" i="43"/>
  <c r="H334" i="43"/>
  <c r="H343" i="43"/>
  <c r="T47" i="41"/>
  <c r="D5" i="43"/>
  <c r="G127" i="43"/>
  <c r="H127" i="43"/>
  <c r="D84" i="43"/>
  <c r="A106" i="43"/>
  <c r="A107" i="43"/>
  <c r="A108" i="43"/>
  <c r="A109" i="43"/>
  <c r="A110" i="43"/>
  <c r="A111" i="43"/>
  <c r="A112" i="43"/>
  <c r="A113" i="43"/>
  <c r="A114" i="43"/>
  <c r="H102" i="43"/>
  <c r="G102" i="43"/>
  <c r="L47" i="41"/>
  <c r="D44" i="43"/>
  <c r="D45" i="43"/>
  <c r="D41" i="43"/>
  <c r="H80" i="43"/>
  <c r="G80" i="43"/>
  <c r="A60" i="43"/>
  <c r="A61" i="43"/>
  <c r="A62" i="43"/>
  <c r="A63" i="43"/>
  <c r="H57" i="43"/>
  <c r="G57" i="43"/>
  <c r="A40" i="43"/>
  <c r="A41" i="43"/>
  <c r="A42" i="43"/>
  <c r="A43" i="43"/>
  <c r="A44" i="43"/>
  <c r="A45" i="43"/>
  <c r="A46" i="43"/>
  <c r="A47" i="43"/>
  <c r="A48" i="43"/>
  <c r="J37" i="43"/>
  <c r="J57" i="43"/>
  <c r="J80" i="43"/>
  <c r="J102" i="43"/>
  <c r="E62" i="41"/>
  <c r="D47" i="41"/>
  <c r="G37" i="43"/>
  <c r="H37" i="43"/>
  <c r="A23" i="43"/>
  <c r="A24" i="43"/>
  <c r="A25" i="43"/>
  <c r="A26" i="43"/>
  <c r="A27" i="43"/>
  <c r="A28" i="43"/>
  <c r="A29" i="43"/>
  <c r="A30" i="43"/>
  <c r="A31" i="43"/>
  <c r="A32" i="43"/>
  <c r="A33" i="43"/>
  <c r="L13" i="43"/>
  <c r="K13" i="43"/>
  <c r="J13" i="43"/>
  <c r="I13" i="43"/>
  <c r="H13" i="43"/>
  <c r="A5" i="43"/>
  <c r="A6" i="43"/>
  <c r="A7" i="43"/>
  <c r="A8" i="43"/>
  <c r="A9" i="43"/>
  <c r="A10" i="43"/>
  <c r="A11" i="43"/>
  <c r="A12" i="43"/>
  <c r="A13" i="43"/>
  <c r="A14" i="43"/>
  <c r="A15" i="43"/>
  <c r="A16" i="43"/>
  <c r="A17" i="43"/>
  <c r="A18" i="43"/>
  <c r="A19" i="43"/>
  <c r="A20" i="43"/>
  <c r="A21" i="43"/>
  <c r="S67" i="41"/>
  <c r="I14" i="43"/>
  <c r="S68" i="41"/>
  <c r="I37" i="43"/>
  <c r="I57" i="43"/>
  <c r="I80" i="43"/>
  <c r="AG9" i="42"/>
  <c r="AH15" i="42"/>
  <c r="AE16" i="42"/>
  <c r="AE17" i="42"/>
  <c r="AD9" i="42"/>
  <c r="I102" i="43"/>
  <c r="I81" i="43"/>
  <c r="AC9" i="42"/>
  <c r="AA17" i="42"/>
  <c r="AB14" i="42"/>
  <c r="AA8" i="42"/>
  <c r="W9" i="42"/>
  <c r="X24" i="42"/>
  <c r="X8" i="42"/>
  <c r="U9" i="42"/>
  <c r="Q10" i="42"/>
  <c r="S13" i="42"/>
  <c r="S10" i="42"/>
  <c r="V10" i="42"/>
  <c r="Y10" i="42"/>
  <c r="AB10" i="42"/>
  <c r="AE10" i="42"/>
  <c r="AH10" i="42"/>
  <c r="L8" i="42"/>
  <c r="I8" i="42"/>
  <c r="F8" i="42"/>
  <c r="C8" i="42"/>
  <c r="D8" i="42"/>
  <c r="O9" i="42"/>
  <c r="E8" i="42"/>
  <c r="F14" i="42"/>
  <c r="P16" i="42"/>
  <c r="N15" i="42"/>
  <c r="N16" i="42"/>
  <c r="I9" i="42"/>
  <c r="L9" i="42"/>
  <c r="L14" i="42"/>
  <c r="K9" i="42"/>
  <c r="AD47" i="41"/>
  <c r="I12" i="42"/>
  <c r="I14" i="42"/>
  <c r="H9" i="42"/>
  <c r="E9" i="42"/>
  <c r="AA47" i="41"/>
  <c r="AA49" i="41"/>
  <c r="Z47" i="41"/>
  <c r="E12" i="42"/>
  <c r="C9" i="42"/>
  <c r="B9" i="42"/>
  <c r="C12" i="42"/>
  <c r="D10" i="42"/>
  <c r="G10" i="42"/>
  <c r="J10" i="42"/>
  <c r="AG51" i="41"/>
  <c r="AF47" i="41"/>
  <c r="K12" i="42"/>
  <c r="AG47" i="41"/>
  <c r="L12" i="42"/>
  <c r="AG46" i="41"/>
  <c r="AD46" i="41"/>
  <c r="AC47" i="41"/>
  <c r="H12" i="42"/>
  <c r="AA55" i="41"/>
  <c r="AA54" i="41"/>
  <c r="AB54" i="41"/>
  <c r="AB56" i="41"/>
  <c r="AA53" i="41"/>
  <c r="AD51" i="41"/>
  <c r="D9" i="42"/>
  <c r="I13" i="42"/>
  <c r="G9" i="42"/>
  <c r="G8" i="42"/>
  <c r="J8" i="42"/>
  <c r="M8" i="42"/>
  <c r="P8" i="42"/>
  <c r="S8" i="42"/>
  <c r="V8" i="42"/>
  <c r="AA56" i="41"/>
  <c r="F12" i="42"/>
  <c r="F13" i="42"/>
  <c r="C13" i="42"/>
  <c r="Y8" i="42"/>
  <c r="AB8" i="42"/>
  <c r="AE8" i="42"/>
  <c r="AH8" i="42"/>
  <c r="T23" i="42"/>
  <c r="J9" i="42"/>
  <c r="M9" i="42"/>
  <c r="P9" i="42"/>
  <c r="S9" i="42"/>
  <c r="S12" i="42"/>
  <c r="S14" i="42"/>
  <c r="V9" i="42"/>
  <c r="S11" i="42"/>
  <c r="P12" i="42"/>
  <c r="P14" i="42"/>
  <c r="P15" i="42"/>
  <c r="Y9" i="42"/>
  <c r="V14" i="42"/>
  <c r="V15" i="42"/>
  <c r="AA46" i="41"/>
  <c r="Z46" i="41"/>
  <c r="X46" i="41"/>
  <c r="W47" i="41"/>
  <c r="Y48" i="41"/>
  <c r="AB48" i="41"/>
  <c r="AE48" i="41"/>
  <c r="Y47" i="41"/>
  <c r="D12" i="42"/>
  <c r="D14" i="42"/>
  <c r="D15" i="42"/>
  <c r="B12" i="42"/>
  <c r="AB9" i="42"/>
  <c r="Y12" i="42"/>
  <c r="Y13" i="42"/>
  <c r="Y24" i="42"/>
  <c r="N68" i="41"/>
  <c r="L71" i="41"/>
  <c r="S47" i="41"/>
  <c r="T49" i="41"/>
  <c r="T51" i="41"/>
  <c r="S46" i="41"/>
  <c r="T46" i="41"/>
  <c r="Y44" i="41"/>
  <c r="AB47" i="41"/>
  <c r="AB50" i="41"/>
  <c r="AB11" i="42"/>
  <c r="AB13" i="42"/>
  <c r="AE9" i="42"/>
  <c r="AB15" i="42"/>
  <c r="AB16" i="42"/>
  <c r="N71" i="41"/>
  <c r="AE47" i="41"/>
  <c r="G12" i="42"/>
  <c r="G13" i="42"/>
  <c r="AE12" i="42"/>
  <c r="AE18" i="42"/>
  <c r="AE19" i="42"/>
  <c r="AH9" i="42"/>
  <c r="AH13" i="42"/>
  <c r="AH47" i="41"/>
  <c r="J12" i="42"/>
  <c r="P46" i="41"/>
  <c r="P47" i="41"/>
  <c r="O47" i="41"/>
  <c r="O49" i="41"/>
  <c r="P48" i="41"/>
  <c r="P49" i="41"/>
  <c r="AE13" i="42"/>
  <c r="AE14" i="42"/>
  <c r="AE15" i="42"/>
  <c r="AG49" i="41"/>
  <c r="AH51" i="41"/>
  <c r="AG52" i="41"/>
  <c r="M12" i="42"/>
  <c r="L46" i="41"/>
  <c r="M46" i="41"/>
  <c r="N46" i="41"/>
  <c r="Q46" i="41"/>
  <c r="U46" i="41"/>
  <c r="V46" i="41"/>
  <c r="Y46" i="41"/>
  <c r="AB46" i="41"/>
  <c r="AE46" i="41"/>
  <c r="AH46" i="41"/>
  <c r="K47" i="41"/>
  <c r="AH52" i="41"/>
  <c r="M47" i="41"/>
  <c r="N47" i="41"/>
  <c r="Q47" i="41"/>
  <c r="U47" i="41"/>
  <c r="H47" i="41"/>
  <c r="G47" i="41"/>
  <c r="E47" i="41"/>
  <c r="E46" i="41"/>
  <c r="F46" i="41"/>
  <c r="I46" i="41"/>
  <c r="F48" i="41"/>
  <c r="I48" i="41"/>
  <c r="J48" i="41"/>
  <c r="M48" i="41"/>
  <c r="N48" i="41"/>
  <c r="Q48" i="41"/>
  <c r="U48" i="41"/>
  <c r="C49" i="41"/>
  <c r="E49" i="41"/>
  <c r="H41" i="41"/>
  <c r="F41" i="41"/>
  <c r="E41" i="41"/>
  <c r="G41" i="41"/>
  <c r="F47" i="41"/>
  <c r="I47" i="41"/>
  <c r="I18" i="41"/>
  <c r="E18" i="41"/>
  <c r="D24" i="41"/>
  <c r="D25" i="41"/>
  <c r="G18" i="41"/>
  <c r="F20" i="41"/>
  <c r="F24" i="41"/>
  <c r="B52" i="4"/>
  <c r="B53" i="4"/>
  <c r="G5" i="39"/>
  <c r="D10" i="39"/>
  <c r="D9" i="39"/>
  <c r="D8" i="39"/>
  <c r="D7" i="39"/>
  <c r="E3" i="39"/>
  <c r="E4" i="39"/>
  <c r="E5" i="39"/>
  <c r="E6" i="39"/>
  <c r="E2" i="39"/>
  <c r="F2" i="32"/>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ET78" i="17"/>
  <c r="EK70" i="17"/>
  <c r="EK69" i="17"/>
  <c r="EK68" i="17"/>
  <c r="EM67" i="17"/>
  <c r="EK67" i="17"/>
  <c r="EK66" i="17"/>
  <c r="EK65" i="17"/>
  <c r="EK64" i="17"/>
  <c r="EK63" i="17"/>
  <c r="EK62" i="17"/>
  <c r="EM61" i="17"/>
  <c r="EK61" i="17"/>
  <c r="CM61" i="17"/>
  <c r="EK60" i="17"/>
  <c r="EK59" i="17"/>
  <c r="EK58" i="17"/>
  <c r="EK57" i="17"/>
  <c r="CP57" i="17"/>
  <c r="ES56" i="17"/>
  <c r="EH56" i="17"/>
  <c r="EK56" i="17"/>
  <c r="CZ56" i="17"/>
  <c r="CO56" i="17"/>
  <c r="CN56" i="17"/>
  <c r="EK55" i="17"/>
  <c r="EK54" i="17"/>
  <c r="EK53" i="17"/>
  <c r="DB53" i="17"/>
  <c r="EK52" i="17"/>
  <c r="CC52" i="17"/>
  <c r="CC54" i="17"/>
  <c r="EK51" i="17"/>
  <c r="EK50" i="17"/>
  <c r="EK49" i="17"/>
  <c r="EK48" i="17"/>
  <c r="EK47" i="17"/>
  <c r="EK46" i="17"/>
  <c r="EK45" i="17"/>
  <c r="EK44" i="17"/>
  <c r="EK43" i="17"/>
  <c r="AL43" i="17"/>
  <c r="EK42" i="17"/>
  <c r="EK41" i="17"/>
  <c r="EK40" i="17"/>
  <c r="EK39" i="17"/>
  <c r="EK38" i="17"/>
  <c r="EK37" i="17"/>
  <c r="EK36" i="17"/>
  <c r="EK35" i="17"/>
  <c r="EK34" i="17"/>
  <c r="EK33" i="17"/>
  <c r="EK32" i="17"/>
  <c r="EK31" i="17"/>
  <c r="EK30" i="17"/>
  <c r="EK29" i="17"/>
  <c r="EK28" i="17"/>
  <c r="S28" i="17"/>
  <c r="G28" i="17"/>
  <c r="EK27" i="17"/>
  <c r="V27" i="17"/>
  <c r="U27" i="17"/>
  <c r="S27" i="17"/>
  <c r="O27" i="17"/>
  <c r="K27" i="17"/>
  <c r="I27" i="17"/>
  <c r="EK26" i="17"/>
  <c r="AH26" i="17"/>
  <c r="AG26" i="17"/>
  <c r="AF26" i="17"/>
  <c r="AE26" i="17"/>
  <c r="AC26" i="17"/>
  <c r="AA26" i="17"/>
  <c r="Y26" i="17"/>
  <c r="W26" i="17"/>
  <c r="Q26" i="17"/>
  <c r="O26" i="17"/>
  <c r="K26" i="17"/>
  <c r="I26" i="17"/>
  <c r="EK25" i="17"/>
  <c r="AU25" i="17"/>
  <c r="AS25" i="17"/>
  <c r="AQ25" i="17"/>
  <c r="AO25" i="17"/>
  <c r="AM25" i="17"/>
  <c r="AK25" i="17"/>
  <c r="AI25" i="17"/>
  <c r="AG25" i="17"/>
  <c r="AE25" i="17"/>
  <c r="AC25" i="17"/>
  <c r="EK24" i="17"/>
  <c r="BE24" i="17"/>
  <c r="BC24" i="17"/>
  <c r="BA24" i="17"/>
  <c r="AY24" i="17"/>
  <c r="AW24" i="17"/>
  <c r="AU24" i="17"/>
  <c r="AQ24" i="17"/>
  <c r="AE24" i="17"/>
  <c r="AC24" i="17"/>
  <c r="S24" i="17"/>
  <c r="EK23" i="17"/>
  <c r="BS23" i="17"/>
  <c r="BR23" i="17"/>
  <c r="BQ23" i="17"/>
  <c r="BO23" i="17"/>
  <c r="BM23" i="17"/>
  <c r="BK23" i="17"/>
  <c r="BI23" i="17"/>
  <c r="BG23" i="17"/>
  <c r="BE23" i="17"/>
  <c r="AW23" i="17"/>
  <c r="AU23" i="17"/>
  <c r="AS23" i="17"/>
  <c r="AQ23" i="17"/>
  <c r="EK22" i="17"/>
  <c r="BU22" i="17"/>
  <c r="BS22" i="17"/>
  <c r="BR22" i="17"/>
  <c r="BP22" i="17"/>
  <c r="BO22" i="17"/>
  <c r="BM22" i="17"/>
  <c r="BK22" i="17"/>
  <c r="BI22" i="17"/>
  <c r="AY22" i="17"/>
  <c r="AW22" i="17"/>
  <c r="S22" i="17"/>
  <c r="EK21" i="17"/>
  <c r="CD21" i="17"/>
  <c r="CC21" i="17"/>
  <c r="BY21" i="17"/>
  <c r="BX21" i="17"/>
  <c r="BU21" i="17"/>
  <c r="BS21" i="17"/>
  <c r="BR21" i="17"/>
  <c r="BQ21" i="17"/>
  <c r="BO21" i="17"/>
  <c r="BM21" i="17"/>
  <c r="BI21" i="17"/>
  <c r="BE21" i="17"/>
  <c r="AY21" i="17"/>
  <c r="ET20" i="17"/>
  <c r="EQ20" i="17"/>
  <c r="EK20" i="17"/>
  <c r="CD20" i="17"/>
  <c r="CC20" i="17"/>
  <c r="BU20" i="17"/>
  <c r="BE20" i="17"/>
  <c r="EK19" i="17"/>
  <c r="CC19" i="17"/>
  <c r="BZ19" i="17"/>
  <c r="BX19" i="17"/>
  <c r="BS19" i="17"/>
  <c r="EK18" i="17"/>
  <c r="BZ18" i="17"/>
  <c r="BS18" i="17"/>
  <c r="Y18" i="17"/>
  <c r="X18" i="17"/>
  <c r="O18" i="17"/>
  <c r="A18" i="17"/>
  <c r="A19" i="17"/>
  <c r="A20" i="17"/>
  <c r="A21" i="17"/>
  <c r="A22" i="17"/>
  <c r="A23" i="17"/>
  <c r="A24" i="17"/>
  <c r="A25" i="17"/>
  <c r="A26" i="17"/>
  <c r="A27" i="17"/>
  <c r="EK17" i="17"/>
  <c r="BE17" i="17"/>
  <c r="BC17" i="17"/>
  <c r="AU17" i="17"/>
  <c r="AS17" i="17"/>
  <c r="AQ17" i="17"/>
  <c r="AM17" i="17"/>
  <c r="AJ17" i="17"/>
  <c r="AI17" i="17"/>
  <c r="AG17" i="17"/>
  <c r="AA17" i="17"/>
  <c r="X17" i="17"/>
  <c r="EK16" i="17"/>
  <c r="BS16" i="17"/>
  <c r="EK15" i="17"/>
  <c r="AA15" i="17"/>
  <c r="EK14" i="17"/>
  <c r="AG14" i="17"/>
  <c r="S14" i="17"/>
  <c r="EH13" i="17"/>
  <c r="EK13" i="17"/>
  <c r="EG13" i="17"/>
  <c r="CJ13" i="17"/>
  <c r="I12" i="17"/>
  <c r="I432" i="12"/>
  <c r="D318" i="12"/>
  <c r="I45" i="32"/>
  <c r="O7" i="32"/>
  <c r="O6" i="32"/>
  <c r="O5" i="32"/>
  <c r="O4" i="32"/>
  <c r="O3" i="32"/>
  <c r="O2" i="32"/>
  <c r="B8" i="4"/>
  <c r="B7" i="4"/>
  <c r="B6" i="4"/>
  <c r="B5" i="4"/>
  <c r="B4" i="4"/>
  <c r="B3" i="4"/>
  <c r="B2" i="4"/>
  <c r="C6" i="16"/>
  <c r="O102" i="15"/>
  <c r="A62" i="15"/>
  <c r="A63" i="15"/>
  <c r="A64" i="15"/>
  <c r="A65" i="15"/>
  <c r="A66" i="15"/>
  <c r="A67" i="15"/>
  <c r="A68" i="15"/>
  <c r="A69" i="15"/>
  <c r="A70" i="15"/>
  <c r="K830" i="3"/>
  <c r="K814" i="3"/>
  <c r="H775" i="3"/>
  <c r="K750" i="3"/>
  <c r="K745" i="3"/>
  <c r="K729" i="3"/>
  <c r="L713" i="3"/>
  <c r="L661" i="3"/>
  <c r="L657" i="3"/>
  <c r="L656" i="3"/>
  <c r="H535" i="3"/>
  <c r="H433" i="3"/>
  <c r="L392" i="3"/>
  <c r="K385" i="3"/>
  <c r="L332" i="3"/>
  <c r="L333" i="3"/>
  <c r="H313" i="3"/>
  <c r="H311" i="3"/>
  <c r="L297" i="3"/>
  <c r="K233" i="3"/>
  <c r="L209" i="3"/>
  <c r="K183" i="3"/>
  <c r="K170" i="3"/>
  <c r="M115" i="3"/>
  <c r="H75" i="3"/>
  <c r="H7" i="3"/>
  <c r="BZ20" i="17"/>
  <c r="BX20" i="17"/>
  <c r="L659" i="3"/>
  <c r="BP23" i="17"/>
  <c r="J37" i="44"/>
  <c r="J53" i="44"/>
  <c r="N76" i="44"/>
  <c r="J76" i="44"/>
  <c r="F80" i="44"/>
  <c r="J99" i="44"/>
  <c r="E101" i="44"/>
  <c r="E169" i="49" l="1"/>
  <c r="J34" i="44"/>
</calcChain>
</file>

<file path=xl/comments1.xml><?xml version="1.0" encoding="utf-8"?>
<comments xmlns="http://schemas.openxmlformats.org/spreadsheetml/2006/main">
  <authors>
    <author>Пользователь</author>
    <author>Admin</author>
  </authors>
  <commentList>
    <comment ref="F9" authorId="0" shapeId="0">
      <text>
        <r>
          <rPr>
            <b/>
            <sz val="9"/>
            <color indexed="81"/>
            <rFont val="Tahoma"/>
            <family val="2"/>
            <charset val="204"/>
          </rPr>
          <t>Пользователь:</t>
        </r>
        <r>
          <rPr>
            <sz val="9"/>
            <color indexed="81"/>
            <rFont val="Tahoma"/>
            <family val="2"/>
            <charset val="204"/>
          </rPr>
          <t xml:space="preserve">
2,400
</t>
        </r>
      </text>
    </comment>
    <comment ref="F10" authorId="0" shapeId="0">
      <text>
        <r>
          <rPr>
            <b/>
            <sz val="9"/>
            <color indexed="81"/>
            <rFont val="Tahoma"/>
            <family val="2"/>
            <charset val="204"/>
          </rPr>
          <t xml:space="preserve">Пользователь:
5,360
</t>
        </r>
      </text>
    </comment>
    <comment ref="B15" authorId="0" shapeId="0">
      <text>
        <r>
          <rPr>
            <b/>
            <sz val="9"/>
            <color indexed="81"/>
            <rFont val="Tahoma"/>
            <family val="2"/>
            <charset val="204"/>
          </rPr>
          <t xml:space="preserve">Ших БРБ
</t>
        </r>
      </text>
    </comment>
    <comment ref="C53" authorId="1" shapeId="0">
      <text>
        <r>
          <rPr>
            <b/>
            <sz val="9"/>
            <color indexed="81"/>
            <rFont val="Tahoma"/>
            <family val="2"/>
            <charset val="204"/>
          </rPr>
          <t>Admin:</t>
        </r>
        <r>
          <rPr>
            <sz val="9"/>
            <color indexed="81"/>
            <rFont val="Tahoma"/>
            <family val="2"/>
            <charset val="204"/>
          </rPr>
          <t xml:space="preserve">
36mln lager</t>
        </r>
      </text>
    </comment>
  </commentList>
</comments>
</file>

<file path=xl/comments2.xml><?xml version="1.0" encoding="utf-8"?>
<comments xmlns="http://schemas.openxmlformats.org/spreadsheetml/2006/main">
  <authors>
    <author>Admin</author>
    <author>Пользователь</author>
  </authors>
  <commentList>
    <comment ref="J2" authorId="0" shapeId="0">
      <text>
        <r>
          <rPr>
            <b/>
            <sz val="9"/>
            <color indexed="81"/>
            <rFont val="Tahoma"/>
            <family val="2"/>
            <charset val="204"/>
          </rPr>
          <t>Admin:</t>
        </r>
        <r>
          <rPr>
            <sz val="9"/>
            <color indexed="81"/>
            <rFont val="Tahoma"/>
            <family val="2"/>
            <charset val="204"/>
          </rPr>
          <t xml:space="preserve">
16,08,2025
</t>
        </r>
      </text>
    </comment>
    <comment ref="B28" authorId="1" shapeId="0">
      <text>
        <r>
          <rPr>
            <b/>
            <sz val="9"/>
            <color indexed="81"/>
            <rFont val="Tahoma"/>
            <family val="2"/>
            <charset val="204"/>
          </rPr>
          <t>Пользователь:</t>
        </r>
        <r>
          <rPr>
            <sz val="9"/>
            <color indexed="81"/>
            <rFont val="Tahoma"/>
            <family val="2"/>
            <charset val="204"/>
          </rPr>
          <t xml:space="preserve">
Жарайонда</t>
        </r>
      </text>
    </comment>
    <comment ref="G36" authorId="1" shapeId="0">
      <text>
        <r>
          <rPr>
            <b/>
            <sz val="9"/>
            <color indexed="81"/>
            <rFont val="Tahoma"/>
            <family val="2"/>
            <charset val="204"/>
          </rPr>
          <t>Пользователь:</t>
        </r>
        <r>
          <rPr>
            <sz val="9"/>
            <color indexed="81"/>
            <rFont val="Tahoma"/>
            <family val="2"/>
            <charset val="204"/>
          </rPr>
          <t xml:space="preserve">
Жахонгир Хонка</t>
        </r>
      </text>
    </comment>
  </commentList>
</comments>
</file>

<file path=xl/comments3.xml><?xml version="1.0" encoding="utf-8"?>
<comments xmlns="http://schemas.openxmlformats.org/spreadsheetml/2006/main">
  <authors>
    <author>Admin</author>
  </authors>
  <commentList>
    <comment ref="L33" authorId="0" shapeId="0">
      <text>
        <r>
          <rPr>
            <b/>
            <sz val="9"/>
            <color indexed="81"/>
            <rFont val="Tahoma"/>
            <family val="2"/>
            <charset val="204"/>
          </rPr>
          <t>Картадан 
1 000 000 сум
олдим</t>
        </r>
      </text>
    </comment>
    <comment ref="J263" authorId="0" shapeId="0">
      <text>
        <r>
          <rPr>
            <b/>
            <sz val="9"/>
            <color indexed="81"/>
            <rFont val="Tahoma"/>
            <family val="2"/>
            <charset val="204"/>
          </rPr>
          <t xml:space="preserve">500 $
</t>
        </r>
        <r>
          <rPr>
            <sz val="9"/>
            <color indexed="81"/>
            <rFont val="Tahoma"/>
            <family val="2"/>
            <charset val="204"/>
          </rPr>
          <t xml:space="preserve">
</t>
        </r>
      </text>
    </comment>
  </commentList>
</comments>
</file>

<file path=xl/sharedStrings.xml><?xml version="1.0" encoding="utf-8"?>
<sst xmlns="http://schemas.openxmlformats.org/spreadsheetml/2006/main" count="13243" uniqueCount="5967">
  <si>
    <t>№</t>
  </si>
  <si>
    <t xml:space="preserve">Bogot tomorqa xizmat </t>
  </si>
  <si>
    <t xml:space="preserve">Saidnazar Shaxzodbek </t>
  </si>
  <si>
    <t xml:space="preserve">Oq Oltinli Qaxramon tomoqa xizmat </t>
  </si>
  <si>
    <t xml:space="preserve">Yetakchi tomoqa xizmat </t>
  </si>
  <si>
    <t>Уч ғилдиракли юк мотороллер</t>
  </si>
  <si>
    <t>Размер каретки:""2000*1300mmгрузовой транспорт"Задний мост:Мост CHANGAN с повышенной мощностьюПередняя шина: 5.00-12 Задняя шина: 5.00-12Двигатель: 200cc Расход топлива на 100 кмРазмер каретки:""2000*1300mmгрузовой транспорт"Задний мост:Мост CHANGAN с повышенной мощностьюПередняя шина: 5.00-12 Задняя шина: 5.00-12Двигатель: 200cc Расход топлива на 100 кмРазмер каретки:""2000*1300mmгрузовой транспорт"Задний мост:Мост CHANGAN с повышенной мощностьюПередняя шина: 5.00-12 Задняя шина: 5.00-12Двигатель: 200cc Расход топлива на 100 км</t>
  </si>
  <si>
    <t>21.23.25.30.31.32.33</t>
  </si>
  <si>
    <t>Карчер</t>
  </si>
  <si>
    <t>10. 12.5  15</t>
  </si>
  <si>
    <t>Мойка высокого давления RTRMAX RTM7015
Керамический поршень
Шланг длиной 10 м, устойчивый к давлению и нагреванию
Байпасная технология, предотвращающая перегрузку насоса и двигателя давлением
Тепловая система, предотвращающая перегрев электродвигателя
Бесшумная и плавная работа
Области использования 
Напряжение сети
220 — 230 В
Частота тока
50 Гц
Мощность
3 кВт
Скорость вращения
1400 об/мин
Максимальное давление
150 бар
Расход воды
480 л/час
Вес
55 Кг
Гарантия
6 месяцев
Brand
RTRMAX</t>
  </si>
  <si>
    <t xml:space="preserve">25 - 33 mln </t>
  </si>
  <si>
    <t>Музқаймок ишлаб чикариш ускунаси</t>
  </si>
  <si>
    <t>Улгуржи(оптом) нархларда.Хитойнинг энг оригинал завод махсулотлари. Узбекистон буйича етказиб бериш хизматлари,1 йиллик сервиз хизматлари борУлгуржи(оптом) нархларда.Хитойнинг энг оригинал завод махсулотлари. Узбекистон буйича етказиб бериш хизматлари,1 йиллик сервиз хизматлари борУлгуржи(оптом) нархларда.Хитойнинг энг оригинал завод махсулотлари. Узбекистон буйича етказиб бериш хизматлари,1 йиллик сервиз хизматлари борУлгуржи(оптом) нархларда.Хитойнинг энг оригинал завод махсулотлари. Узбекистон буйича етказиб бериш хизматлари,1 йиллик сервиз хизматлари бор</t>
  </si>
  <si>
    <t>Тикиш машиналари</t>
  </si>
  <si>
    <t xml:space="preserve"> 4,4 4,5 5 5,5 5,9 6 6,5 7 7,5 8,25 9 10 15 </t>
  </si>
  <si>
    <t>Швейная машинка JACK F4
"JK-F 4" Высокоскоростная прямострочная швейная машинка 
"JK-F 4" Одноигольная машина челночного стежка с плоской платформой, нижним транспортером и встроенным серводвигателем.
Преимущества швейной машины:
Автоматическая система смазки
Подсветка рабочей зоны
Встроенный в голову серводвигатель с блоком управления
Применение швейной машины:
Для стачивания легких и средних материалов</t>
  </si>
  <si>
    <t>Автомабил ювиш учун пуркагичли флакон</t>
  </si>
  <si>
    <t>0841300200300</t>
  </si>
  <si>
    <t>3 4 5</t>
  </si>
  <si>
    <t>Пеногенератор просто, эффективно и быстро преобразует моющее (химическое) вещество в пену, которая затем наносится на очищаемую поверхность. Используются пеногенераторы для очистки транспортных средств и различных сооружений, для работы в пищевой и перерабатывающей промышленности, для дезинфекции оборудования, производственных площадей.МАТЕРИАЛ БАКА
крашенная сталь
ОБЪЕМ БАКА
95 л.
РАБОЧЕЕ ДАВЛЕНИЯ
6 бар
МАКСИМАЛЬНОЕ ДАВЛЕНИЕ
8 бар
ВЕРТИКАЛЬНОЕ ИСПОЛНЕНИЕ
есть
МАНОМЕТР
есть
ИНДИКАТОР УРОВНЯ
есть
ПРЕДОХРАНИТЕЛЬНЫЙ КЛАПАН
есть
БРЕНД</t>
  </si>
  <si>
    <t xml:space="preserve">3 4 5 8 10 </t>
  </si>
  <si>
    <t>Чангюткич</t>
  </si>
  <si>
    <t>0850800100200</t>
  </si>
  <si>
    <t>Качественный и профессиональный пылесос для сухой и влажной уборки (пылеводосос) предназначен для сбора сухого или влажного мусора, воды и жидкой грязи.
МОЩНОСТЬ
3600 Вт
ОБЪЕМ БАКА
80 л.
ПОТОК ВОЗДУХА
106 л/сек.
НАПРЯЖЕНИЕ СЕТИ
220В
ФУНКЦИИ УБОРКИ
Влажная/сухая
ДЛИНА КАБЕЛИ</t>
  </si>
  <si>
    <t xml:space="preserve">20 22  24  25 33 </t>
  </si>
  <si>
    <t>Печка</t>
  </si>
  <si>
    <t>Печка Хитойники 380 В да ишлайди Гарантия 3 йил промой скаладдан таркатамиз Бизда хаммаси арзон ва янги Печка Хитойники 380 В да ишлайди Гарантия 3 йил промой скаладдан таркатамиз Бизда хаммаси арзон ва янгиПечка Хитойники 380 В да ишлайди Гарантия 3 йил промой скаладдан таркатамиз Бизда хаммаси арзон ва янги Печка Хитойники 380 В да ишлайди Гарантия 3 йил промой скаладдан таркатамиз Бизда хаммаси арзон ва янгиПечка Хитойники 380 В да ишлайди Гарантия 3 йил промой скаладдан таркатамиз Бизда хаммаси арзон ва янги Печка Хитойники 380 В да ишлайди Гарантия 3 йил промой скаладдан таркатамиз Бизда хаммаси арзон ва янги</t>
  </si>
  <si>
    <t>Жатки</t>
  </si>
  <si>
    <t>Мотоблоги билан бирга уриш ва ер хайдаш учун мулжалланган махсус спесжатка сифатли техникалар харит килишни хохлайсизми унда бизга мурожат килинг йитказиб бериш хизмати хам мавжут
Ишлаб чикарилган давлат - Хитой
Энг кам микдори - 1 та
Яроклик муддати - 3 йил
Қуввати -12 от кучи
Техник параметрлари-Мотокултиватор 13 л,с. Бензин</t>
  </si>
  <si>
    <t xml:space="preserve">10 - 33 </t>
  </si>
  <si>
    <t>Мотоблок</t>
  </si>
  <si>
    <t xml:space="preserve">10 -33 </t>
  </si>
  <si>
    <t>Ишлаб чикарилган давлат - Хитой
Энг кам микдори - 1 та 
Яроклик муддати - 3 йил
Қуввати -12 от кучи
Техник параметрлари-Мотокултиватор 13 л,с. Бензин</t>
  </si>
  <si>
    <t>27 - 33</t>
  </si>
  <si>
    <t>Сув тозалаш тизими тўплами.
Теплица. парник. иссиқхоналар:
Мой сам. автомобилларни ювиш шахобчалари:
Ахоли учун тоза ичимлик сувлари ишлаб чиқариш учун барча турдаги сув тозалаш тизимлари!!!
Тескари осмос технологияси асосидаги 5 боскичли сув тозалаш системаси.
Ишлаб чикариш куввати – 500 литр/соат.
Боскичлари: 
1. Механик фильтр, фильтрловчи элемент – кварц қуми
2. Сорбцион фильтр, фильтрловчи элемент – фаол кўмир
3. Сув юмшатиш фильтри, фильтрловчи элемент – катионит
4. Нозик тозалаш фильтри, фильтрловчи элемент – полипропилен картридж
5. Тескари осмос тизими, фильтрловчи элемент – мембрана
Энергия истеъмоли – 1.9 кВт, 220V/50HZ.
Ишчи харорат: +10С… +40С</t>
  </si>
  <si>
    <t>Кесувчи арра ускунаси</t>
  </si>
  <si>
    <t>(РУС) Компания:
(РУС) Модель:
(РУС) Макс. длина распила:
(РУС) Макс. ширина распила:
(РУС) Радиус основной пилы:
(РУС) Радиус второй пилы:
(РУС) Скорость вращения основной пилы:
(РУС) Скорость второй пилы:
(РУС) Толщина распила:
(РУС) В комплекте:
(РУС) WoodTech Working Machinary (Китай)
(РУС) MJ6132YT-MJ45
(РУС) 3000 мм
(РУС) 1250 мм
(РУС) 330/30 мм
(РУС) 120/20 мм
(РУС) 4000-6000 раз/мин
(РУС) 7000-8000 раз/мин
(РУС) 80 мм
(РУС) пылесос , запасная пила</t>
  </si>
  <si>
    <t>30 31 32 33</t>
  </si>
  <si>
    <t>Хомир коргич</t>
  </si>
  <si>
    <t>8 10 12</t>
  </si>
  <si>
    <t>юкори сифатга эга бўлган занга чидамли темирдан ясалган хамир қориш машинаси сотилади сифатига 100 фоиз кафолат берилади юкори сифатга эга бўлган занга чидамли темирдан ясалган хамир қориш машинаси сотилади сифатига 100 фоиз кафолат берилади юкори сифатга эга бўлган занга чидамли темирдан ясалган хамир қориш машинаси сотилади сифатига 100 фоиз кафолат берилади юкори сифатга эга бўлган занга чидамли темирдан ясалган хамир қориш машинаси сотилади сифатига 100 фоиз кафолат берилади </t>
  </si>
  <si>
    <t>Музлаткич</t>
  </si>
  <si>
    <t xml:space="preserve">• Телефон Кисела Хар хил маделларидан бор
• Ишлаш тизими Но Фрост воздушный
• Електор тежовчи А+ класс
• Без табло с табло
• Бойи 1.75см Ени 60см
• 2 камерали
• 3 Йил сервис гарантия + 10 йил маторига гарантия
• Доставка Бепул Кун давомида йетказиб бериладиЮкори сифатили музкаймок ва шу каби сут махсулотларини саклаш учун 100 сифатга эга махсулот сифати кафолат берилади Юкори сифатили музкаймок ва шу каби сут махсулотларини саклаш учун 100 сифатга эга махсулот сифати кафолат берилади Юкори сифатили музкаймок ва шу каби сут махсулотларини саклаш учун 100 сифатга эга махсулот сифати кафолат берилади Юкори сифатили музкаймок ва шу каби сут махсулотларини саклаш учун 100 сифатга эга махсулот сифати кафолат берилади Юкори сифатили музкаймок ва шу каби сут махсулотларини саклаш учун 100 сифатга эга махсулот сифати кафолат берилади Юкори сифатили музкаймок ва шу каби сут махсулотларини саклаш учун 100 сифатга эга махсулот сифати кафолат берилади </t>
  </si>
  <si>
    <t>7,5 8  10 12</t>
  </si>
  <si>
    <t>Авто кўтаргич</t>
  </si>
  <si>
    <t xml:space="preserve">24 25 26 </t>
  </si>
  <si>
    <t>2-х стоечный подъемник Launch TDY-2D40M с моторчиком 220v и 380v. Имеется 3.5Т также 4Т.2-х стоечный подъемник Launch TDY-2D40M с моторчиком 220v и 380v. Имеется 3.5Т также 4Т.2-х стоечный подъемник Launch TDY-2D40M с моторчиком 220v и 380v. Имеется 3.5Т также 4Т.2-х стоечный подъемник Launch TDY-2D40M с моторчиком 220v и 380v. Имеется 3.5Т также 4Т.2-х стоечный подъемник Launch TDY-2D40M с моторчиком 220v и 380v. Имеется 3.5Т также 4Т.</t>
  </si>
  <si>
    <t>Компрессор</t>
  </si>
  <si>
    <t>2 3 4 4,5  5 8 10 15</t>
  </si>
  <si>
    <t>Единица товара: Штука Вес, кг: 24,83 Длина, мм: 650 Ширина, мм: 275 Высота, мм: 620 Компрессор; Ресивер; Универсальное быстродействующее соединение; Обрезиненная рукоятка; Упаковка. Единица товара: Штука Вес, кг: 24,83 Длина, мм: 650 Ширина, мм: 275 Высота, мм: 620 Компрессор; Ресивер; Универсальное быстродействующее соединение; Обрезиненная рукоятка; Упаковка. Единица товара: Штука Вес, кг: 24,83 Длина, мм: 650 Ширина, мм: 275 Высота, мм: 620 Компрессор; Ресивер; Универсальное быстродействующее соединение; Обрезиненная рукоятка; Упаковка.</t>
  </si>
  <si>
    <t>Электр перфоратор</t>
  </si>
  <si>
    <t>0846700100200</t>
  </si>
  <si>
    <t>PowerMaxx BS Basic Set * Mobile Workshop   (Аккумуляторная дрель-шуруповерт, мобильная мастерская)
Напряжение аккумулятора:10.8 В
Макс. мягкий крутящий момент:17 Нм
Макс. жесткий крутящий момент:34 Нм
Диаметр сверления в стали:10 мм
д. сверления в мягкой древесине:18 ммPowerMaxx BS Basic Set * Mobile Workshop   (Аккумуляторная дрель-шуруповерт, мобильная мастерская)
Напряжение аккумулятора:10.8 В
Макс. мягкий крутящий момент:17 Нм
Макс. жесткий крутящий момент:34 Нм
Диаметр сверления в стали:10 мм
д. сверления в мягкой древесине:18 мм</t>
  </si>
  <si>
    <t>2 3 4 5</t>
  </si>
  <si>
    <t>Товуқ</t>
  </si>
  <si>
    <t>0015500100100</t>
  </si>
  <si>
    <t xml:space="preserve">50 ming </t>
  </si>
  <si>
    <t xml:space="preserve">Брама жожалари сотилади конни 100 % тоза ота онасиниям суратини куришингиз мумкин 1 хафталигдан бошлаб 1 йошгача бор Тоза қон 40 кунлик ПАЛИВИЙ жўжалар сотилади. Брама жожалари сотилади конни 100 % тоза ота онасиниям суратини куришингиз мумкин 1 хафталигдан бошлаб 1 йошгача бор Тоза қон 40 кунлик ПАЛИВИЙ жўжалар сотилади. Брама жожалари сотилади конни 100 % тоза ота онасиниям суратини куришингиз мумкин 1 хафталигдан бошлаб 1 йошгача бор Тоза қон 40 кунлик ПАЛИВИЙ жўжалар сотилади. Брама жожалари сотилади конни 100 % тоза ота онасиниям суратини куришингиз мумкин 1 хафталигдан бошлаб 1 йошгача бор Тоза қон 40 кунлик ПАЛИВИЙ жўжалар сотилади. </t>
  </si>
  <si>
    <t>Чувалчанг</t>
  </si>
  <si>
    <t>0,5</t>
  </si>
  <si>
    <t>Биогомус таййорлаш ва даромад олиш учун кулай. Калифорния Кизил ёмгир чувалчанги. Табиий биогумос ишлаб чикаради. Бир квадрати 500000 сум. Калифорнийский черви. 1 шт 500000 сум.Биогомус таййорлаш ва даромад олиш учун кулай. Калифорния Кизил ёмгир чувалчанги. Табиий биогумос ишлаб чикаради. Бир квадрати 500000 сум. Калифорнийский черви. 1 шт  500000 сум.Биогомус таййорлаш ва даромад олиш учун кулай. Калифорния Кизил ёмгир чувалчанги. Табиий биогумос ишлаб чикаради. Бир квадрати 500000 сум. Калифорнийский черви. 1 шт  500000 сум.</t>
  </si>
  <si>
    <t xml:space="preserve">Хоразм вилояти Богот тумани Ок Олтин МФЙ </t>
  </si>
  <si>
    <t xml:space="preserve">Kompyuter </t>
  </si>
  <si>
    <t xml:space="preserve">Жуманазаов Тохир </t>
  </si>
  <si>
    <t xml:space="preserve">Садуллаева Гуламбой </t>
  </si>
  <si>
    <t>7.5</t>
  </si>
  <si>
    <t xml:space="preserve">Худайберганов Ғанижон </t>
  </si>
  <si>
    <t xml:space="preserve">Жуманазаров Зафар </t>
  </si>
  <si>
    <t xml:space="preserve">Исмоилова Ойша </t>
  </si>
  <si>
    <t xml:space="preserve">Аллаберганова Гулой </t>
  </si>
  <si>
    <t xml:space="preserve">Ғайрат дарча </t>
  </si>
  <si>
    <t xml:space="preserve">каримбой Сабез </t>
  </si>
  <si>
    <t xml:space="preserve">Темур машин </t>
  </si>
  <si>
    <t xml:space="preserve">Aminova Zeboxon </t>
  </si>
  <si>
    <t xml:space="preserve">6.5 </t>
  </si>
  <si>
    <t xml:space="preserve">Тоиров Сухроб </t>
  </si>
  <si>
    <t xml:space="preserve">Тоирова Матлуба </t>
  </si>
  <si>
    <t>Ренат ога шокир огани платигина 11.75 млн ташлаш керар</t>
  </si>
  <si>
    <t xml:space="preserve">Davletov Донёр </t>
  </si>
  <si>
    <t xml:space="preserve">Кодирова Саида </t>
  </si>
  <si>
    <t xml:space="preserve">Азамат </t>
  </si>
  <si>
    <t xml:space="preserve">Рўзметова Рўзажон </t>
  </si>
  <si>
    <t xml:space="preserve">Собиров Одамбой </t>
  </si>
  <si>
    <t xml:space="preserve">Жуманазарова Ўғилжон </t>
  </si>
  <si>
    <t xml:space="preserve">Самандаров Жамшид </t>
  </si>
  <si>
    <t xml:space="preserve">7.5 </t>
  </si>
  <si>
    <t xml:space="preserve">Анвар ога </t>
  </si>
  <si>
    <t xml:space="preserve">Худайназарова Момогул </t>
  </si>
  <si>
    <t xml:space="preserve">Жуманиёзова Хилола </t>
  </si>
  <si>
    <t xml:space="preserve">Алимбоев Камоладдин </t>
  </si>
  <si>
    <t xml:space="preserve">Алимбоева Рухсора </t>
  </si>
  <si>
    <t xml:space="preserve">3.5 млн астака колди </t>
  </si>
  <si>
    <t xml:space="preserve">Садуллаев Бобуржон </t>
  </si>
  <si>
    <t>Farid oga</t>
  </si>
  <si>
    <t xml:space="preserve">Сапаев нурбек </t>
  </si>
  <si>
    <t xml:space="preserve">azamat </t>
  </si>
  <si>
    <t xml:space="preserve">Садуллаев Содикжон </t>
  </si>
  <si>
    <t xml:space="preserve">Тажиев Музаффар </t>
  </si>
  <si>
    <t xml:space="preserve">Умаров Шодлик </t>
  </si>
  <si>
    <t xml:space="preserve">Сабирова Назокат </t>
  </si>
  <si>
    <t>5.8</t>
  </si>
  <si>
    <t xml:space="preserve">Курaнбоева Мадина </t>
  </si>
  <si>
    <t xml:space="preserve">gulom mikra </t>
  </si>
  <si>
    <t xml:space="preserve">Сотимбоева Нилуфар </t>
  </si>
  <si>
    <t xml:space="preserve">Султонова Махлиё </t>
  </si>
  <si>
    <t xml:space="preserve">Сапаев Ойбек </t>
  </si>
  <si>
    <t xml:space="preserve">Babajonova Soxiba </t>
  </si>
  <si>
    <t xml:space="preserve"> </t>
  </si>
  <si>
    <t>Контейнер</t>
  </si>
  <si>
    <t>Контейнер под офис.
Ест наличе.
Ofis uchun tayyor konteynerlar
Devori mdf dekor
Eshigi ichi mdf tashqi tomoni temir
Romi akfa plast 6000 trio
Patalogi plastik
Poli linolim
Elektrikasi tayyo</t>
  </si>
  <si>
    <t>0841500100100</t>
  </si>
  <si>
    <t>Мощность охлаждения - 9500 Btu
Мощность обогрева - 11000Btu
Расход электроэнергии - 0,55 кВт
Обслуживаемая площадь - 30 м2
Обслуживаемая площадь - 90 м3
Колличество фриона - 675 гр.
Фрион - R32
Расход воздуха - 620
Low Voltage 115V-265V
Экономия до 60% электроэнергии
Скрытый Led Display
Компрессор GMCC Toshiba
10 лет гарантии на компрессор
3 года сервисного обслуживания</t>
  </si>
  <si>
    <t>Кондитсинер</t>
  </si>
  <si>
    <t>Компютер</t>
  </si>
  <si>
    <t>ntel Core i7-10700T 2.0 GHz (up to 4.3 GHz) 8C 35 W / 8GB (1x8GB) DDR4 2666 SODIMM / 1TB 7200RPM 2.5" HDD / 9.5mm DVD-Writer / 23.8"  (54.6 cm) Full HD (1920 x 1080) / Intel UHD Graphics 630 / Intel 9560 ac 2x2 nvP +Bluetooth 5 WW / FreeDOS / One Years Warranty / Black / USB Keyboard and Mouse
Несмотря на то, что моноблоки появились давно и потеряли свою актуальность из-за пришедших взамен ноутбуков, развитие информационных технологий позволило им снова возродиться. Моноблок представляет собой компьютер, который встроен в корпус монитора. Удобство моноблоков в том, что они занимают мало свободного пространства и являются миниатюрной частью интерьера. На этом устройстве полностью отсутствуют провода, кроме сетевого провода, что значительно облегчит вам задачу переносить его куда-либо.</t>
  </si>
  <si>
    <t>Принтер</t>
  </si>
  <si>
    <t xml:space="preserve">A4 Печать фотографий   есть Количество цветов   6 Минимальный объем капли   1.5 пл Печать без полей   есть Максимальное разрешение для цветной печати   5760x1440 dpi Скорость печати   37 стр/мин (ч/б А4), 38 стр/мин (цветн. А4) Время печати 10x15 см (цветн.)   12 с планшетный Тип датчика   контактный (CIS) Максимальный формат оригинала   A4 Максимальный размер сканирования   216x297 мм Глубина цвета   24 бит Разрешение сканера   1200x2400 dpi 64-300 г/м2 Печать на:   карточках, пленках, этикетках, фотобумаге, CD/DVD, глянцевой бумаге, конвертах, матовой бумаге Ресурс цветного картриджа/тонера   1800 страниц Ресурс ч/б картриджа/тонера   1800 страниц Количество картриджей   6 Тип картриджа/тонера   черный C13T67314A, голубой C13T67324A, пурпурный C13T67334A, желтый C13T67344A, светло-голубой C13T67354A, светло-пурпурный C13T67364A Система непрерывной подачи чернил   есть </t>
  </si>
  <si>
    <t>Стол</t>
  </si>
  <si>
    <t>Стильный и эргономичный стол, станет важным элементом интерьера. Просторная поверхность стола позволяет удобно разместить как компьютерное оборудование, так и канцелярские принадлежности. Под столешницей расположены выдвижные ящики для хранения мелочей. Изделие выполнено из высококачественного и экологичного материала – МДФ. Все края обработаны ударопрочной кромкой ПВХ, которая значительно увеличивает срок эксплуатации изделия.
Для сборки изделия используется фурнитура ведущих мировых производителей.
Заказывайте по доступным ценам компьютерный стол от производителя</t>
  </si>
  <si>
    <t>0940300301200</t>
  </si>
  <si>
    <t>Комплект стол стуллари билан</t>
  </si>
  <si>
    <t>Представляем вашему вниманию стильные и современные офисные кресла от "FurniGlass". Офисные кресла выполнены из высококачественной кожи, которая имеет стойкость к истиранию и постарению. Благодаря современному и стильному дизайну, офисные кресла в интерьер любого помещения и с любой мебелью. </t>
  </si>
  <si>
    <t>Диаметр дисков 10”-26”Автоматический ввод двух параметров колеса – расстояние до колеса, диаметр.
Размер ширины диска вводиться в ручную.
Система Direct 3D – точное прямое измерение геометрии ALU – дисков. 22 “ LED монитор
Модель класса БИЗНЕС с интеллектуальным приводом. Отличают удобство в эксплуатации, простота и надежность. Информативный LCD-монитор обеспечивает комфортную работу на станке.
Легкость в освоении и обслуживании:  наглядное представление информации при работе
- экраны подсказок доступны в любой момент
- текстовое меню настроек
- пошаговые инструкции по калибровке
- речевое сопровождение
Дополнительные функции: Оптимизация положения "шина-диск". Для уменьшения массы устанавливаемых грузов возможно проведение оптимизации «шина-диск». При оптимизации тяжелые участки диска и шины перемещаются на противоположные стороны, что позволяет снизить суммарный дисбаланс колеса.
- «Невидимый груз» – SPLIT. Для сохранения внешнего вида дорогого диска мы предлагаем решение – переместить груз за спицы. Функция SPLIT разделит груз на два так, что они окажутся за спицами.
ПАРАМЕТРЫ
Макс. масса колеса, кг 65
Макс. диаметр диска, дюйм 26
Макс. ширина диска, дюйм 20
Макс. диаметр колеса, мм 800
Точность, г 1
Диаметр вала, мм 40
Дисплей LCD 19
Напряжение в сети 220В
Масса, кг 85
Габаритные размеры, мм 915 x 1290 x 1330
Цвет Синий / красный</t>
  </si>
  <si>
    <t xml:space="preserve">Балансировка </t>
  </si>
  <si>
    <t xml:space="preserve">svarka aparat </t>
  </si>
  <si>
    <t>3.5</t>
  </si>
  <si>
    <t>Сварочный полуавтомат ХУГОНГ "NB 251K" Профессиональный многофункциональный сварочный аппарат. Оптимально подходит для сварки углеродистых, низколегированных и нержавеющих сталей. Сварочные процессы MIG/MAG, FCAW, MMA. Работа от однофазной сети 220В, сварка проволокой 0.6 - 1.2 мм. ОСОБЕННОСТИ МОДЕЛИ • Сварочный аппарат для полуавтоматической сварки в среде защитного газа (MIG/MAG) и ручной дуговой сварки (ММА). • Инверторная технология на базе новейших IGBT транзисторов • Оптимально подходит для сварки углеродистых, низколегированных и нержавеющих сталей • Встроенный Горячий старт и Антизалипание электрода • Регулировка индуктивности • Режимы работы горелки 2Т/4Т • Дисплей сварочного тока • Дисплей сварочного напряжения • Встроенный 2-х роликовый подающий механизм • Скорость подачи проволоки 2.5-13 м/мин • Функция дожига провоолоки • Функция автоматической постпродувки, 3 секунды • Быстроразъемное соединение сварочных кабелей • Быстроразъемное подключение защитного газа • Легкая смена полярности на панели управления • Встроенная защита от скачков напряжения • Встроенная термальная защита • Индикатор перегрева • Охлаждение с помощью встроенного вентилятора • Встроенный подающий механизм • Установка катушки весом до 20 кг • Кнопка протяжки проволоки • Розетка 36В для подогрева газа • Запатентованная технология, высокая мощность и продолжительность работы • Современный дизайн, небольшой вес, ручка для переноски ОБЩИЕ ХАРАКТЕРИСТИКИ РЕЖИМЫ СВАРКИ MIG/MAG, MMA НАПРЯЖЕНИЕ СЕТИ 220В ± 15% ПОТРЕБЛЕНИЕ МАКСИМАЛЬНОЕ, КВА 10.6 НАПРЯЖЕНИЕ ХОЛОСТОГО ХОДА, В 56 РЕГУЛИРОВКА СВАРОЧНОГО НАПРЯЖЕНИЯ ДЛЯ MIG, В 16.5-26.5 СВАРОЧНЫЙ ТОК MIG, А 50-250 ДИАМЕТР ПРОВОЛОКИ, ММ 0.6-1.2 МАССА КАТУШКИ, КГ 15/20 СВАРОЧНЫЙ ТОК ММА, А 50-200 ДИАМЕТР ЭЛЕКТРОДА, ММ 1.6-4 ПВ, % 60% (20°С) / 35% (40°С) КЛАСС ИЗОЛЯЦИИ F СТЕПЕНЬ ЗАЩИТЫ IP21S МАССА, КГ 23.2 ГАБАРИТНЫЕ РАЗМЕРЫ (Д;Ш;В; ММ) 510x243x492 МАССА БРУТТО, КГ 29 ГАБАРИТНЫЕ РАЗМЕРЫ УПАКОВКИ (Д;Ш;В; ММ) 635х350х530 ГАРАНТИЯ, СРОК (МЕС) 12</t>
  </si>
  <si>
    <t>Электр болгарка</t>
  </si>
  <si>
    <t>Электропила Makita GA9020, невероятно долговечная, стойкая к перегреву, имеет усиленные конические шестерни редуктора, надежный и пылезащитный мотор (2200 Вт) для работы с бетономЭлектропила Makita GA9020, невероятно долговечная, стойкая к перегреву, имеет усиленные конические шестерни редуктора, надежный и пылезащитный мотор (2200 Вт) для работы с бетономЭлектропила Makita GA9020, невероятно долговечная, стойкая к перегреву, имеет усиленные конические шестерни редуктора, надежный и пылезащитный мотор (2200 Вт) для работы с бетономЭлектропила Makita GA9020, невероятно долговечная, стойкая к перегреву, имеет усиленные конические шестерни редуктора, надежный и пылезащитный мотор (2200 Вт) для работы с бетоном</t>
  </si>
  <si>
    <t>Электр дрел</t>
  </si>
  <si>
    <t>Електр арра</t>
  </si>
  <si>
    <t>0846700100300</t>
  </si>
  <si>
    <t>Пила Аллигатор: Конструкция ручная; Мощность 1700; Выходная мощность 900 Вт; Количество скоростей 1;  Длина полотна 430 мм; Производительность; Размер хода 40 мм; Число ходов в минуту 3000; Дополнительная информация
Комплект поставки; пильное полотно, ключ; Габариты (ШхВ) 918x219 мм; Вес 5.5 кгПила Аллигатор: Конструкция ручная; Мощность 1700; Выходная мощность 900 Вт; Количество скоростей 1;  Длина полотна 430 мм; Производительность; Размер хода 40 мм; Число ходов в минуту 3000; Дополнительная информация
Комплект поставки; пильное полотно, ключ; Габариты (ШхВ) 918x219 мм; Вес 5.5 кг</t>
  </si>
  <si>
    <t xml:space="preserve">Калитлар тўплами </t>
  </si>
  <si>
    <t xml:space="preserve"> Количество в наборе: 122 единиц.
- Насадки 1/2″: от 12 до 24мм, длиной 38 мм; от 27 до 32мм, длиной 42 мм.
- Насадки 1/4″: от 4 до 14мм, длиной 25 мм.
- Насадки 1/2″ длиние: от 10 до 19мм, длиной 76 мм.
- Насадки 1/4″ длиние: от 4 до 9мм, длиной 50 мм.
- Насадки Torx 1/2″: E10, E12, E14, E16, E18, E20, E22, E24.
- Удлинители: 1/2″: 254 мм, 1/4″: 152 мм.
- Кардан: 1/4″, 1/2.
- Свечные головки 1/2″: 16 мм, 21 мм.
- Трещотки: 1/2″ 255 мм, 1/4″ 155 мм, на 72 зуба.
- Головки 1/4″ плоские: от 3 до 6 мм, длиной 25 мм.
- Головки 1/4″ Pozidrive: Pz0, Pz1, PZ2, длиной 25 мм.
- Головки 1/4″ Philips: PH0, PH1, PH2, длиной 25 мм.
- Биты 1/4″ плоске: 4 мм, 5,5 мм, 6,5 мм, длиной 37 мм.
- Биты 1/4″ Philips: PH1, PH2, PH3, длиной 37 мм.
- Биты 1/4″ Pozidrive: PZ2, PZ3, длиной 37 мм.
- Биты 1/4″ HEX: 3 мм, 4 мм, 5 мм, 6 мм, длиной 37 мм.
- Биты 1/4″ TORX: T8, T10, T15, T20, T25, длиной 37 мм.
- Биты 1/4″ TORX с отвестием: T10, T15, T20, T25, T40, длиной 37 мм.
- Ключи комбинированные: от 8 до 19 мм.
- Отвёртки плоские: 4x100мм, 6x150мм.
- Отвёртки Philips: Ph2х100, Ph3х150мм.
- Плоскогубцы: 180 мм.
- Бокорезы: 160 мм.
- Длинногубцы: 160 мм.
- Клещи: 250 мм.
- Молоток: 300 грамм.
- Набор ключей шестигранных: от 2 мм, до 10 мм.
- Материал: CrV.
- Вес: 11,5 кг</t>
  </si>
  <si>
    <t>асалари оиласи</t>
  </si>
  <si>
    <t>Chetdan porodali zottor asalari oylalari uyalari bilan sotiladi asalarilar sog'lom va sifatli mahsuldor asal yig'adi asalarini sifatiga kafolat asalari onalari oq kraska bilan yelkasini metka qilingan shuningdek asalari uyalarini ham yaseymizChetdan porodali zottor asalari oylalari uyalari bilan sotiladi asalarilar sog'lom va sifatli mahsuldor asal yig'adi asalarini sifatiga kafolat asalari onalari oq kraska bilan yelkasini metka qilingan shuningdek asalari uyalarini ham yaseymizChetdan porodali zottor asalari oylalari uyalari bilan sotiladi asalarilar sog'lom va sifatli mahsuldor asal yig'adi asalarini sifatiga kafolat asalari onalari oq kraska bilan yelkasini metka qilingan shuningdek asalari uyalarini ham yaseymiz</t>
  </si>
  <si>
    <t xml:space="preserve">Asad Xalq banki </t>
  </si>
  <si>
    <t xml:space="preserve">Мирзаева Матлуба </t>
  </si>
  <si>
    <t xml:space="preserve">Даврон Доктор </t>
  </si>
  <si>
    <t xml:space="preserve">Садуллаева Фазилат </t>
  </si>
  <si>
    <t xml:space="preserve">Кушаев Расулбек </t>
  </si>
  <si>
    <t xml:space="preserve">Rustam og`a usta mikra </t>
  </si>
  <si>
    <t>Кушаева Дилафруз</t>
  </si>
  <si>
    <t xml:space="preserve">Кушаева Гулшода </t>
  </si>
  <si>
    <t xml:space="preserve">Саидмуротова Зумрад </t>
  </si>
  <si>
    <t xml:space="preserve">Ковунчи тошкент колхоз </t>
  </si>
  <si>
    <t xml:space="preserve">Турдиева Наргизахон </t>
  </si>
  <si>
    <t xml:space="preserve">Сапаев Достон Боходирни укаси </t>
  </si>
  <si>
    <t xml:space="preserve">Бахрамова Дилфуза </t>
  </si>
  <si>
    <t xml:space="preserve">6.7 </t>
  </si>
  <si>
    <t xml:space="preserve">урганчли апка </t>
  </si>
  <si>
    <t xml:space="preserve">Ахмадова Мохидил </t>
  </si>
  <si>
    <t xml:space="preserve">Maqsad jura </t>
  </si>
  <si>
    <t xml:space="preserve">Бекчанова Анамой </t>
  </si>
  <si>
    <t xml:space="preserve">Yusupova Saodat </t>
  </si>
  <si>
    <t xml:space="preserve">Baxodir mikra </t>
  </si>
  <si>
    <t xml:space="preserve">Egamberdiyev Xayrulla </t>
  </si>
  <si>
    <t xml:space="preserve">Ренат ога </t>
  </si>
  <si>
    <t>Ражабов Жавохир</t>
  </si>
  <si>
    <t xml:space="preserve">Бекчанов Максадбек </t>
  </si>
  <si>
    <t xml:space="preserve">Юсупова Мохичехра </t>
  </si>
  <si>
    <t xml:space="preserve">Дилшод жура </t>
  </si>
  <si>
    <t xml:space="preserve">Юсупов Еркабой </t>
  </si>
  <si>
    <t xml:space="preserve">Авазов Сулаймон </t>
  </si>
  <si>
    <t>6.3</t>
  </si>
  <si>
    <t xml:space="preserve">Исмаилова Фотима </t>
  </si>
  <si>
    <t xml:space="preserve">Саидниёзов Камолбой </t>
  </si>
  <si>
    <t xml:space="preserve">камол ога </t>
  </si>
  <si>
    <t xml:space="preserve">Киличев Дилмурод </t>
  </si>
  <si>
    <t xml:space="preserve">Дилмурод ога Беруний МФЙ </t>
  </si>
  <si>
    <t xml:space="preserve">Худайберганов Отабек </t>
  </si>
  <si>
    <t xml:space="preserve">Бабахонов Раматилло </t>
  </si>
  <si>
    <t xml:space="preserve">Худайберганов Полвон </t>
  </si>
  <si>
    <t xml:space="preserve">Саидова Гуландон </t>
  </si>
  <si>
    <t xml:space="preserve">Мадаминов Огабек </t>
  </si>
  <si>
    <t xml:space="preserve">Каримбоев Сирож </t>
  </si>
  <si>
    <t>узи</t>
  </si>
  <si>
    <t xml:space="preserve">Пулатов Сурат </t>
  </si>
  <si>
    <t xml:space="preserve">Отабек хоким ёрдамчи </t>
  </si>
  <si>
    <t xml:space="preserve">Абдуллаев Санжар </t>
  </si>
  <si>
    <t xml:space="preserve">Хасанбой </t>
  </si>
  <si>
    <t xml:space="preserve">Абдуллаева Гулжон </t>
  </si>
  <si>
    <t xml:space="preserve">Ибрагимова Исмигул </t>
  </si>
  <si>
    <t xml:space="preserve">Сирож поспон </t>
  </si>
  <si>
    <t xml:space="preserve">Сафарбоев Донёрбек </t>
  </si>
  <si>
    <t xml:space="preserve">опаси келди </t>
  </si>
  <si>
    <t xml:space="preserve">Садуллаева Зайнаб </t>
  </si>
  <si>
    <t xml:space="preserve">Курбонбоев Ўлмас </t>
  </si>
  <si>
    <t xml:space="preserve">Жуманиёзов Улугбек </t>
  </si>
  <si>
    <t xml:space="preserve"> Микра юрист </t>
  </si>
  <si>
    <t xml:space="preserve">Ахмедов Атхамжон </t>
  </si>
  <si>
    <t xml:space="preserve">Самандарова Олтиной </t>
  </si>
  <si>
    <t xml:space="preserve">Маданият Котиб </t>
  </si>
  <si>
    <t>Маткурбонова Дилфуза</t>
  </si>
  <si>
    <t>Жасур халк банк олди</t>
  </si>
  <si>
    <t xml:space="preserve">Ахмедов Аброржон </t>
  </si>
  <si>
    <t>Микра юрист</t>
  </si>
  <si>
    <t xml:space="preserve">Сапарбоева Гулёр </t>
  </si>
  <si>
    <t xml:space="preserve">ўзи келди </t>
  </si>
  <si>
    <t xml:space="preserve">Сапаев Елмурод </t>
  </si>
  <si>
    <t xml:space="preserve">Самандаров Нодирбек </t>
  </si>
  <si>
    <t xml:space="preserve">Шоназарова Дилноза </t>
  </si>
  <si>
    <t>Акаси Косим</t>
  </si>
  <si>
    <t xml:space="preserve">Курбондурдиев Достон </t>
  </si>
  <si>
    <t xml:space="preserve">Зафарбек Ога олиб кетди </t>
  </si>
  <si>
    <t xml:space="preserve">Мадаминова Мохира </t>
  </si>
  <si>
    <t xml:space="preserve">Атаниёзов Умрбек </t>
  </si>
  <si>
    <t xml:space="preserve">Курбондурдиев Максуд </t>
  </si>
  <si>
    <t xml:space="preserve">Шариббоева Икбол </t>
  </si>
  <si>
    <t xml:space="preserve">Садуллаева Гуласал </t>
  </si>
  <si>
    <t xml:space="preserve">Шомуротов Асад </t>
  </si>
  <si>
    <t xml:space="preserve">Гаипова Зарнигор </t>
  </si>
  <si>
    <t>Домла узи</t>
  </si>
  <si>
    <t xml:space="preserve">Худайназарова Нилуфар </t>
  </si>
  <si>
    <t xml:space="preserve">Алимов Анварбек </t>
  </si>
  <si>
    <t xml:space="preserve">Улугбек ога уста Халк банки </t>
  </si>
  <si>
    <t xml:space="preserve">Ахмадова Комила </t>
  </si>
  <si>
    <t>Максад охран</t>
  </si>
  <si>
    <t xml:space="preserve">Шоназаров Акмалбек </t>
  </si>
  <si>
    <t xml:space="preserve">даргумон </t>
  </si>
  <si>
    <t xml:space="preserve">Фарходов Акмал </t>
  </si>
  <si>
    <t xml:space="preserve">Донёр халк банки </t>
  </si>
  <si>
    <t xml:space="preserve">Жабборов Жамшид </t>
  </si>
  <si>
    <t xml:space="preserve">Оллаберганов Фаррух </t>
  </si>
  <si>
    <t xml:space="preserve">Алибек Ога Паспорт стол </t>
  </si>
  <si>
    <t xml:space="preserve">Сафарбоев Қувондик  </t>
  </si>
  <si>
    <t xml:space="preserve">Садуллаева Мохинисо </t>
  </si>
  <si>
    <t xml:space="preserve">Улуғ кўзи </t>
  </si>
  <si>
    <t xml:space="preserve">Курбонбоева дилдора </t>
  </si>
  <si>
    <t xml:space="preserve">Хамид Халк Банки </t>
  </si>
  <si>
    <t xml:space="preserve">Жуманиёзов Хамдам </t>
  </si>
  <si>
    <t xml:space="preserve">Авезова Мадина </t>
  </si>
  <si>
    <t>Одилбек ога экология</t>
  </si>
  <si>
    <t xml:space="preserve">Хужамуротова Гулхаё </t>
  </si>
  <si>
    <t xml:space="preserve">Уз келди </t>
  </si>
  <si>
    <t xml:space="preserve">Мадаминова Кумуш </t>
  </si>
  <si>
    <t xml:space="preserve"> Азамат </t>
  </si>
  <si>
    <t xml:space="preserve">Ахмадова Нафиса </t>
  </si>
  <si>
    <t xml:space="preserve">Бектурдиев Хаким </t>
  </si>
  <si>
    <t xml:space="preserve">Бахриддин ога </t>
  </si>
  <si>
    <t xml:space="preserve">Хаитбоев Санжар </t>
  </si>
  <si>
    <t xml:space="preserve">Усмон узи олиб кетди   </t>
  </si>
  <si>
    <t xml:space="preserve">Маткурбонов Усмонжон </t>
  </si>
  <si>
    <t xml:space="preserve">Олимова Азиза </t>
  </si>
  <si>
    <t xml:space="preserve">узи </t>
  </si>
  <si>
    <t xml:space="preserve">Машарипова Райхона </t>
  </si>
  <si>
    <t xml:space="preserve">Шарипова Гулрух </t>
  </si>
  <si>
    <t xml:space="preserve">алижон ога паспорт стол </t>
  </si>
  <si>
    <t xml:space="preserve">Эшметова Гулжамол </t>
  </si>
  <si>
    <t xml:space="preserve">Сабирова Муножат </t>
  </si>
  <si>
    <t xml:space="preserve">Курбондурдиев Иномжон </t>
  </si>
  <si>
    <t xml:space="preserve">Жуманазарова Дилдора </t>
  </si>
  <si>
    <t xml:space="preserve">Улуғ қўзи </t>
  </si>
  <si>
    <t xml:space="preserve">Сапаева Бикажон </t>
  </si>
  <si>
    <t xml:space="preserve"> Нурулла ога уста </t>
  </si>
  <si>
    <t xml:space="preserve">Бекчанов Азамжон </t>
  </si>
  <si>
    <t xml:space="preserve">Матлатипова Турсуной </t>
  </si>
  <si>
    <t xml:space="preserve">узи олиб кетди </t>
  </si>
  <si>
    <t xml:space="preserve">Аллабердиев Мусожон </t>
  </si>
  <si>
    <t xml:space="preserve">щзи келди </t>
  </si>
  <si>
    <t xml:space="preserve">Рузметов Одамбой </t>
  </si>
  <si>
    <t xml:space="preserve">Халк банки Ахран </t>
  </si>
  <si>
    <t xml:space="preserve">Викторов Шохрух </t>
  </si>
  <si>
    <t xml:space="preserve">Бердиева Асалхон </t>
  </si>
  <si>
    <t xml:space="preserve">Сапаева Сарвиноз </t>
  </si>
  <si>
    <t xml:space="preserve">Жамшид охран </t>
  </si>
  <si>
    <t xml:space="preserve">Кенжаева Рисолат </t>
  </si>
  <si>
    <t xml:space="preserve">Абдуллаева Гулёр </t>
  </si>
  <si>
    <t xml:space="preserve">Максуд ога </t>
  </si>
  <si>
    <t xml:space="preserve">Собиров Тщлкин </t>
  </si>
  <si>
    <t>Абдуллаева Умида</t>
  </si>
  <si>
    <t xml:space="preserve">Исмоилова Фотима </t>
  </si>
  <si>
    <t xml:space="preserve">Бектудиева Руфайда </t>
  </si>
  <si>
    <t xml:space="preserve">Жамшид Гулмира </t>
  </si>
  <si>
    <t xml:space="preserve">Якуббоев Сухроб </t>
  </si>
  <si>
    <t>7.3</t>
  </si>
  <si>
    <t xml:space="preserve">Абдуллаева Нилуфар </t>
  </si>
  <si>
    <t xml:space="preserve">Узи олди </t>
  </si>
  <si>
    <t xml:space="preserve">Исмоилова Зухра </t>
  </si>
  <si>
    <t xml:space="preserve">Бердиева Анажон </t>
  </si>
  <si>
    <t>Жамшид ахран</t>
  </si>
  <si>
    <t xml:space="preserve">Якуббоева Сабохат </t>
  </si>
  <si>
    <t xml:space="preserve">Комондир </t>
  </si>
  <si>
    <t xml:space="preserve">Озодбоев Толибжон </t>
  </si>
  <si>
    <t xml:space="preserve">Сапарматов Азизбек </t>
  </si>
  <si>
    <t xml:space="preserve">Якуббоев Сирож </t>
  </si>
  <si>
    <t xml:space="preserve">Отажонова Максуда </t>
  </si>
  <si>
    <t xml:space="preserve"> Султонов Оллаёр </t>
  </si>
  <si>
    <t xml:space="preserve">Отамуротов Хамиджон </t>
  </si>
  <si>
    <t xml:space="preserve">максуд Галаба хоким ёрдамчи </t>
  </si>
  <si>
    <t>Мадримов Диас</t>
  </si>
  <si>
    <t xml:space="preserve">Кутлимуротов Умрбек </t>
  </si>
  <si>
    <t xml:space="preserve">Косим ога тахи </t>
  </si>
  <si>
    <t xml:space="preserve">Маратов Мухиддин </t>
  </si>
  <si>
    <t>6.2</t>
  </si>
  <si>
    <t xml:space="preserve">узи келди </t>
  </si>
  <si>
    <t xml:space="preserve">Хужаниёзова Шоира </t>
  </si>
  <si>
    <t xml:space="preserve">Камол огани огаси Дарча </t>
  </si>
  <si>
    <t xml:space="preserve">Қадамбоев Шохжахон </t>
  </si>
  <si>
    <t xml:space="preserve">Худайбердиев Камранбек </t>
  </si>
  <si>
    <t xml:space="preserve"> Шокир огамни акасини жщраси </t>
  </si>
  <si>
    <t xml:space="preserve">Жаббарова Мехринисо </t>
  </si>
  <si>
    <t xml:space="preserve">Худайбердиев Шахриёр </t>
  </si>
  <si>
    <t xml:space="preserve">Шомуротова Дилдора </t>
  </si>
  <si>
    <t>Анвар ога Бекчанов</t>
  </si>
  <si>
    <t xml:space="preserve">Атамуротов Музаффар </t>
  </si>
  <si>
    <t xml:space="preserve">Жуманиёзова Муниса </t>
  </si>
  <si>
    <t xml:space="preserve"> Хужаниёзова Феруза </t>
  </si>
  <si>
    <t xml:space="preserve">Матназаров Абдуллажон </t>
  </si>
  <si>
    <t xml:space="preserve">Азамат  Олиб кетди </t>
  </si>
  <si>
    <t xml:space="preserve">Эгамбердиев Бахаваддин </t>
  </si>
  <si>
    <t>Худайберганов Моможон</t>
  </si>
  <si>
    <t xml:space="preserve">Фуркат ога Галаба </t>
  </si>
  <si>
    <t xml:space="preserve">Курёзова Курвонгул </t>
  </si>
  <si>
    <t xml:space="preserve">Юсупова Тозагул </t>
  </si>
  <si>
    <t xml:space="preserve">жамшид охран </t>
  </si>
  <si>
    <t>Мадримова Махлиё Раман кизи</t>
  </si>
  <si>
    <t xml:space="preserve">Бобоназаров Азизбек Жуманазарович </t>
  </si>
  <si>
    <t>5.4</t>
  </si>
  <si>
    <t xml:space="preserve">      Азамат  </t>
  </si>
  <si>
    <t xml:space="preserve">Кутлимуротов Худашукур Ахмед щ-ли </t>
  </si>
  <si>
    <t xml:space="preserve">Бобоназарова Адолат Жуманазаровна </t>
  </si>
  <si>
    <t xml:space="preserve">Султонова Дилафруз </t>
  </si>
  <si>
    <t xml:space="preserve">Гасн  Музаффар ога </t>
  </si>
  <si>
    <t xml:space="preserve">Кутлимуротова Шаира </t>
  </si>
  <si>
    <t>5.7</t>
  </si>
  <si>
    <t xml:space="preserve">Юсупов Жавохир Махмуд ўғли </t>
  </si>
  <si>
    <t xml:space="preserve"> Акаси келиб олиб кетди </t>
  </si>
  <si>
    <t xml:space="preserve">Курбондурдиева Озода Қўзибоевна </t>
  </si>
  <si>
    <t xml:space="preserve"> Косим ога Шокир ога </t>
  </si>
  <si>
    <t xml:space="preserve">Хужаниёзов Шухрат Бахрам ўғли </t>
  </si>
  <si>
    <t>камол ога дарча</t>
  </si>
  <si>
    <t xml:space="preserve">Қўчқоров Илхом Сотимович </t>
  </si>
  <si>
    <t>6.5</t>
  </si>
  <si>
    <t>Аминов Мурот Отабек ўғли</t>
  </si>
  <si>
    <t>Аминов Умарбек Отабек ўғли</t>
  </si>
  <si>
    <t xml:space="preserve">Болтаева Кумуш </t>
  </si>
  <si>
    <t xml:space="preserve">Олимов Асадбек </t>
  </si>
  <si>
    <t xml:space="preserve">Жонибек ога </t>
  </si>
  <si>
    <t xml:space="preserve">Болтаева Донохон </t>
  </si>
  <si>
    <t>Абдукаримова Лобар</t>
  </si>
  <si>
    <t>5.2</t>
  </si>
  <si>
    <t xml:space="preserve">Сатимова Дурханим </t>
  </si>
  <si>
    <t xml:space="preserve">Диванова Мохира </t>
  </si>
  <si>
    <t xml:space="preserve">Назокат апка микра </t>
  </si>
  <si>
    <t>Бардибоев Аббосбек Алишер угли</t>
  </si>
  <si>
    <t xml:space="preserve">Омонова Гулрух </t>
  </si>
  <si>
    <t xml:space="preserve">Камандир </t>
  </si>
  <si>
    <t xml:space="preserve">Комилжонов Саидмухаммад </t>
  </si>
  <si>
    <t xml:space="preserve">Раматова Динора </t>
  </si>
  <si>
    <t xml:space="preserve">Акаси келиб олиб кетди </t>
  </si>
  <si>
    <t xml:space="preserve">Қўчқорава Гуласал </t>
  </si>
  <si>
    <t>Укаси келиб олиб кетди  99 505 30 90</t>
  </si>
  <si>
    <t xml:space="preserve">Хщжаниёзов Шохрух </t>
  </si>
  <si>
    <t xml:space="preserve">Елдор Бух </t>
  </si>
  <si>
    <t xml:space="preserve">Исмоилова Гули </t>
  </si>
  <si>
    <t>Курбондурдиев Бехзод</t>
  </si>
  <si>
    <t>Умидбоев Бобуржон</t>
  </si>
  <si>
    <t xml:space="preserve">Муроджон ога </t>
  </si>
  <si>
    <t>Матназарова Роза</t>
  </si>
  <si>
    <t xml:space="preserve">Одамбой Микра </t>
  </si>
  <si>
    <t xml:space="preserve">Раззаков Акмал </t>
  </si>
  <si>
    <t xml:space="preserve">Тангриберганова Зебо </t>
  </si>
  <si>
    <t xml:space="preserve">Ражабов Анвар </t>
  </si>
  <si>
    <t xml:space="preserve">Озодов Кудрат </t>
  </si>
  <si>
    <t xml:space="preserve">Файзуллаев Достонбек </t>
  </si>
  <si>
    <t xml:space="preserve">Санжарни Кайнатаси </t>
  </si>
  <si>
    <t xml:space="preserve">Бобожонова Дилноза </t>
  </si>
  <si>
    <t xml:space="preserve">Файзуллаев Бекзод </t>
  </si>
  <si>
    <t xml:space="preserve">Олимбоева Сабохат </t>
  </si>
  <si>
    <t>5.5</t>
  </si>
  <si>
    <t xml:space="preserve">Эри келиб олиб кетди </t>
  </si>
  <si>
    <t xml:space="preserve">Сапаев Кахрамон </t>
  </si>
  <si>
    <t xml:space="preserve">Уси олиб кетди </t>
  </si>
  <si>
    <t xml:space="preserve">Рахимбоева Дилшода </t>
  </si>
  <si>
    <t xml:space="preserve">Сотимова Дурхоним </t>
  </si>
  <si>
    <t xml:space="preserve">Ғайратов Хусниддин </t>
  </si>
  <si>
    <t xml:space="preserve"> Одилбек  олиб кетди </t>
  </si>
  <si>
    <t xml:space="preserve">Ёлдошев Давлатбой </t>
  </si>
  <si>
    <t xml:space="preserve">Хужаниёзов Санат </t>
  </si>
  <si>
    <t xml:space="preserve"> Одилбек Аннаев </t>
  </si>
  <si>
    <t xml:space="preserve">Уринбоев Жавохир </t>
  </si>
  <si>
    <t>Хаитбоев Фуркат</t>
  </si>
  <si>
    <t xml:space="preserve">Жуманиёзова Малика </t>
  </si>
  <si>
    <t xml:space="preserve">Узи келди </t>
  </si>
  <si>
    <t>Рщзметов Абдулазиз</t>
  </si>
  <si>
    <t xml:space="preserve">Тухтабоева Азиза </t>
  </si>
  <si>
    <t>Абдуллаев Миржалол</t>
  </si>
  <si>
    <t>Машарипов Тохиржон</t>
  </si>
  <si>
    <t>Ибрагимова Маржона</t>
  </si>
  <si>
    <t>Уринбоева Дилнура</t>
  </si>
  <si>
    <t xml:space="preserve">Кувондик ога Кабулов </t>
  </si>
  <si>
    <t>Кутлимуратова Муножат</t>
  </si>
  <si>
    <t xml:space="preserve">Анвар Бекчанов 513 0088 </t>
  </si>
  <si>
    <t>Хасанов Жахонгир</t>
  </si>
  <si>
    <t>Машарипова Асалхон</t>
  </si>
  <si>
    <t xml:space="preserve">Акаси Шухрат олди </t>
  </si>
  <si>
    <t>Кодирбердиева Онахон</t>
  </si>
  <si>
    <t xml:space="preserve">Алланазарова Зилола </t>
  </si>
  <si>
    <t>Райуна Зам 94 205 39 01</t>
  </si>
  <si>
    <t xml:space="preserve">Алланазаров Аслбек </t>
  </si>
  <si>
    <t xml:space="preserve"> Абдуллаев Оллашукур </t>
  </si>
  <si>
    <t xml:space="preserve">Одамбоев Аброр </t>
  </si>
  <si>
    <t xml:space="preserve">Мусаев Саидакбар </t>
  </si>
  <si>
    <t>Отажонова Рухсора</t>
  </si>
  <si>
    <t>Хунарманд таъмир тиклаш</t>
  </si>
  <si>
    <t xml:space="preserve">Хасанов Санат </t>
  </si>
  <si>
    <t xml:space="preserve">Култимуротов Шахзодбек </t>
  </si>
  <si>
    <t>Дилмурод ога Агробанк</t>
  </si>
  <si>
    <t>Жамшид ога ахрам</t>
  </si>
  <si>
    <t xml:space="preserve">Хаитбоева Комила </t>
  </si>
  <si>
    <t>7,5</t>
  </si>
  <si>
    <t>Отажонов Амирхон</t>
  </si>
  <si>
    <t xml:space="preserve">Исмоилва Марифат </t>
  </si>
  <si>
    <t xml:space="preserve">Сапабоева Марифат </t>
  </si>
  <si>
    <t xml:space="preserve">Ёлдошев Жасурбек </t>
  </si>
  <si>
    <t xml:space="preserve">Каримова Рўзика </t>
  </si>
  <si>
    <t xml:space="preserve">Хоразм бюк чинори </t>
  </si>
  <si>
    <t xml:space="preserve"> Shokir og`ani qarri do`stlari</t>
  </si>
  <si>
    <t>инн</t>
  </si>
  <si>
    <t>парол</t>
  </si>
  <si>
    <t xml:space="preserve">Рухсора </t>
  </si>
  <si>
    <t xml:space="preserve">Маткаримов Хурсанд </t>
  </si>
  <si>
    <t>Душамова Юлдуз</t>
  </si>
  <si>
    <t>Маткурбонова Шахло</t>
  </si>
  <si>
    <t>Матчанова Зухрахон</t>
  </si>
  <si>
    <t>Жумязов Содик</t>
  </si>
  <si>
    <t>Рузметова Гулзода</t>
  </si>
  <si>
    <t>Бобоназаров Огабой</t>
  </si>
  <si>
    <t>Рузметова Муниса</t>
  </si>
  <si>
    <t>Рузибоев Сирож</t>
  </si>
  <si>
    <t>Султонова Гулрух</t>
  </si>
  <si>
    <t>Азамат юрист</t>
  </si>
  <si>
    <t>Ортикбой МИБ</t>
  </si>
  <si>
    <t xml:space="preserve">Кабулов Қувондиқ </t>
  </si>
  <si>
    <t>08711001001000000    08704001001000000</t>
  </si>
  <si>
    <t xml:space="preserve">Рустам ога Микра </t>
  </si>
  <si>
    <t xml:space="preserve">30 млн матсакил Журабек ога </t>
  </si>
  <si>
    <t xml:space="preserve">Юсупова Шахризода </t>
  </si>
  <si>
    <t xml:space="preserve">Беглимуротова Гулмира </t>
  </si>
  <si>
    <t xml:space="preserve">Рустамов Исмоил </t>
  </si>
  <si>
    <t xml:space="preserve">Тожибоев Хусниддин </t>
  </si>
  <si>
    <t>Курамбоев Шахзод</t>
  </si>
  <si>
    <t xml:space="preserve">Абдуллаева Мафтуна </t>
  </si>
  <si>
    <t xml:space="preserve">Бобониёзов Рузимурот </t>
  </si>
  <si>
    <t xml:space="preserve">Душамбоев Сурат </t>
  </si>
  <si>
    <t>Эгамбердиева Хуршида</t>
  </si>
  <si>
    <t xml:space="preserve">жуманазарова Олтиной </t>
  </si>
  <si>
    <t xml:space="preserve">Назаров Нодир </t>
  </si>
  <si>
    <t xml:space="preserve">Бобожонова Зилола </t>
  </si>
  <si>
    <t xml:space="preserve">Мавлонов Мухаммаджон </t>
  </si>
  <si>
    <t xml:space="preserve">Ойбек ога қўнгиши </t>
  </si>
  <si>
    <t xml:space="preserve">Мирзохид ога Микра </t>
  </si>
  <si>
    <t>Хасанни Жураси Наврщз</t>
  </si>
  <si>
    <t xml:space="preserve">Рузибоева Ширин </t>
  </si>
  <si>
    <t>Азамат</t>
  </si>
  <si>
    <t xml:space="preserve">азамат </t>
  </si>
  <si>
    <t xml:space="preserve">Камилов Асадбек </t>
  </si>
  <si>
    <t xml:space="preserve">Худайберганов Ихтиёр </t>
  </si>
  <si>
    <t xml:space="preserve">Дусчонова Зухра </t>
  </si>
  <si>
    <t xml:space="preserve">Одамов Жавохир </t>
  </si>
  <si>
    <t>Ганиев Жасур</t>
  </si>
  <si>
    <t xml:space="preserve">Ибрагимов Жамшид </t>
  </si>
  <si>
    <t>азамат</t>
  </si>
  <si>
    <t>Укаси келиб олиб кетди  33 989 00 09</t>
  </si>
  <si>
    <t xml:space="preserve">94 205 39 01 Одилбек ога Раёна </t>
  </si>
  <si>
    <t xml:space="preserve">Умид ога </t>
  </si>
  <si>
    <t>BOG'OT MOTO HOUSE 007 MCHJ</t>
  </si>
  <si>
    <t xml:space="preserve">Ёлдошев Пирназар </t>
  </si>
  <si>
    <t xml:space="preserve">Ёлдошева Шахноза  </t>
  </si>
  <si>
    <t xml:space="preserve">Бобожонов Бобожон </t>
  </si>
  <si>
    <t>Хушнудова Гулноза</t>
  </si>
  <si>
    <t xml:space="preserve">Бобожонов Бобуржон </t>
  </si>
  <si>
    <t xml:space="preserve">Шокир ога  Хоким ёрдамчи </t>
  </si>
  <si>
    <t xml:space="preserve">Музаффар Гасн </t>
  </si>
  <si>
    <t xml:space="preserve">Қодирбердиева Фарангиз </t>
  </si>
  <si>
    <t>Рузметов Алижон</t>
  </si>
  <si>
    <t>Давлатов Нурбек</t>
  </si>
  <si>
    <t>Юсубов Юсупбой</t>
  </si>
  <si>
    <t xml:space="preserve">Маматов Шахзод </t>
  </si>
  <si>
    <t xml:space="preserve">Бобур ога Мафтуна Синдошни эри </t>
  </si>
  <si>
    <t xml:space="preserve">ўзи </t>
  </si>
  <si>
    <t xml:space="preserve">Эргашова Мунира </t>
  </si>
  <si>
    <t>Каландаров Бекзод</t>
  </si>
  <si>
    <t xml:space="preserve">Каримбердиева Азиза </t>
  </si>
  <si>
    <t>Бахтиёров Жавохир</t>
  </si>
  <si>
    <t>Кўшаев Дилмурод</t>
  </si>
  <si>
    <t>Ражабов Сапабой</t>
  </si>
  <si>
    <t>Ўзари олиб кетди 99 120 54 50</t>
  </si>
  <si>
    <t xml:space="preserve"> Кахрамон тахси </t>
  </si>
  <si>
    <t xml:space="preserve">Тахси Тозабозор Хамид жураси </t>
  </si>
  <si>
    <t>Хамид ога Бокча  93 467 7001</t>
  </si>
  <si>
    <t>Тахси Миркага таниш 91 775 90 98</t>
  </si>
  <si>
    <t xml:space="preserve">Уринбадалов Абдулазиз </t>
  </si>
  <si>
    <t xml:space="preserve">Куранбоев Илёс </t>
  </si>
  <si>
    <t xml:space="preserve">Матякубова матлуба </t>
  </si>
  <si>
    <t xml:space="preserve">Эгамбердев Иброхим </t>
  </si>
  <si>
    <t xml:space="preserve">Нуруллаев Иброхим </t>
  </si>
  <si>
    <t xml:space="preserve">Камилова Чарос </t>
  </si>
  <si>
    <t xml:space="preserve">Бахтиёрова Рухсора </t>
  </si>
  <si>
    <t xml:space="preserve">Мухаммаджонова Мохинур </t>
  </si>
  <si>
    <t xml:space="preserve">Юсупова Сабохат </t>
  </si>
  <si>
    <t xml:space="preserve">Ёлдошев Темур </t>
  </si>
  <si>
    <t xml:space="preserve">Кодирбердиева Зулайхо </t>
  </si>
  <si>
    <t xml:space="preserve"> 94 650 70 17</t>
  </si>
  <si>
    <t>88 458 12 83</t>
  </si>
  <si>
    <t>Одилбек ога Халқ талими  94 205 39 01</t>
  </si>
  <si>
    <t>XUDAYBERGENOV RAVSHANBEK DAVLATOVICH</t>
  </si>
  <si>
    <t xml:space="preserve">Шокир огани Акасини Жўраси </t>
  </si>
  <si>
    <t>99 734 99 20</t>
  </si>
  <si>
    <t xml:space="preserve">Шоназарпова Дилобар </t>
  </si>
  <si>
    <t xml:space="preserve">Собирова Фотима </t>
  </si>
  <si>
    <t xml:space="preserve"> O`ktam og`a sabezz qaroul</t>
  </si>
  <si>
    <t>BOG'OT TEXNIKA OLAMI 01 MCHJ</t>
  </si>
  <si>
    <t xml:space="preserve">Матякубов Зафар </t>
  </si>
  <si>
    <t xml:space="preserve">Рузматов Жалоладдин </t>
  </si>
  <si>
    <t xml:space="preserve">Искандарова Сохиба </t>
  </si>
  <si>
    <t xml:space="preserve">Муслим Шахзод </t>
  </si>
  <si>
    <t xml:space="preserve">Банисадаги опай </t>
  </si>
  <si>
    <t xml:space="preserve">Бахтиёров Жуманазар </t>
  </si>
  <si>
    <t xml:space="preserve">97 858 7151 Янги ариқ Камандир  </t>
  </si>
  <si>
    <t xml:space="preserve">Бектудиева Гулрух </t>
  </si>
  <si>
    <t xml:space="preserve">Садуллаева Динора </t>
  </si>
  <si>
    <t xml:space="preserve">Алокабанк Кассир </t>
  </si>
  <si>
    <t xml:space="preserve">Реймберганова Муниса </t>
  </si>
  <si>
    <t xml:space="preserve">Атахонова Лола </t>
  </si>
  <si>
    <t xml:space="preserve">Комилова Онахон </t>
  </si>
  <si>
    <t xml:space="preserve">Машарипова Фазилат </t>
  </si>
  <si>
    <t xml:space="preserve">Бахтиёров Жавохир </t>
  </si>
  <si>
    <t xml:space="preserve">Худашукуров Фозил </t>
  </si>
  <si>
    <t>97 603 68 26</t>
  </si>
  <si>
    <t xml:space="preserve">Майсара апка </t>
  </si>
  <si>
    <t xml:space="preserve">Олимбой Жабборов </t>
  </si>
  <si>
    <t xml:space="preserve">Янгиарик Хофиз </t>
  </si>
  <si>
    <t xml:space="preserve">Алимардон Шафёр </t>
  </si>
  <si>
    <t xml:space="preserve">Полвонов Умрбек </t>
  </si>
  <si>
    <t xml:space="preserve">Каландарова Сарвиноз </t>
  </si>
  <si>
    <t xml:space="preserve">Қадамбоев Наврўз </t>
  </si>
  <si>
    <t xml:space="preserve">Матниёзов Мўмин </t>
  </si>
  <si>
    <t xml:space="preserve">Эшниёзова Мунира </t>
  </si>
  <si>
    <t xml:space="preserve">Алимова Мунира </t>
  </si>
  <si>
    <t xml:space="preserve">Ўзи </t>
  </si>
  <si>
    <t xml:space="preserve">Умид ога Микра юрист </t>
  </si>
  <si>
    <t xml:space="preserve">Улуғбек ога уста </t>
  </si>
  <si>
    <t xml:space="preserve">Ўзи  келиб олиб кетди </t>
  </si>
  <si>
    <t>SHEROV SEVINDIK KURBANBAYEVICH</t>
  </si>
  <si>
    <t xml:space="preserve">Sobirov Alibek </t>
  </si>
  <si>
    <t xml:space="preserve">Садиев Диёр </t>
  </si>
  <si>
    <t xml:space="preserve">Садиев Лазиз </t>
  </si>
  <si>
    <t xml:space="preserve">Obod </t>
  </si>
  <si>
    <t xml:space="preserve">Shadlikova Ranoxon </t>
  </si>
  <si>
    <t xml:space="preserve">Sobirova Shodiya </t>
  </si>
  <si>
    <t>SAPAROV XALMURAT GAIPNAZAROVICH</t>
  </si>
  <si>
    <t xml:space="preserve">Yo`ldosheva Nargiza </t>
  </si>
  <si>
    <t xml:space="preserve">Ro`ziyeva Gulzor </t>
  </si>
  <si>
    <t xml:space="preserve">Rustamboeva Ruxsora </t>
  </si>
  <si>
    <t xml:space="preserve">Jonibek oga </t>
  </si>
  <si>
    <t xml:space="preserve">ZARIPOVA DONOXON BEKNAZAR QIZI </t>
  </si>
  <si>
    <t>e</t>
  </si>
  <si>
    <t xml:space="preserve">BABAJANOVA SHAXNAZA BAZARBAYEVNA </t>
  </si>
  <si>
    <t>b</t>
  </si>
  <si>
    <t>SAPARBAYEVA KUNDUZ YERKABAYEVNA</t>
  </si>
  <si>
    <t>YESHIMBETOV AKBAR YULDASHBAYEVICH</t>
  </si>
  <si>
    <t>SAPARBAYEV ALISHER XUDAYBERGENOVICH</t>
  </si>
  <si>
    <t>SABIROVA SANABAR DJUMABAYEVNA</t>
  </si>
  <si>
    <t>MADAMINOVA ALMAGUL XAITBAYEVNA</t>
  </si>
  <si>
    <t>JABBIYEV XAMID ALLAMBERGENOVICH</t>
  </si>
  <si>
    <t>MOLDABAYEV ADIL ABDIMURATOVICH</t>
  </si>
  <si>
    <t>2022 yil</t>
  </si>
  <si>
    <t>BEKIMBETOV SEYTNAZAR FAYZULLAYEVICH</t>
  </si>
  <si>
    <t>MUMINOVA XOSIYAT KURBANBAYEVNA</t>
  </si>
  <si>
    <t>XUDAYBERGENOVA MASTURA URAZBAYEVNA</t>
  </si>
  <si>
    <t>Sadullaev Asadullo</t>
  </si>
  <si>
    <t xml:space="preserve">Munis oga </t>
  </si>
  <si>
    <t>09,02,2022</t>
  </si>
  <si>
    <t>ZARLIKOVA ROZA MURATBAYEVNA</t>
  </si>
  <si>
    <t>KURBANBAYEV BAXRAM BERDIMURATOVICH</t>
  </si>
  <si>
    <t>AKMANOV AZAMAT JUMABAYEVICH</t>
  </si>
  <si>
    <t>DJABBARBERGENOV OYBEK NURKENOVICH</t>
  </si>
  <si>
    <t xml:space="preserve">kredit shartnoma </t>
  </si>
  <si>
    <t xml:space="preserve">ariza berilmagan </t>
  </si>
  <si>
    <t>r</t>
  </si>
  <si>
    <t>MATSAPAYEVA ZULFIYA KAMALADDINOVNA</t>
  </si>
  <si>
    <t xml:space="preserve">Mo`minjon mikra </t>
  </si>
  <si>
    <t xml:space="preserve">Aminboeva Mohinur </t>
  </si>
  <si>
    <t xml:space="preserve">Aminboeva Kumush </t>
  </si>
  <si>
    <t xml:space="preserve">Jumaniyozova Alo </t>
  </si>
  <si>
    <t xml:space="preserve">Xudaynazarova Sadoqat </t>
  </si>
  <si>
    <t xml:space="preserve">Rajabboeva Nigina </t>
  </si>
  <si>
    <t xml:space="preserve">Rajabova Mushtariy </t>
  </si>
  <si>
    <t xml:space="preserve">Bekturdiev Muxammad </t>
  </si>
  <si>
    <t>azamat</t>
  </si>
  <si>
    <t xml:space="preserve">Jo`shqin og`a </t>
  </si>
  <si>
    <t>13,02,2022</t>
  </si>
  <si>
    <t>KADIROVA GULSANAM YEGAMBERGANOVNA</t>
  </si>
  <si>
    <t xml:space="preserve">Xurriyat </t>
  </si>
  <si>
    <t xml:space="preserve">Iskandarov Maqsud </t>
  </si>
  <si>
    <t xml:space="preserve">Jamshid oga </t>
  </si>
  <si>
    <t xml:space="preserve">Rajabov Asad </t>
  </si>
  <si>
    <t xml:space="preserve">Ozodov Bekzod </t>
  </si>
  <si>
    <t xml:space="preserve">Sobirova Shohida </t>
  </si>
  <si>
    <t>BABANIYAZOV ERGASH XUSANOVICH</t>
  </si>
  <si>
    <t>ABDREYMOV MAXAMMETJAN ABDREYMOVICH</t>
  </si>
  <si>
    <t>MATNAZAROV FAXRATDIN ACHILOVICH</t>
  </si>
  <si>
    <t>OSPANOVA BAYAN ROZUMBAYEVNA</t>
  </si>
  <si>
    <t>RAMANBERGENOV ALLAMBERGAN RAVSHANBEK O‘G‘LI</t>
  </si>
  <si>
    <t>Xudayrazarova Dilnura</t>
  </si>
  <si>
    <t xml:space="preserve">Jumanazarov Behzod </t>
  </si>
  <si>
    <t xml:space="preserve">Ozodov Dilshod </t>
  </si>
  <si>
    <t xml:space="preserve">Madraximov Oybek </t>
  </si>
  <si>
    <t xml:space="preserve">O`zi keldi </t>
  </si>
  <si>
    <t xml:space="preserve">Nurullayev Nizom </t>
  </si>
  <si>
    <t xml:space="preserve">Xamid oga </t>
  </si>
  <si>
    <t xml:space="preserve">siroj Xalq banki </t>
  </si>
  <si>
    <t>Yangiqadam</t>
  </si>
  <si>
    <t>RAMETOV ILYAS ANVAROVICH</t>
  </si>
  <si>
    <t xml:space="preserve">Qahramon og`ani bojasi </t>
  </si>
  <si>
    <t xml:space="preserve">Shokir og`ani Bratlari </t>
  </si>
  <si>
    <t xml:space="preserve">Sapayeva Nigina </t>
  </si>
  <si>
    <t xml:space="preserve">Yo`ldoshev Diyor </t>
  </si>
  <si>
    <t xml:space="preserve">Sadullayeva Mavluda </t>
  </si>
  <si>
    <t xml:space="preserve">Jumaniyozova Risolat </t>
  </si>
  <si>
    <t xml:space="preserve">Tajiev Xakimboy </t>
  </si>
  <si>
    <t>Shavkatov Farrux</t>
  </si>
  <si>
    <t xml:space="preserve">Ilyosova Ruxshona </t>
  </si>
  <si>
    <t>88 517 27 57</t>
  </si>
  <si>
    <t xml:space="preserve">Qahramon jo`rasi </t>
  </si>
  <si>
    <t xml:space="preserve">Ukasi 99 500 45 56 </t>
  </si>
  <si>
    <t xml:space="preserve"> 
ISAKOVA ILMIRA RUSTAMOVNA</t>
  </si>
  <si>
    <t>RADJAPBAYEV OTAMURAD YULDASHOVICH</t>
  </si>
  <si>
    <t xml:space="preserve">94 113 47 79 Odamboy </t>
  </si>
  <si>
    <t xml:space="preserve">99 554 64 29 Eri </t>
  </si>
  <si>
    <t xml:space="preserve">qurbonova Go`zal </t>
  </si>
  <si>
    <t xml:space="preserve">Karimberganov Nodirbek </t>
  </si>
  <si>
    <t xml:space="preserve">Asadni jo`rasi </t>
  </si>
  <si>
    <t xml:space="preserve">ZaRLIQOV OBIDJON </t>
  </si>
  <si>
    <t>YESHIMBETOVA OYDIN TURABAYEVNA</t>
  </si>
  <si>
    <t xml:space="preserve">Ro`ziboyeva Munira </t>
  </si>
  <si>
    <t xml:space="preserve">Raximov Ibrohimjon </t>
  </si>
  <si>
    <t xml:space="preserve">Abdullayeva Xovajon </t>
  </si>
  <si>
    <t xml:space="preserve">Abdullayeva Shaxlo </t>
  </si>
  <si>
    <t xml:space="preserve">Madaniyat </t>
  </si>
  <si>
    <t>23,03,2022</t>
  </si>
  <si>
    <t>08421002005000001</t>
  </si>
  <si>
    <t xml:space="preserve">Ro`zmetova Malika </t>
  </si>
  <si>
    <t xml:space="preserve">Matrizayev Matkarim </t>
  </si>
  <si>
    <t xml:space="preserve">Kamandir olib ketdi </t>
  </si>
  <si>
    <t>Maksadni ukasi 97 299 29 77</t>
  </si>
  <si>
    <t xml:space="preserve">Adamboeva Moxinur </t>
  </si>
  <si>
    <t xml:space="preserve">Sadullaeva Tabassum </t>
  </si>
  <si>
    <t xml:space="preserve">Sadullaeva Martaba </t>
  </si>
  <si>
    <t xml:space="preserve">Shakirova Saboxat </t>
  </si>
  <si>
    <t xml:space="preserve">Qadamov Sanjarbek </t>
  </si>
  <si>
    <t xml:space="preserve">Jummi enam </t>
  </si>
  <si>
    <t xml:space="preserve">Kamandir olib ketdi 97 527 44 54 </t>
  </si>
  <si>
    <t>Alisher og`a Tozabozor 97 090 89 77</t>
  </si>
  <si>
    <t xml:space="preserve">Ibrohim og`a agrabank </t>
  </si>
  <si>
    <t xml:space="preserve">Kamandir 885143366 99 330 50 40 </t>
  </si>
  <si>
    <t>YULDASHOV QAMAR SHERIPBAYEVICH</t>
  </si>
  <si>
    <t>BABASHOV UMRBEK BALKIBAYEVICH</t>
  </si>
  <si>
    <t>REYIMOV MATNAZAR TURABAYEVICH</t>
  </si>
  <si>
    <t>24,01,2022</t>
  </si>
  <si>
    <t xml:space="preserve">O`dakov Gulom </t>
  </si>
  <si>
    <t>20 mln berildi Bonus</t>
  </si>
  <si>
    <t xml:space="preserve">Nurafshon </t>
  </si>
  <si>
    <t xml:space="preserve">Masharipova Ro`za </t>
  </si>
  <si>
    <t xml:space="preserve">Ro`zmetova Xosiyat </t>
  </si>
  <si>
    <t xml:space="preserve">Otamurotov Shaxzod </t>
  </si>
  <si>
    <t>99 559 43 40</t>
  </si>
  <si>
    <t>juda sifatli profil maxsulotidan tayyorlangan issiqxonalar 1 sotixdan katta barcha turdagi issiqxonalarni talabga qarab turli xil o`lchamlarda yayyorlab beramiz  4 lik profildan kurilgan juda sifatli profil maxsulotidan tayyorlangan issiqxonalar 1 sotixdan katta barcha turdagi issiqxonalarni talabga qarab turli xil o`lchamlarda yayyorlab beramiz  4 lik profildan kurilgan juda sifatli profil maxsulotidan tayyorlangan issiqxonalar 1 sotixdan katta barcha turdagi issiqxonalarni talabga qarab turli xil o`lchamlarda yayyorlab beramiz  4 lik profildan kurilgan juda sifatli profil maxsulotidan tayyorlangan issiqxonalar 1 sotixdan katta barcha turdagi issiqxonalarni talabga qarab turli xil o`lchamlarda yayyorlab beramiz  4 lik profildan kurilgan </t>
  </si>
  <si>
    <t xml:space="preserve">Issiqxona </t>
  </si>
  <si>
    <t>08438001020000000</t>
  </si>
  <si>
    <t xml:space="preserve">Oq qand </t>
  </si>
  <si>
    <t>03924001010034011</t>
  </si>
  <si>
    <t xml:space="preserve">Oshxona idishlar </t>
  </si>
  <si>
    <t>Qurbondurdiyeva Yulduz</t>
  </si>
  <si>
    <t xml:space="preserve">Raximova Rayxona </t>
  </si>
  <si>
    <t xml:space="preserve">Sadullayeva Xurshida </t>
  </si>
  <si>
    <t>PRIMBETOVA TUXTA URAZBAYEVNA</t>
  </si>
  <si>
    <t>ATADJANOV OBODJON FARXADOVICH</t>
  </si>
  <si>
    <t>KOZIBAYEVA NAVBAXOR SABIROVNA</t>
  </si>
  <si>
    <t>ATAJANOV AXMADJON RUSTAMOVICH</t>
  </si>
  <si>
    <t>ABDULLAYEVA GUZAL ATAXANOVNA</t>
  </si>
  <si>
    <t xml:space="preserve">SABIROVA UMIDA IBADULLAYEVNA </t>
  </si>
  <si>
    <t>SABUROV KUDRAT JIYEMURATOVICH</t>
  </si>
  <si>
    <t>RAXIMBAYEV YO‘LDOSH IBADULLAYEVICH</t>
  </si>
  <si>
    <t>KASIMOVA DILBAR TOXTABAYEVNA</t>
  </si>
  <si>
    <t>JUMASHEV TALGAT ASPANOVICH</t>
  </si>
  <si>
    <t>DAUILBAYEV ABAY KENJEBAYEVICH</t>
  </si>
  <si>
    <t xml:space="preserve">Tozabozor </t>
  </si>
  <si>
    <t>Eri olib ketdi 97 512 57 13</t>
  </si>
  <si>
    <t xml:space="preserve">Mirzoxid og`a </t>
  </si>
  <si>
    <t xml:space="preserve">Qaramon ogamni bojasi </t>
  </si>
  <si>
    <t>og`asi 94 312 10 95</t>
  </si>
  <si>
    <t>SAPARBAYEV ATABEK XUSINOVICH</t>
  </si>
  <si>
    <t xml:space="preserve">
KURBANALIYEVA MARAL</t>
  </si>
  <si>
    <t>Jonibek og` a</t>
  </si>
  <si>
    <t>KUCHKAROV SUHROB YUNUS O‘G‘L</t>
  </si>
  <si>
    <t>DJUMAMURATOVA GULISTAN MAMATALIYEVNA</t>
  </si>
  <si>
    <t xml:space="preserve">Ibadullaeva Dildora </t>
  </si>
  <si>
    <t xml:space="preserve">Shaxzod Baxodir mikra jura 77 039 92 52 </t>
  </si>
  <si>
    <t xml:space="preserve">Aminboyeva Shodiya </t>
  </si>
  <si>
    <t xml:space="preserve">Sadullayeva Moxinur </t>
  </si>
  <si>
    <t xml:space="preserve">Qaxramon ogani qarindoshi </t>
  </si>
  <si>
    <t>FINANS MOTO TRADE MCHJ</t>
  </si>
  <si>
    <t xml:space="preserve">O`zlari kelib olib ketdilar </t>
  </si>
  <si>
    <t>09,03,2022</t>
  </si>
  <si>
    <t xml:space="preserve">Vaiosov Azimboy </t>
  </si>
  <si>
    <t xml:space="preserve">Qabulova Dilnoza </t>
  </si>
  <si>
    <t xml:space="preserve">Rajabov G`ayrat </t>
  </si>
  <si>
    <t xml:space="preserve">Yusupboyeva Xurriyat </t>
  </si>
  <si>
    <t xml:space="preserve">Ataniyozova Sabiya </t>
  </si>
  <si>
    <t xml:space="preserve">Kenjayev Ataxan </t>
  </si>
  <si>
    <t xml:space="preserve">Erkaboeva Mexribon </t>
  </si>
  <si>
    <t>b33</t>
  </si>
  <si>
    <t>XALILAYEVA GULIYOR ERGASH QIZI</t>
  </si>
  <si>
    <t>MATYAKUPOV JAMSHID SAPARBAYEVICH</t>
  </si>
  <si>
    <t>ISMAILOV XOJAMURAT ATAXONOVICH</t>
  </si>
  <si>
    <t>ALLAMOV SHUXRAT ALIMBAYEVICH</t>
  </si>
  <si>
    <t>Sultonov Jaxongir</t>
  </si>
  <si>
    <t>Xo`jamboeva Gulshod</t>
  </si>
  <si>
    <t>ATABAYEV GANJABOY JUMANAZAROVICH</t>
  </si>
  <si>
    <t>32 mln rulli Tozabozor sahrtnomaga qarab turibdi 97 600 14 65</t>
  </si>
  <si>
    <t xml:space="preserve">Vafoev Temur </t>
  </si>
  <si>
    <t xml:space="preserve">O`rinboyeva Iroda </t>
  </si>
  <si>
    <t xml:space="preserve">Quronboyeva Zeboxon </t>
  </si>
  <si>
    <t xml:space="preserve">Rajabova Zulayxo </t>
  </si>
  <si>
    <t xml:space="preserve">O`zi kelib oldi 93 282 59 59 </t>
  </si>
  <si>
    <t>10,03,2022</t>
  </si>
  <si>
    <t xml:space="preserve">20 mln Jo`shqin og`ani o`zi </t>
  </si>
  <si>
    <t xml:space="preserve">O`dakov G`ofur og`a </t>
  </si>
  <si>
    <t xml:space="preserve">eri 99 744 51 51 Ibush jo`rasi </t>
  </si>
  <si>
    <t>Bunyodni jo`ralari</t>
  </si>
  <si>
    <t xml:space="preserve">o`zi keldi 99 951 38 84 </t>
  </si>
  <si>
    <t xml:space="preserve">Qazaqova Umida </t>
  </si>
  <si>
    <t>00199001008000000</t>
  </si>
  <si>
    <t>RUSTAMOV JAXONGIR KAMIL O‘G‘LI</t>
  </si>
  <si>
    <t>ABDURAYIMOVA ROXATOY AZATJANOVNA</t>
  </si>
  <si>
    <t>TAYIROVA MUYASSAR RUZIMBAYEVNA</t>
  </si>
  <si>
    <t>YO‘LDOSHEVA DILORAM</t>
  </si>
  <si>
    <t>MATYAKUBOVA XUMOR</t>
  </si>
  <si>
    <t xml:space="preserve">YUSUPOV ULUG‘BEK </t>
  </si>
  <si>
    <t>BAZARBAYEV SARDOR</t>
  </si>
  <si>
    <t>RADJAPBAYEV UMIRBEK</t>
  </si>
  <si>
    <t>IBRAGIMOV ALIBEK</t>
  </si>
  <si>
    <t>MAMUTOV AMINBAY</t>
  </si>
  <si>
    <t>KOSHANOV KAMALATDIN</t>
  </si>
  <si>
    <t>REYIMBAYEV YUSUPBAY AXMEDOVICH</t>
  </si>
  <si>
    <t>DAVLETOVA ASALXON IKRAM QIZI</t>
  </si>
  <si>
    <t>REYMOV TURSUNBAY</t>
  </si>
  <si>
    <t xml:space="preserve">To`xtaboyev Usmonjon </t>
  </si>
  <si>
    <t xml:space="preserve">Masharipov Elyor </t>
  </si>
  <si>
    <t>KARIMOVA RAXATJAN</t>
  </si>
  <si>
    <t xml:space="preserve">Rustamov Nurbek </t>
  </si>
  <si>
    <t xml:space="preserve">O`zi kelib olib ketdi </t>
  </si>
  <si>
    <t xml:space="preserve">Akrom </t>
  </si>
  <si>
    <t xml:space="preserve">O`zi keldi 88 858 78 76 </t>
  </si>
  <si>
    <t>14,03,2022</t>
  </si>
  <si>
    <t>Yangiariq Xofiz 99 506 76 66</t>
  </si>
  <si>
    <t xml:space="preserve">Botirov Doston </t>
  </si>
  <si>
    <t xml:space="preserve">Aloqa qassir </t>
  </si>
  <si>
    <t xml:space="preserve">G`oyibnazarova Donoxon </t>
  </si>
  <si>
    <t xml:space="preserve">Saparova Dilnoza </t>
  </si>
  <si>
    <t xml:space="preserve">Allaberganov Sardor </t>
  </si>
  <si>
    <t xml:space="preserve">Samandarova Moxigul </t>
  </si>
  <si>
    <t>Tajibayev Erzod</t>
  </si>
  <si>
    <t xml:space="preserve">Xayitboyeva Shaxnoza </t>
  </si>
  <si>
    <t xml:space="preserve">Shonazarov Umrbek </t>
  </si>
  <si>
    <t xml:space="preserve">Axatova Farangiz </t>
  </si>
  <si>
    <t xml:space="preserve">Qobulov Javoxirbek </t>
  </si>
  <si>
    <t xml:space="preserve">Raximova Mo`tabar </t>
  </si>
  <si>
    <t xml:space="preserve">Shavkatova Xusniya </t>
  </si>
  <si>
    <t>Eri kelib olib ketdi 93 827 70 10</t>
  </si>
  <si>
    <t>Ravona Odilbek og`a  94 205 39 01</t>
  </si>
  <si>
    <t xml:space="preserve">Jamshid oga Axran </t>
  </si>
  <si>
    <t xml:space="preserve">Kamilov Mansur </t>
  </si>
  <si>
    <t xml:space="preserve">Jumanazarov Ulug`bek </t>
  </si>
  <si>
    <t xml:space="preserve">Murod og`a zapchast </t>
  </si>
  <si>
    <t>YULDASHEVA UMIDA BISANBOYEVNA</t>
  </si>
  <si>
    <t>MAXSATOV SANJAR</t>
  </si>
  <si>
    <t xml:space="preserve">SAPARBAYEVA ROZA </t>
  </si>
  <si>
    <t xml:space="preserve"> Eri keldi 88 456 78 96 </t>
  </si>
  <si>
    <t xml:space="preserve">O`zi keldi 88 456 78 96 </t>
  </si>
  <si>
    <t xml:space="preserve">O`zi keldi 90 090 22 92 </t>
  </si>
  <si>
    <t xml:space="preserve">Ro`ziboyeva Qunduz </t>
  </si>
  <si>
    <t xml:space="preserve">Qadirova Maftuna </t>
  </si>
  <si>
    <t xml:space="preserve">Salayev Maqsad </t>
  </si>
  <si>
    <t xml:space="preserve">Nurmetov Yusuf </t>
  </si>
  <si>
    <t xml:space="preserve">Allaberganov Sarvar </t>
  </si>
  <si>
    <t>ATAJANOV ASQARJON SABIROVICH</t>
  </si>
  <si>
    <t>Gazblok 90 433 57 47</t>
  </si>
  <si>
    <t>MIRZAYEVA MUXAYYO OTOJONOVNA</t>
  </si>
  <si>
    <t xml:space="preserve">Ilyos ari </t>
  </si>
  <si>
    <t>QAZOQOV QOZOQBOY RAJABBAYEVICH</t>
  </si>
  <si>
    <t xml:space="preserve">O`zbekiston qazoqboy Shuxrat og`a </t>
  </si>
  <si>
    <t>ABDULLAYEVA SHAKARJON ASADULLAYEVNA</t>
  </si>
  <si>
    <t xml:space="preserve">O`zbekiston Shuxrat og` a </t>
  </si>
  <si>
    <t xml:space="preserve">Xamdam og`ani O`zi </t>
  </si>
  <si>
    <t xml:space="preserve">Xajibayev Abdullajon </t>
  </si>
  <si>
    <t>DURDIBAYEV ABDULLA</t>
  </si>
  <si>
    <t>QURYOZOV JALOLIDDIN</t>
  </si>
  <si>
    <t>BABADJANOV ESHCHANBAY</t>
  </si>
  <si>
    <t>MADIRIMOVA GULSHANOY RAJABBOY QIZI</t>
  </si>
  <si>
    <t xml:space="preserve">Quromboy ari 17 mln </t>
  </si>
  <si>
    <t>DUSHAMBOYEVA MADINA AZAMAT QIZI</t>
  </si>
  <si>
    <t xml:space="preserve">Shavkat Toyir advakat 99 582 11 21 </t>
  </si>
  <si>
    <t>17,03,2022</t>
  </si>
  <si>
    <t>Raximov Mo`minjon</t>
  </si>
  <si>
    <t xml:space="preserve">Iskandarova Shoxnoza </t>
  </si>
  <si>
    <t xml:space="preserve">Iskandarova Iroda </t>
  </si>
  <si>
    <t xml:space="preserve">TOYLIYEVA GULALEK </t>
  </si>
  <si>
    <t>YEGAMBERDIYEV MUZAFFAR SAPARBAYEVICH</t>
  </si>
  <si>
    <t>Farruxni odami ellikkala 994592535</t>
  </si>
  <si>
    <t>O`zi keldi 97 791 11 22</t>
  </si>
  <si>
    <t>O`zi kelib olib ketdi 97 451 66 00</t>
  </si>
  <si>
    <t xml:space="preserve">       </t>
  </si>
  <si>
    <t>20lik</t>
  </si>
  <si>
    <t>ESHCHONOVA MAXBUBA MATNAZAR QIZI</t>
  </si>
  <si>
    <t xml:space="preserve">Bog`ibek og`a </t>
  </si>
  <si>
    <t>YARASHOVA XAYRINISO SULTONBOY QIZI</t>
  </si>
  <si>
    <t xml:space="preserve">Shuxrat og`a O`zbekiston </t>
  </si>
  <si>
    <t xml:space="preserve">Nurafshon 77 033 91 01 karuch zavod </t>
  </si>
  <si>
    <t>RAXIMOV TOLIBJON SAPARBOYEVICH</t>
  </si>
  <si>
    <t xml:space="preserve">Sarvar og`a 33 mln matsakil </t>
  </si>
  <si>
    <t xml:space="preserve">Tajiyev Farrux </t>
  </si>
  <si>
    <t xml:space="preserve">Jamol Xalq banki </t>
  </si>
  <si>
    <t>MADAMINOVA SHAROFAT G‘AYIBOVNA</t>
  </si>
  <si>
    <t>Oq tepa kontener 91 421 07 66</t>
  </si>
  <si>
    <t>25,03,2022</t>
  </si>
  <si>
    <t xml:space="preserve">Tozabozor Egamov Baxtiyor </t>
  </si>
  <si>
    <t>EGAMBERDIYEV SARDORBEK AZIMBOY O‘G‘LI</t>
  </si>
  <si>
    <t xml:space="preserve">Quromboy ari </t>
  </si>
  <si>
    <t>MAVLONOV SHAVKAT G‘OYIBOVICH</t>
  </si>
  <si>
    <t xml:space="preserve">O`zgarish motoblok  914266981 88 513 01 06 </t>
  </si>
  <si>
    <t>JUMANIYAZOV MARKS XO‘JANIYOZOVICH</t>
  </si>
  <si>
    <t>MAMIYEVA ALIYAJAN MUMINOVNA</t>
  </si>
  <si>
    <t xml:space="preserve">O`zi keldi 97 452 67 57 </t>
  </si>
  <si>
    <t>x`</t>
  </si>
  <si>
    <t>Zavod</t>
  </si>
  <si>
    <t xml:space="preserve">Seydanova Aziza </t>
  </si>
  <si>
    <t xml:space="preserve">Karimboyev Xamdam </t>
  </si>
  <si>
    <t xml:space="preserve">Ismoilov Umrbek </t>
  </si>
  <si>
    <t>RAJABOVA FAZILAT HAYITBOYEVNA</t>
  </si>
  <si>
    <t xml:space="preserve">Davron og`a Oq Oltin </t>
  </si>
  <si>
    <t>MASHIRIPOVA DILBAR QADIROVNA</t>
  </si>
  <si>
    <t xml:space="preserve">Yosh o`smir 99 745 56 57 </t>
  </si>
  <si>
    <t xml:space="preserve">Xo`sinov Ibrohomjon </t>
  </si>
  <si>
    <t xml:space="preserve">Donyor Xalq Banki </t>
  </si>
  <si>
    <t>ATADJANOV AZAT FARXADOVICH</t>
  </si>
  <si>
    <t xml:space="preserve">  08459001006000000   0841800101300</t>
  </si>
  <si>
    <t>ATAMURATOVA SEVARA BAXTIYAROVNA</t>
  </si>
  <si>
    <t xml:space="preserve">Urganchli apka Freyzer apakart </t>
  </si>
  <si>
    <t xml:space="preserve">Rajabova Barno </t>
  </si>
  <si>
    <t xml:space="preserve">Xasanboyev Kamron </t>
  </si>
  <si>
    <t xml:space="preserve">Axmedov Islom </t>
  </si>
  <si>
    <t>QO‘ZIBAYEVA HAYOTXON SAFARBAYEVNA</t>
  </si>
  <si>
    <t xml:space="preserve"> 88  857 00 29 33 mln matsakil Benzin Dexqonobod MFY </t>
  </si>
  <si>
    <t xml:space="preserve">AT Aloqabank </t>
  </si>
  <si>
    <t>SHARIPOV RUSLAN SULTANBAYEVICH</t>
  </si>
  <si>
    <t xml:space="preserve">31,64 Xaladenik Shokir og`amni ukasi </t>
  </si>
  <si>
    <t>OTAJANOVA SHAXNOZA MAXSUDOVNA</t>
  </si>
  <si>
    <t xml:space="preserve">Sartaroshxona Mebellari Shaxriyor </t>
  </si>
  <si>
    <t>ISKANDAROVA SANOBAR MASHARIPOVNA</t>
  </si>
  <si>
    <t xml:space="preserve">Tozabozor do`ktor 22 mln motoblok </t>
  </si>
  <si>
    <t xml:space="preserve">Ibroximjon Agrobank </t>
  </si>
  <si>
    <t>MASHARIPOV AZAMAT JA’FAROVICH</t>
  </si>
  <si>
    <t xml:space="preserve">Umid og`a Bobojonov </t>
  </si>
  <si>
    <t>GANJAYEV SHOXRUX MAMATOVICH</t>
  </si>
  <si>
    <t xml:space="preserve">22 mln xunarmand </t>
  </si>
  <si>
    <t>29,03,2022</t>
  </si>
  <si>
    <t>MATYAQUBOV QODAMBOY YULDASHOVICH</t>
  </si>
  <si>
    <t xml:space="preserve">Toyir og`a </t>
  </si>
  <si>
    <t>PONOYEVA ZUMROT RUSTOMOVNA</t>
  </si>
  <si>
    <t xml:space="preserve">Nuquljonni bolasi </t>
  </si>
  <si>
    <t>XUDAYBERGANOVA SAYYORA OTAXANOVNA</t>
  </si>
  <si>
    <t xml:space="preserve">21 mln bog`ibek og`a </t>
  </si>
  <si>
    <t>OLLASHOVA DILRABO QURAMBOYEVNA</t>
  </si>
  <si>
    <t>MADAMINOVA GULRUX TO‘LQIN</t>
  </si>
  <si>
    <t>30,03,2022</t>
  </si>
  <si>
    <t xml:space="preserve">Manaviyat 99 752 34 30 </t>
  </si>
  <si>
    <t xml:space="preserve">Yangiariq 97 753 7313  97 601 95  95 </t>
  </si>
  <si>
    <t xml:space="preserve">Akmal og`a Mikra </t>
  </si>
  <si>
    <t>BAKIYEV HAMDAMBEK TOJIBOYEVICH</t>
  </si>
  <si>
    <t>QURBANBAYEV UKTAMBOY RAXIMBOYEVICH</t>
  </si>
  <si>
    <t xml:space="preserve">Tajiboyev Normurod </t>
  </si>
  <si>
    <t xml:space="preserve">Achilova Moxinur </t>
  </si>
  <si>
    <t>XUDAYBERGANOV JO‘RABEK BOBONAZAROVICH</t>
  </si>
  <si>
    <t xml:space="preserve">Nurli hayot 94 860 58 87 </t>
  </si>
  <si>
    <t xml:space="preserve">Azamat </t>
  </si>
  <si>
    <t>MATVAFAYEVA GULBAHOR OTAXONOVNA</t>
  </si>
  <si>
    <t xml:space="preserve">O`zbekiston Shuxrat og`a </t>
  </si>
  <si>
    <t xml:space="preserve">Nurafshon klient 99 122 61 52 </t>
  </si>
  <si>
    <t>31,03,2022</t>
  </si>
  <si>
    <t xml:space="preserve">JUMANAZAROV NIZOMJON OZOD O‘G‘LI </t>
  </si>
  <si>
    <t xml:space="preserve">Qalajiqala 99 175 55 15 </t>
  </si>
  <si>
    <t>KALANDAROV MARDON SHERJON O‘G‘LI</t>
  </si>
  <si>
    <t>Sher Moyka 33 mln 88 858 71 70</t>
  </si>
  <si>
    <t>QURBONBOYEVA RO‘ZAXON AZAMAT QIZI</t>
  </si>
  <si>
    <t>Sher Moyka 30 mln 88 858 71 70</t>
  </si>
  <si>
    <t>ABDULLAYEV DIYORBEK</t>
  </si>
  <si>
    <t xml:space="preserve">Tozabozor 97 091 17 95 </t>
  </si>
  <si>
    <t xml:space="preserve">Yo`ldoshev Sarvar </t>
  </si>
  <si>
    <t>JUMABOYEV HASANBOY QAHRAMON O‘G‘LI</t>
  </si>
  <si>
    <t>01,04,2023</t>
  </si>
  <si>
    <t>Nurafshon 94 312 50 69</t>
  </si>
  <si>
    <t>XO‘JANIYOZOV MARDON BAXTIYOROVICH</t>
  </si>
  <si>
    <t xml:space="preserve">Nurafshon 93 467 15 14 </t>
  </si>
  <si>
    <t>O`zi olib ketdi 97 606 82 22</t>
  </si>
  <si>
    <t>Qalajiqala  94 112 77 66</t>
  </si>
  <si>
    <t xml:space="preserve">5 6 </t>
  </si>
  <si>
    <t xml:space="preserve">Oq tepa </t>
  </si>
  <si>
    <t xml:space="preserve">navbatda </t>
  </si>
  <si>
    <t>OTAJONOVA GULYOR HAYITBOY QIZ</t>
  </si>
  <si>
    <t>02,04,2023</t>
  </si>
  <si>
    <t xml:space="preserve">Oq tepa 99 176 86 86 </t>
  </si>
  <si>
    <t>BABAJANOV OG‘ABEK RASHID O‘G‘LI</t>
  </si>
  <si>
    <t xml:space="preserve">Yangiqadam 95 589 24 95 </t>
  </si>
  <si>
    <t>TILLAYEV BOZORBOY RO‘ZIYEVICH</t>
  </si>
  <si>
    <t>RAJABOVA SHAKARJON GANJA QIZI</t>
  </si>
  <si>
    <t xml:space="preserve">Nayman enam 97 606 28 98 </t>
  </si>
  <si>
    <t>MIRZAYEV RAXIMBERDI XUDASHUKUROVICH</t>
  </si>
  <si>
    <t xml:space="preserve">BAZAROVA DERMANGUL SHABERDIYEVNA </t>
  </si>
  <si>
    <t xml:space="preserve">Odilbek og`a ekalogiya 99 501 79 12 </t>
  </si>
  <si>
    <t>BEKMETOV SAPARBOY</t>
  </si>
  <si>
    <t>MATYOQUBOV KOMILJON IBADULLAYEVICH</t>
  </si>
  <si>
    <t>HASANOV G‘ULOMJON ABDIBAXRAMOVICH</t>
  </si>
  <si>
    <t xml:space="preserve">33 mln motoblok </t>
  </si>
  <si>
    <t xml:space="preserve">Axmedov Sodiqjon </t>
  </si>
  <si>
    <t xml:space="preserve">Ro`zmetov Xamid </t>
  </si>
  <si>
    <t xml:space="preserve">Qalajiqala </t>
  </si>
  <si>
    <t xml:space="preserve">Achilova Gulrux </t>
  </si>
  <si>
    <t xml:space="preserve">Tursunboyev Xudoyor </t>
  </si>
  <si>
    <t>03,04,2023</t>
  </si>
  <si>
    <t xml:space="preserve">Ashxobod </t>
  </si>
  <si>
    <t>BEKNAZAROV DAVRANBEK IBRAHIMOVICH</t>
  </si>
  <si>
    <t>MATCHANOV ODILBEK BOBOXONOVICH</t>
  </si>
  <si>
    <t xml:space="preserve">Donyor oga to`pchi </t>
  </si>
  <si>
    <t>RAXIMOVA MARHAMAT NURULLAYEVNA</t>
  </si>
  <si>
    <t xml:space="preserve">Izzatni tanishlari 99 038 66 00 </t>
  </si>
  <si>
    <t>05,04,2023</t>
  </si>
  <si>
    <t xml:space="preserve">Otabekov Abrorbek </t>
  </si>
  <si>
    <t>ISMOILOV MURODJON UMIRBEK O‘G‘LI</t>
  </si>
  <si>
    <t xml:space="preserve">Muxtor og`a Uzumzor </t>
  </si>
  <si>
    <t>QURBONOVA FAROG‘AT TOHIROVNA</t>
  </si>
  <si>
    <t xml:space="preserve"> Tozabozor 97 721 07 86 </t>
  </si>
  <si>
    <t>OLLAMOVA GULBAXOR UMAROVNA</t>
  </si>
  <si>
    <t xml:space="preserve">Oq tepa 93 744 40 90 </t>
  </si>
  <si>
    <t>50 mln 05,04,2023</t>
  </si>
  <si>
    <t>10 mln 27,03,2023</t>
  </si>
  <si>
    <t>10 mln 16,03,2023</t>
  </si>
  <si>
    <t>27,,02,2023</t>
  </si>
  <si>
    <t xml:space="preserve">Xasanboyev Ruslanbek </t>
  </si>
  <si>
    <t xml:space="preserve">To`rayev Quvondiq </t>
  </si>
  <si>
    <t xml:space="preserve">Jamshid og`a Mashin zavod </t>
  </si>
  <si>
    <t>RO‘ZIBOYEVA QUNDUZXON RUSTAM QIZI</t>
  </si>
  <si>
    <t xml:space="preserve">28 ming soliq qarzi </t>
  </si>
  <si>
    <t>SAIDOVA GULNOZA SHONAZAROVNA</t>
  </si>
  <si>
    <t>06,04,2023</t>
  </si>
  <si>
    <t xml:space="preserve">Yangiqadam </t>
  </si>
  <si>
    <t>JUMANIYOZOVA CHAMANGUL YULDASHEVNA</t>
  </si>
  <si>
    <t xml:space="preserve">Galaba 99 417 53 98 </t>
  </si>
  <si>
    <t>Uzumzor 99 079 98 50</t>
  </si>
  <si>
    <t>99 744 515 1</t>
  </si>
  <si>
    <t>JUMANAZAROV SAPARBOY MATCHONOVICH</t>
  </si>
  <si>
    <t>JABBAROV ISLOMBEK ABDULLAYEVICH</t>
  </si>
  <si>
    <t>AMINOV IXTIYOR</t>
  </si>
  <si>
    <t>Tozabozor Qosim og`a 97 456 9002</t>
  </si>
  <si>
    <t xml:space="preserve">Raximova Shohsanam </t>
  </si>
  <si>
    <t>AMIROV NIZAMATDIN</t>
  </si>
  <si>
    <t xml:space="preserve">Qaraqalpoq </t>
  </si>
  <si>
    <t>ABDULLAYEV ELDORBEK ISMOIL O‘G‘LI</t>
  </si>
  <si>
    <t>07,04,2023</t>
  </si>
  <si>
    <t>BOBOJONOV KAMOL</t>
  </si>
  <si>
    <t xml:space="preserve">Xurriyat  31 53 236  93 287 84 36 </t>
  </si>
  <si>
    <t>97 791 83 88</t>
  </si>
  <si>
    <t xml:space="preserve">Jumaniyozova Manzura </t>
  </si>
  <si>
    <t>YUSUPOVA GULNORA AXMEDOVNA</t>
  </si>
  <si>
    <t xml:space="preserve">97 452 73 84 Ustalar Sarvar og`a  </t>
  </si>
  <si>
    <t xml:space="preserve">Nurmetov Rustam </t>
  </si>
  <si>
    <t xml:space="preserve">93 063 25 77 </t>
  </si>
  <si>
    <t>ALLABERGANOVA GAVHAR KARIMBOYEVNA</t>
  </si>
  <si>
    <t>SADULLAYEVA ODINA QO‘ZIBAYEVNA</t>
  </si>
  <si>
    <t>Soxibkor 99 333 74 13</t>
  </si>
  <si>
    <t xml:space="preserve">1 shapka </t>
  </si>
  <si>
    <t xml:space="preserve">benzin </t>
  </si>
  <si>
    <t xml:space="preserve">1,5 tonna </t>
  </si>
  <si>
    <t>0,6 liq</t>
  </si>
  <si>
    <t xml:space="preserve">rulli </t>
  </si>
  <si>
    <t xml:space="preserve">ATAJONOVA MUHABBAT O‘KTAMBOYEVNA </t>
  </si>
  <si>
    <t xml:space="preserve">Erzod og`a 91 434 51 89 </t>
  </si>
  <si>
    <t>MAVLONOV JABBORBERDI YULDOSHOVICH</t>
  </si>
  <si>
    <t>108 soliq qarz</t>
  </si>
  <si>
    <t>Mol mulki</t>
  </si>
  <si>
    <t>b30</t>
  </si>
  <si>
    <t>SUPER MOTO 100</t>
  </si>
  <si>
    <t>RO‘ZMETOVA UMIDA IBODULLAYEVNA</t>
  </si>
  <si>
    <t xml:space="preserve">Murod og`a qo`ngishi </t>
  </si>
  <si>
    <t>09,04,2023</t>
  </si>
  <si>
    <t>MATNIYOZOV UTKIR KOMILOVICH</t>
  </si>
  <si>
    <t>Yangiqadam 991516211</t>
  </si>
  <si>
    <t>MAVLANOVA YULDUZ EGAMBERDIYEVNA</t>
  </si>
  <si>
    <t>Kulonqorabog` 941184628</t>
  </si>
  <si>
    <t>QLICHEV RASHIDBEK SADULLAYEVICH</t>
  </si>
  <si>
    <t>TO‘RAYEV OMONBOY HAJIBAYEVICH</t>
  </si>
  <si>
    <t>Qulonqorabog` 946875659</t>
  </si>
  <si>
    <t>RAZZOQBERGANOVA SOJIDA MADIYOR QIZI</t>
  </si>
  <si>
    <t xml:space="preserve">Nurbek og`a tikish mashin 10 mln </t>
  </si>
  <si>
    <t>10,04,2023</t>
  </si>
  <si>
    <t>SADULLAYEVA SAPARGUL DURDIYEVNA</t>
  </si>
  <si>
    <t xml:space="preserve">Bogzor tikish mashin </t>
  </si>
  <si>
    <t>JUMANIYAZOVA MANZURA KOMILJONOVNA</t>
  </si>
  <si>
    <t>BOBOJONOVA NARGIZA BOLTABOYEVNA</t>
  </si>
  <si>
    <t xml:space="preserve">Nargiza apka salon mebel 33 mln </t>
  </si>
  <si>
    <t>11,04,2023</t>
  </si>
  <si>
    <t>ASKAROV KOMILJON ATAJANOVICH</t>
  </si>
  <si>
    <t xml:space="preserve">Rasulbek og`a Qipchoq </t>
  </si>
  <si>
    <t>SADULLAYEV XAMDAMBEK MAQSUD O‘G‘LI</t>
  </si>
  <si>
    <t>Bog`iston 94 151 3112   94 113 80 55</t>
  </si>
  <si>
    <t>ATABAYEVA FARIDA SULTANBAYEVNA</t>
  </si>
  <si>
    <t xml:space="preserve">Jo`rabek og`a </t>
  </si>
  <si>
    <t>XOJAMURATOVA NIGARA EGAMBERGENOVNA</t>
  </si>
  <si>
    <t>Jo`rabek og`a issiqxona</t>
  </si>
  <si>
    <t>QURAMBOYEV SHIXNAZAR</t>
  </si>
  <si>
    <t>Navruz Rulli tel 932810484</t>
  </si>
  <si>
    <t xml:space="preserve">SAPARBOYEV SIROJBEK MUHAMMAD O‘G‘LI </t>
  </si>
  <si>
    <t>Xurriyat 99 598 85 69</t>
  </si>
  <si>
    <t>OZODOV IXTIYOR SHODIYOR O‘G‘LI</t>
  </si>
  <si>
    <t xml:space="preserve">30 mln non  pechka  91 571 71 03 </t>
  </si>
  <si>
    <t>Ismoilova Dilafruz</t>
  </si>
  <si>
    <t xml:space="preserve">Shonazarov Muxammadjon </t>
  </si>
  <si>
    <t xml:space="preserve">Muxtor yurist </t>
  </si>
  <si>
    <t>MATYAQUBOVA FAZILAT IBRAGIMOVNA</t>
  </si>
  <si>
    <t xml:space="preserve">33 mln matsakil obod og`a </t>
  </si>
  <si>
    <t>DAVLATYAROVA IKLIMA ZARIPBAYEVNA</t>
  </si>
  <si>
    <t xml:space="preserve">33 mln tikish mashin 97 441 17 41  Xazarasp sher </t>
  </si>
  <si>
    <t>SOBIROV BEHZOD G‘ULOMOVICH</t>
  </si>
  <si>
    <t xml:space="preserve">33 mln matsakil 99 377 55 99 </t>
  </si>
  <si>
    <t xml:space="preserve">33 mln matsakil Gazablok 90 433 57 47 </t>
  </si>
  <si>
    <t>JUMABOYEV SAN’ATBEK KUROMBOYEVICH</t>
  </si>
  <si>
    <t>Oq Oltin 94 114 76 83  99 163 79 76 94 310 79 76</t>
  </si>
  <si>
    <t>12,04,2023</t>
  </si>
  <si>
    <t>HAYITBOYEVA HAVOJON RUSTAMOVNA</t>
  </si>
  <si>
    <t xml:space="preserve">Oq Oltin 94 234 10 91 </t>
  </si>
  <si>
    <t>YUSUPOVA MOHICHEHRA DAVRON QIZI</t>
  </si>
  <si>
    <t xml:space="preserve">Dilshod kompyuter 6 mln </t>
  </si>
  <si>
    <t>MATNIYOZOVA MUNIRAXON RUSTAMOVNA</t>
  </si>
  <si>
    <t>Farxod sho`ra 99 688 50 00</t>
  </si>
  <si>
    <t>BOBOJONOVA KAROMAT BAXTIYEROVNA</t>
  </si>
  <si>
    <t>RO‘ZMETOVA KUMUSH MADAMINOVNA</t>
  </si>
  <si>
    <t xml:space="preserve">Tikish mashin Bog`zor qudrat og`a </t>
  </si>
  <si>
    <t xml:space="preserve">  Madaniyat 97 528 21 71 </t>
  </si>
  <si>
    <t xml:space="preserve"> Madaniyat 97 528 21 71 </t>
  </si>
  <si>
    <t>MASHARIPOVA RO‘ZAJON QODIRBERDI</t>
  </si>
  <si>
    <t>Javlon og`a agrobank 990596272</t>
  </si>
  <si>
    <t>XO‘JANIYOZOVA MUBORAK SHOMURATOVNA</t>
  </si>
  <si>
    <t>Bekzod jaqir 99 416 1028</t>
  </si>
  <si>
    <t>login</t>
  </si>
  <si>
    <t xml:space="preserve">parol </t>
  </si>
  <si>
    <t xml:space="preserve"> pulniki </t>
  </si>
  <si>
    <t xml:space="preserve">firma nomi </t>
  </si>
  <si>
    <t xml:space="preserve">Oq oltin moto </t>
  </si>
  <si>
    <t>Oqoltinmoto</t>
  </si>
  <si>
    <t xml:space="preserve">Kelajak </t>
  </si>
  <si>
    <t>Future Moto line</t>
  </si>
  <si>
    <t xml:space="preserve">Oq oltin moto trade </t>
  </si>
  <si>
    <t>Shexmurod 1509</t>
  </si>
  <si>
    <t>Shexmurod 0112</t>
  </si>
  <si>
    <t xml:space="preserve">Chichila </t>
  </si>
  <si>
    <t xml:space="preserve">Super moto </t>
  </si>
  <si>
    <t>YUSUPOV DAVRONBEK SHUXRATOVICH</t>
  </si>
  <si>
    <t xml:space="preserve">29 moyka </t>
  </si>
  <si>
    <t>MAXMUDOV ZAFAR KOMILOVICH</t>
  </si>
  <si>
    <t>13,04,2023</t>
  </si>
  <si>
    <t>Dexqonobod 22,5</t>
  </si>
  <si>
    <t>MASHARIPOV NE’MAT YO‘LDOSHEVICH</t>
  </si>
  <si>
    <t xml:space="preserve">Ashxobod  99 969 07 66 </t>
  </si>
  <si>
    <t>MATCHANOVA ROXAT AZADOVNA</t>
  </si>
  <si>
    <t xml:space="preserve">Saxovat97 704 96 92  </t>
  </si>
  <si>
    <t>JUMANIYAZOV ATABEK JUMANAZAROVICH</t>
  </si>
  <si>
    <t>Otbek oqtepa 99120 72 79</t>
  </si>
  <si>
    <t>RAXIMBAYEVA XIKOYAT KARIMBAYEVNA</t>
  </si>
  <si>
    <t xml:space="preserve">33 chavaq qipchoq </t>
  </si>
  <si>
    <t>ATAJANOV FARRUX AZAMAT O‘G‘LI</t>
  </si>
  <si>
    <t>ATOMUROTOVA NURJON JUMABAYEVNA</t>
  </si>
  <si>
    <t>SAMANDAROV BUNYOD SHIXNAZAROVICH</t>
  </si>
  <si>
    <t xml:space="preserve">10 mln motoblok Shuxrat og`a </t>
  </si>
  <si>
    <t>SAPAYEV RAHIMBERDI KAMILOVICH</t>
  </si>
  <si>
    <t xml:space="preserve">33 mln qozon 97 790 91 31 </t>
  </si>
  <si>
    <t>ALLAKULIYEV XAKIMBAY DAVLETOVICH</t>
  </si>
  <si>
    <t>ISKANDAROV AZAMAT BATIROVICH</t>
  </si>
  <si>
    <t xml:space="preserve">33 mln savun 91 858 28 80 </t>
  </si>
  <si>
    <t>RAJABOV QUVONCHBEK XAITBOY O‘G‘LI</t>
  </si>
  <si>
    <t>14,04,2023</t>
  </si>
  <si>
    <t xml:space="preserve">Ashxobod  97 511 59 60 </t>
  </si>
  <si>
    <t>QURBANOV DONIYOR QOBULBOYEVICH</t>
  </si>
  <si>
    <t>MATYAQUBOVA SHOSANAM KAMOLOVNA</t>
  </si>
  <si>
    <t xml:space="preserve">33 mln matsakil shuxrat og`a </t>
  </si>
  <si>
    <t>ASHIROVA MUYASSAR ABDURAXMANOVNA</t>
  </si>
  <si>
    <t>33 mln G`isht zavod Jurabek oga</t>
  </si>
  <si>
    <t>QO‘SHAQOV ABROR RO‘ZMATOVICH</t>
  </si>
  <si>
    <t xml:space="preserve">Nurafshon 94 117 20 21 </t>
  </si>
  <si>
    <t xml:space="preserve">Nurafshon 99 829 15 58 </t>
  </si>
  <si>
    <t>IBODULLAYEVA GULBAHOR YUSUFOVNA</t>
  </si>
  <si>
    <t>Mirzohid</t>
  </si>
  <si>
    <t>OLLANAZAROVA ZUBAYDA JUMABOYEVNA</t>
  </si>
  <si>
    <t>15,04,2023</t>
  </si>
  <si>
    <t xml:space="preserve">Oq Oltin 99 174 82 79 </t>
  </si>
  <si>
    <t xml:space="preserve"> Yosh o`smir 88 859 88 33 93 063 25 77</t>
  </si>
  <si>
    <t>MATCHONOV OTAXON OLLANAZAROVICH</t>
  </si>
  <si>
    <t xml:space="preserve">Nurafshon 99 192 41 47 </t>
  </si>
  <si>
    <t>ISMOILOV INOMJON SAMANDAROVICH</t>
  </si>
  <si>
    <t xml:space="preserve">19,5 Sartaroshxona Inomjon 93 619 91 69 </t>
  </si>
  <si>
    <t>ATAJONOVA MAMAGUL QABULOVNA</t>
  </si>
  <si>
    <t xml:space="preserve">Xurriyat 99 552 44 69 </t>
  </si>
  <si>
    <t>ACHILDIYEV ISROILJON MATKARIMOVICH</t>
  </si>
  <si>
    <t xml:space="preserve">Nurafshon 99 504 63 89 </t>
  </si>
  <si>
    <t>17,04,2023</t>
  </si>
  <si>
    <t>JUMOBOYEV JASURBEK NAZARBOYEVICH</t>
  </si>
  <si>
    <t xml:space="preserve">Gukshan 99 282 52 10 </t>
  </si>
  <si>
    <t>SAPARBAYEVA INTIZOR RUSTAMOVNA</t>
  </si>
  <si>
    <t xml:space="preserve">24 mln moto 91 997 58 56 </t>
  </si>
  <si>
    <t>XAKIMOV XAYRULLA RUSTAMBAYEVICH</t>
  </si>
  <si>
    <t xml:space="preserve">Manviyat 99 716 07 51 </t>
  </si>
  <si>
    <t>Omonova Munisa Murodbek qiz</t>
  </si>
  <si>
    <t>FARHODOV RAHMATJON GANIJON OGL</t>
  </si>
  <si>
    <t>RUSTAMOVA DILAFERUZ VAXOBJON QIZI</t>
  </si>
  <si>
    <t xml:space="preserve">95 770 55 84  Akasi </t>
  </si>
  <si>
    <t xml:space="preserve">Norvoy og`a </t>
  </si>
  <si>
    <t>Rasulbek xalq banki 11 66</t>
  </si>
  <si>
    <t>NURMATOV GANJA YUSUPOVICH</t>
  </si>
  <si>
    <t xml:space="preserve">Ibush agrobank </t>
  </si>
  <si>
    <t>OTOMUROTOV YASHNARBEK TAVAKKALOVICH</t>
  </si>
  <si>
    <t xml:space="preserve">Nurli maskan </t>
  </si>
  <si>
    <t xml:space="preserve"> Xonqa 93 854 64 27  99 184 08 39 </t>
  </si>
  <si>
    <t>OLLAQULOVA LAYLO SHOKIRBAYEVNA</t>
  </si>
  <si>
    <t>220220dX</t>
  </si>
  <si>
    <t xml:space="preserve"> 33 mln matsakil O`zbekiston Shuxrat og`a 99 557 24 80</t>
  </si>
  <si>
    <t>15 mln</t>
  </si>
  <si>
    <t xml:space="preserve">Bog`ot lochin Armada moto MCHJ </t>
  </si>
  <si>
    <t>OTAMUROTOVA SHAXLO SHAVKATOVNA</t>
  </si>
  <si>
    <t xml:space="preserve">Oqtepa 6 mln </t>
  </si>
  <si>
    <t>MASHARIPOV RASULJAN SABIROVICH</t>
  </si>
  <si>
    <t>Xiva 88 201 07 69  919975633</t>
  </si>
  <si>
    <t>18,04,2023</t>
  </si>
  <si>
    <t>Djumaniyazova Shodiya Zoxidjon Qizi</t>
  </si>
  <si>
    <t>AZADOVA MOHICHEHRA ZAFARBEK QIZI</t>
  </si>
  <si>
    <t>ABDULNIYAZOVA DILNAVOZ QADAMBOY QIZI</t>
  </si>
  <si>
    <t>ABDULNIYOZOV HAMDAM QADAMBOY O`G`L</t>
  </si>
  <si>
    <t xml:space="preserve">Gai 91 993 04 04 </t>
  </si>
  <si>
    <t xml:space="preserve">Shokir og`ani Jurasi </t>
  </si>
  <si>
    <t>19,04,2023</t>
  </si>
  <si>
    <t>XO‘JAQOV ZIYODJON YULDASHOVICH</t>
  </si>
  <si>
    <t xml:space="preserve">Bog`zor  94 658 28 91 </t>
  </si>
  <si>
    <t>MATCHANOV SHERZOD QUVONDIQOVICH</t>
  </si>
  <si>
    <t>JALOLOV SHUHRAT SHARIPBAYEVICH</t>
  </si>
  <si>
    <t xml:space="preserve">Ashxobod 99 312 29 80 </t>
  </si>
  <si>
    <t xml:space="preserve">Atajonov Zarbad </t>
  </si>
  <si>
    <t xml:space="preserve">Odamboy mikra </t>
  </si>
  <si>
    <t>AHMEDOV AHMADJON G`OFUR O`G`LI</t>
  </si>
  <si>
    <t xml:space="preserve">Muslimbek </t>
  </si>
  <si>
    <t>O‘RINOVA ANAJON QILICHOVNA</t>
  </si>
  <si>
    <t xml:space="preserve">Tikish mashin 91 914 45 66 </t>
  </si>
  <si>
    <t>MAMETOV SAPARBOY YAXSHIMURATOVICH</t>
  </si>
  <si>
    <t>Mametov Saparboy  32 mln moto 97 515 71 28</t>
  </si>
  <si>
    <t xml:space="preserve">Sobirova Shoxida </t>
  </si>
  <si>
    <t xml:space="preserve">Fayzullayev alijon </t>
  </si>
  <si>
    <t xml:space="preserve">Qurbondurdiyev Sardor </t>
  </si>
  <si>
    <t>MATNAZAROV ZAKIRJON SAIDNAZAROVICH</t>
  </si>
  <si>
    <t xml:space="preserve">Oqtepa 99 208 09 87 </t>
  </si>
  <si>
    <t>RAXIMOVA NOZIMA ERKIN QIZI</t>
  </si>
  <si>
    <t xml:space="preserve">Jonibek og`a Xalq banki 32 matsakil </t>
  </si>
  <si>
    <t>ALLASHEV FAXRIDDIN OZODOVICH</t>
  </si>
  <si>
    <t>20,04,2023</t>
  </si>
  <si>
    <t xml:space="preserve">Madaniyat 97 362 89 93 </t>
  </si>
  <si>
    <t xml:space="preserve">ko`k </t>
  </si>
  <si>
    <t xml:space="preserve">oq </t>
  </si>
  <si>
    <t>ALLAZAROV JAVLONBEK BAXTIYOROVICH</t>
  </si>
  <si>
    <t xml:space="preserve">Shuxrat og`a 94 114 12 59 </t>
  </si>
  <si>
    <t>RAXMONOV RUSLAN EGAMBERDIYEVICH</t>
  </si>
  <si>
    <t>Ashxobod 99 702 67 26</t>
  </si>
  <si>
    <t>JUMABAYEVA GULZIRA ARTIKOVNA</t>
  </si>
  <si>
    <t xml:space="preserve">Bog`iston 94 514 09 78 </t>
  </si>
  <si>
    <t>ALLABERGANOV MAKSAD MAKSUDOVICH</t>
  </si>
  <si>
    <t xml:space="preserve">Maqsad boja 32 mln </t>
  </si>
  <si>
    <t>ABDULLAYEVA NASIBA ODAMBAYEVNA</t>
  </si>
  <si>
    <t xml:space="preserve">Dexqonobod MFY matsakil </t>
  </si>
  <si>
    <t>XUDAYBERGANOVA GULORA BAXTIYAR QIZI</t>
  </si>
  <si>
    <t>Urganch akpa frezer aparat 32,6</t>
  </si>
  <si>
    <t xml:space="preserve">Tajibayeva Ruxsora </t>
  </si>
  <si>
    <t xml:space="preserve">To`rayev Feruz </t>
  </si>
  <si>
    <t xml:space="preserve">Raximova Ruxsora </t>
  </si>
  <si>
    <t>Madaminov Mamurjon</t>
  </si>
  <si>
    <t>O`zbekiston 942381570</t>
  </si>
  <si>
    <t>BOLTAYEV MARDONBEK RAZZAK O‘G‘LI</t>
  </si>
  <si>
    <t xml:space="preserve">Farrux 24 mln matsakil </t>
  </si>
  <si>
    <t xml:space="preserve">jamolbek </t>
  </si>
  <si>
    <t xml:space="preserve">Gulmira xalq banki </t>
  </si>
  <si>
    <t>ISMOILOV DAVLATBOY QADAM O‘G‘LI</t>
  </si>
  <si>
    <t xml:space="preserve">Nayman  97 360 77 43 </t>
  </si>
  <si>
    <t xml:space="preserve">99 578 60 68 </t>
  </si>
  <si>
    <t>JURAYEVA MAZGUL URALOVNA</t>
  </si>
  <si>
    <t xml:space="preserve">O`zbekiston 94 116 26 94 </t>
  </si>
  <si>
    <t xml:space="preserve">Jaxon xalq banki 99 675 93 61 </t>
  </si>
  <si>
    <t xml:space="preserve">91 425 14 94 Eri </t>
  </si>
  <si>
    <t xml:space="preserve">Sabirova Adolat </t>
  </si>
  <si>
    <t xml:space="preserve">Po`latov Xabibullo </t>
  </si>
  <si>
    <t xml:space="preserve">Ibodullayeva Farmon </t>
  </si>
  <si>
    <t>21,04,2023</t>
  </si>
  <si>
    <t xml:space="preserve">Qalajiqala kamandir 97 856 00 70 </t>
  </si>
  <si>
    <t>XUDOYBERGANOV SHUXRAT MADRAXIMOVICH</t>
  </si>
  <si>
    <t>22,04,2023</t>
  </si>
  <si>
    <t>OTOJONOV SA’DULLA MAQSUD O‘G‘LI</t>
  </si>
  <si>
    <t xml:space="preserve">Beruniy 99 944 65 44 </t>
  </si>
  <si>
    <t>23,04,2023</t>
  </si>
  <si>
    <t>24,04,2023</t>
  </si>
  <si>
    <t xml:space="preserve">Soxibkor 33 927 27 81  94 111 23 54 </t>
  </si>
  <si>
    <t xml:space="preserve">kabina </t>
  </si>
  <si>
    <t xml:space="preserve">Manaviyat 33 427 00 81 99 774 54 14 </t>
  </si>
  <si>
    <t xml:space="preserve">otmen </t>
  </si>
  <si>
    <t>OCHILOVA GULSHODA MUXTORBEK QIZI</t>
  </si>
  <si>
    <t>25,04,2023</t>
  </si>
  <si>
    <t xml:space="preserve">93 745 49 79 Soxibkor </t>
  </si>
  <si>
    <t xml:space="preserve">1500 $ </t>
  </si>
  <si>
    <t>HAYITOVA FIRUZA RAXIMOVNA</t>
  </si>
  <si>
    <t xml:space="preserve">33 mln 77 093 19 81 </t>
  </si>
  <si>
    <t>JUMANIYOZOVA MANZURA RAJABBOYEVNA</t>
  </si>
  <si>
    <t>TANGIRBERGANOV LOCHIN BABAJANOVICH</t>
  </si>
  <si>
    <t>MASHARIPOV SANATBEK ODILBEKOVICH</t>
  </si>
  <si>
    <t xml:space="preserve">Yangiariq 97 608 04 91 </t>
  </si>
  <si>
    <t xml:space="preserve">94 110 78 61 Qipchoq </t>
  </si>
  <si>
    <t>ABDIKARIMOV IBRATJON AZAMATOVICH</t>
  </si>
  <si>
    <t xml:space="preserve">Qipchoq moto 33 benzin </t>
  </si>
  <si>
    <t xml:space="preserve">Bekiyazova Sanobar </t>
  </si>
  <si>
    <t xml:space="preserve">Ko`nabirlashuv 94 026 78 28 </t>
  </si>
  <si>
    <t>QALANDAROV RAJABBOY QAXRAMON</t>
  </si>
  <si>
    <t xml:space="preserve">Nurafshon 99 193 50 30 </t>
  </si>
  <si>
    <t>GAYIBOVA MARYAM MASHARIPOVNA</t>
  </si>
  <si>
    <t>XUDAYBERGANOV MARDONBEK MUXTOR O‘G‘LI</t>
  </si>
  <si>
    <t xml:space="preserve">Nurli maskan 93 006 59 09 K </t>
  </si>
  <si>
    <t>Ashxobod 99 423 71 71  K</t>
  </si>
  <si>
    <t>ABDIRAXMANOVA YULDUZXON BAXTIYOROVNA</t>
  </si>
  <si>
    <t xml:space="preserve">nalogga berildi </t>
  </si>
  <si>
    <t>OTANIYEZOVA DILOROM BAHROMOVNA</t>
  </si>
  <si>
    <t xml:space="preserve">Xurriyat 91 917 84 77 </t>
  </si>
  <si>
    <t>JUMABOYEV MUXAMMADJON SOBIR O`G`L</t>
  </si>
  <si>
    <t xml:space="preserve">Renat og`ani tanishi 99 448 25 58 </t>
  </si>
  <si>
    <t>KURBANBAYEVA DILRABO XALILLAYEVNA</t>
  </si>
  <si>
    <t xml:space="preserve"> 
AYTBAYEV FAZLIDDIN XADJIYEVICH</t>
  </si>
  <si>
    <t>RUZMETOV OYBEK DJUMABAYEVICH</t>
  </si>
  <si>
    <t>ABDURAXMANOV SARVAR ABDULLAYEVICH</t>
  </si>
  <si>
    <t>XODJABAYEVA DILFUZA REYMBAYEVNA</t>
  </si>
  <si>
    <t>SABUROVA NAZAKAT KURBANBAYEVNA</t>
  </si>
  <si>
    <t>YULDASHEV UXTAM KENJABEKOVICH</t>
  </si>
  <si>
    <t xml:space="preserve"> 
TO‘XTABOYEV SIROJ ZAFAR O‘G‘LI</t>
  </si>
  <si>
    <t>YUSUPOV SHAVKAT YULDASHEVICH</t>
  </si>
  <si>
    <t xml:space="preserve"> 
PERDEBAYEVA AYSULUV JAMALADDIN QIZI</t>
  </si>
  <si>
    <t>XUDAYBERGENOVA ZIYADA BALTABAYEVNA</t>
  </si>
  <si>
    <t>XALIMBETOVA AYNUR RADJAPBAYEVNA</t>
  </si>
  <si>
    <t>ALIZAKOVA NISHANGUL KUANOVNA</t>
  </si>
  <si>
    <t>YERJANOVA KAMILA SULAYMANOVNA</t>
  </si>
  <si>
    <t xml:space="preserve">Jonibek oga Qara 33 </t>
  </si>
  <si>
    <t xml:space="preserve">Jo`rabek tarafdan olingan </t>
  </si>
  <si>
    <t xml:space="preserve">Men tarafdan olingan </t>
  </si>
  <si>
    <t>ATAJANOVA SHARAFAT PARXADOVNA</t>
  </si>
  <si>
    <t xml:space="preserve">Davletova Xoljon </t>
  </si>
  <si>
    <t xml:space="preserve">Xo`janiyozov Baxtiyor </t>
  </si>
  <si>
    <t>ROZUMBAYEVA FERUZA AKROM QIZI</t>
  </si>
  <si>
    <t xml:space="preserve">Janibek Kontener 33 mln </t>
  </si>
  <si>
    <t>OTAMURATOVA ZARAFSHON YULDASHOVNA</t>
  </si>
  <si>
    <t xml:space="preserve">dadaxon 33 mln non pechka </t>
  </si>
  <si>
    <t>rasm</t>
  </si>
  <si>
    <t xml:space="preserve">rasm </t>
  </si>
  <si>
    <t>ch</t>
  </si>
  <si>
    <t xml:space="preserve">ch </t>
  </si>
  <si>
    <t>26,04,2023</t>
  </si>
  <si>
    <t xml:space="preserve">Bog`ot kelajak moto </t>
  </si>
  <si>
    <t>YUSUPOVA ZAKIRA RUSTAMOVNA</t>
  </si>
  <si>
    <t>HAYITBOYEVA RO‘ZA OZODOVNA</t>
  </si>
  <si>
    <t>Bog`zor qudrat oga 88 091 17 98</t>
  </si>
  <si>
    <t>BARGANOVA MOHINUR MAXKAMBEK QIZI</t>
  </si>
  <si>
    <t>MADAMINOVA MAQSUDA JUMABOYEVNA</t>
  </si>
  <si>
    <t xml:space="preserve">Shuxrat og`a O`zbekiston Baliq chavaq </t>
  </si>
  <si>
    <t xml:space="preserve">Xurriyat 99 751 04 05 </t>
  </si>
  <si>
    <t xml:space="preserve">Matchanov Xasanboy </t>
  </si>
  <si>
    <t xml:space="preserve">90 725 82 82 </t>
  </si>
  <si>
    <t>BOTIROV DOSTONBEK USMAN O`G`LI</t>
  </si>
  <si>
    <t xml:space="preserve">91 997 00 96  Ag`asi olib ketdi </t>
  </si>
  <si>
    <t>ABDRIMOVA GULXUMOR ISMOILOVNA</t>
  </si>
  <si>
    <t xml:space="preserve">Navro`z 93 269 78 08 </t>
  </si>
  <si>
    <t xml:space="preserve">Ashxobod  97 600 26 57 </t>
  </si>
  <si>
    <t>XUDAYBERGANOV DAVLATBAY TO‘RAYEVICH</t>
  </si>
  <si>
    <t xml:space="preserve">Ari 8,4 mln Furqat og`a </t>
  </si>
  <si>
    <t>YUSUPOVA SHOHIDA OLLASHUKUROVNA</t>
  </si>
  <si>
    <t>SOPABAYEVA GULNOZA SHONAZAR QIZI</t>
  </si>
  <si>
    <t xml:space="preserve">kamandir 94 112 22 66 </t>
  </si>
  <si>
    <t>DURDIYEV UMORBEK JUMABOYEVICH</t>
  </si>
  <si>
    <t xml:space="preserve">Oq Oltin  99 239 55 75 </t>
  </si>
  <si>
    <t>27,04,2023</t>
  </si>
  <si>
    <t>ORTIKOVA SANOBAR OLIMOVNA</t>
  </si>
  <si>
    <t xml:space="preserve">Gulshan sho`ra </t>
  </si>
  <si>
    <t>ABDULLAYEV MANSUR BAXTIYAROVICH</t>
  </si>
  <si>
    <t>JUMANIYOZOVA GULIDA OZOD QIZI</t>
  </si>
  <si>
    <t xml:space="preserve">Olimboyni ukasi </t>
  </si>
  <si>
    <t>JABBORBERGANOV FARRUXBEK RAVSHANBEK O‘G‘LI</t>
  </si>
  <si>
    <t xml:space="preserve">Matsakil  oladi </t>
  </si>
  <si>
    <t>XUDAYNAZAROV IN`OMJON YO`LDOSH O`G`LI</t>
  </si>
  <si>
    <t>SETMATOV ANVAR MIRZAYEVICH</t>
  </si>
  <si>
    <t xml:space="preserve">Obod 31 mln matsakil </t>
  </si>
  <si>
    <t>ASHXABOD MOTOROLLER</t>
  </si>
  <si>
    <t>Raximova Dildora</t>
  </si>
  <si>
    <t xml:space="preserve">shuxrat og`a xoladinnik 30 mln </t>
  </si>
  <si>
    <t>Gulzoda apka  943137785</t>
  </si>
  <si>
    <t xml:space="preserve">SULTANOV MIRZA AZADOVICH </t>
  </si>
  <si>
    <t xml:space="preserve">Bog`iston  99 509 34 73 </t>
  </si>
  <si>
    <t>192 soliq qarz</t>
  </si>
  <si>
    <t>ALLAZAROVA GULANDAN TAJIYEVNA</t>
  </si>
  <si>
    <t xml:space="preserve">25 mln Matsakil shuxrat og`a </t>
  </si>
  <si>
    <t xml:space="preserve">Ergash og`a  32 mln </t>
  </si>
  <si>
    <t>MADRIMOVA QURBONBIKA ABDIRIMOVNA</t>
  </si>
  <si>
    <t xml:space="preserve">33 mln xoladelnik sarvar og`a </t>
  </si>
  <si>
    <t>01,05,2023</t>
  </si>
  <si>
    <t xml:space="preserve">Nurafshon 99 421 84 58 </t>
  </si>
  <si>
    <t>30,04,2023</t>
  </si>
  <si>
    <t xml:space="preserve">Ashxobod Asad og`a 99 509 23 87 </t>
  </si>
  <si>
    <t xml:space="preserve">Ashxobod 99 700 55 76  99 666 76 55 </t>
  </si>
  <si>
    <t>Yangiariq  kredit  97 203 19 74 97 528 81 25</t>
  </si>
  <si>
    <t xml:space="preserve">Qudrat og`a Bog`zor Shaxzod 88 008 22 74 </t>
  </si>
  <si>
    <t>QODIROV BOBURJON KOMIL O‘G‘L</t>
  </si>
  <si>
    <t>ROZZOQOV MATYOQUB OLIMOVICH</t>
  </si>
  <si>
    <t xml:space="preserve"> Yangiqadam 91 371 46 23 moto oljak </t>
  </si>
  <si>
    <t xml:space="preserve">iqush og`a kabinali </t>
  </si>
  <si>
    <t xml:space="preserve">Bog`zor 88 452 06 14  Jo`rabek </t>
  </si>
  <si>
    <t>RAXMETOVA LAYLO OTAXONOVNA</t>
  </si>
  <si>
    <t xml:space="preserve">25 mln matsakil manaviyat 22 mln 91 092 78 80 </t>
  </si>
  <si>
    <t>RO‘ZIBOYEV YUNUS YARASHOVICH</t>
  </si>
  <si>
    <t xml:space="preserve">99 135 55 65 Manaviayt mfy </t>
  </si>
  <si>
    <t>YUSUPOV SHOXZODBEK BAXRAMOVICH</t>
  </si>
  <si>
    <t xml:space="preserve"> XAKIMOV TIMERBULAT GABDULXAYEVICH</t>
  </si>
  <si>
    <t>JUMANAZAROVA SADOQAT ZOKIR QIZI</t>
  </si>
  <si>
    <t>sanat111</t>
  </si>
  <si>
    <t xml:space="preserve">20,7 mln matsakil 94 111 20 08 </t>
  </si>
  <si>
    <t>PRIMBETOVA GULSHAD AKNAZAROVNA</t>
  </si>
  <si>
    <t>QURBANOV ZOKIR ERGASHOVICH</t>
  </si>
  <si>
    <t xml:space="preserve">30 mln ari BoboniyoZov uzumzor </t>
  </si>
  <si>
    <t>02,05,2023</t>
  </si>
  <si>
    <t>USTA ISMOIL BOBO MARKET MCHJ</t>
  </si>
  <si>
    <t xml:space="preserve">navruz maxalal kontener 28 mln 88 526 98 87 </t>
  </si>
  <si>
    <t>AXMETOV XUSAIN ATANAZAROVICH</t>
  </si>
  <si>
    <t>10 mln 01,05,2023</t>
  </si>
  <si>
    <t>JUMANIYOZOVA GO‘ZALXON JUMABOYEVNA</t>
  </si>
  <si>
    <t>YULDASHEVA RA`NO GANJA QIZI</t>
  </si>
  <si>
    <t>YO`LDOSHEV ASADBEK GANJA O`G`LI</t>
  </si>
  <si>
    <t>gulyor apka sabez</t>
  </si>
  <si>
    <t xml:space="preserve">G`ofurova Nargiza </t>
  </si>
  <si>
    <t xml:space="preserve">Mag`rur oga 93 178 13 99 </t>
  </si>
  <si>
    <t>ALLAMOV SANAT RAXMANOVICH</t>
  </si>
  <si>
    <t xml:space="preserve">Nayman 97 211 78 46 </t>
  </si>
  <si>
    <t xml:space="preserve">Navbaxor shapka </t>
  </si>
  <si>
    <t>SULTONOV BABURBEK BAHROMBEK O`G`LI</t>
  </si>
  <si>
    <t xml:space="preserve">SOBIROVA ZARNIGOR MAQSUD QIZI </t>
  </si>
  <si>
    <t xml:space="preserve"> 99 671 36 53 </t>
  </si>
  <si>
    <t xml:space="preserve">Tikish mashin Jaxon </t>
  </si>
  <si>
    <t xml:space="preserve">Abdullayeva Yulduz </t>
  </si>
  <si>
    <t xml:space="preserve">Fayzullayev Bekzod </t>
  </si>
  <si>
    <t xml:space="preserve">O`tkirbek mikra </t>
  </si>
  <si>
    <t>XAMROYEVA NIGORA ZARIPBOYEVNA</t>
  </si>
  <si>
    <t>NUROVA SURAYYO BEGIMOVNA</t>
  </si>
  <si>
    <t xml:space="preserve">Soxibkor MFY 93 758 00 46 </t>
  </si>
  <si>
    <t>QOBULOV MURODJON AZAMAT O‘G‘LI</t>
  </si>
  <si>
    <t>QUCHQAROVA SANOBAR YUSUPBAYEVNA</t>
  </si>
  <si>
    <t xml:space="preserve">Bog`zor 93 138 31 86 </t>
  </si>
  <si>
    <t>AVEZOV G‘AYRAT MARATOVICH</t>
  </si>
  <si>
    <t xml:space="preserve">Dexqonobod masakil oladi 24 mln </t>
  </si>
  <si>
    <t>SAIDOV BAXROM JUMABOYEVICH</t>
  </si>
  <si>
    <t>Nurafshon Xo`janiyozov Daston 99 348 93 13</t>
  </si>
  <si>
    <t>ABDULLAYEVA DILNOZA MARKSOVNA</t>
  </si>
  <si>
    <t xml:space="preserve">Madaniyat 97 527 85 05  Matsakil oljak </t>
  </si>
  <si>
    <t>ONNAYEV RAVSHANBEK YOQUBBOY O‘G‘LI</t>
  </si>
  <si>
    <t xml:space="preserve">Otabek 22 mln motoblok </t>
  </si>
  <si>
    <t xml:space="preserve">Nurafshon 94 118 26 10 </t>
  </si>
  <si>
    <t>03,05,2023</t>
  </si>
  <si>
    <t>OTAJONOV SHERMUROT QADAMOVICH</t>
  </si>
  <si>
    <t xml:space="preserve">Xolmurod og`a 24 mln matsakil </t>
  </si>
  <si>
    <t>JUMANIYOZOVA SABOHAT KAMILJONOVNA</t>
  </si>
  <si>
    <t xml:space="preserve">19 mln matsakil Navbaxor 99 565 74 66 </t>
  </si>
  <si>
    <t>AVAZMETOV HAKIMBOY BEKCHONOVICH</t>
  </si>
  <si>
    <t xml:space="preserve">Nayman 97 510 15 78 97 211 07 06  97 362 91 50 </t>
  </si>
  <si>
    <t>ISMAILOV ALISHER AZAMAT O`G`LI</t>
  </si>
  <si>
    <t>JUMABOYEV AZIZBEK ODILBEK O`G`LI</t>
  </si>
  <si>
    <t>QOBULOVA MARDONAXON AZAMAT QIZI</t>
  </si>
  <si>
    <t>XUDAYBERGANOVA O‘G‘ILJON YUSUPBOYEVNA</t>
  </si>
  <si>
    <t xml:space="preserve">Ma daniyat  97 527 37 25  33 mln </t>
  </si>
  <si>
    <t>RO‘ZIBAYEVA SAYYORA YUSUPOVNA</t>
  </si>
  <si>
    <t xml:space="preserve">Manaviyat matsakil oladi  22 mln  99 571 64 65 </t>
  </si>
  <si>
    <t xml:space="preserve">berildi to`liq ikki marta xam bo`lishi mumkin </t>
  </si>
  <si>
    <t>04,05,2023</t>
  </si>
  <si>
    <t xml:space="preserve">ALLABERGANOVA MAVJUDA MATNAZAROVNA </t>
  </si>
  <si>
    <t xml:space="preserve">Bog`ot Motoroller </t>
  </si>
  <si>
    <t>DAVLETOVA MAXFIRA QUTLIMURATOVNA</t>
  </si>
  <si>
    <t>AVEZOV MARAT YO‘LDOSHEVICH</t>
  </si>
  <si>
    <t xml:space="preserve">Yangiqadam 99 753 05 68 </t>
  </si>
  <si>
    <t>ALLASHKUROV JAHONGIR SHERJON O‘G‘LI</t>
  </si>
  <si>
    <t xml:space="preserve">Nurafshon 99 161 04 03 </t>
  </si>
  <si>
    <t>BAGAT ATTRAKSION BOG'I XK</t>
  </si>
  <si>
    <t xml:space="preserve">240 anvar og`a otraksion 90 557 74 73 </t>
  </si>
  <si>
    <t>OZODOV DIYORBEK TOHIR OGLI</t>
  </si>
  <si>
    <t xml:space="preserve">Ozodov Diyorbek Toyir Xalq banki </t>
  </si>
  <si>
    <t xml:space="preserve">Abdullayeva Fazilat </t>
  </si>
  <si>
    <t xml:space="preserve">Jabborov Yusupboy </t>
  </si>
  <si>
    <t xml:space="preserve">90 090 11 87 Eldor bux jo`rasi </t>
  </si>
  <si>
    <t>05,05,2023</t>
  </si>
  <si>
    <t xml:space="preserve">Mirjalon moto </t>
  </si>
  <si>
    <t>KOLANDAROVA MARYAMJON OLLANAZAROVNA</t>
  </si>
  <si>
    <t xml:space="preserve">Nurafshon 99 104 70 57 </t>
  </si>
  <si>
    <t>RO‘ZMETOV AKMAL ASADULLAYEVICH</t>
  </si>
  <si>
    <t>MATNAZAROV MO‘MINJON YARASHOVICH</t>
  </si>
  <si>
    <t>RUZMETOV RUSTAM BAXADIROVICH</t>
  </si>
  <si>
    <t xml:space="preserve">Qorabog` 79361527 93 284 85 81 </t>
  </si>
  <si>
    <t>ABDULLAYEV NURADDIN REYIMBAYEVICH</t>
  </si>
  <si>
    <t xml:space="preserve">Mikra Muzaffar </t>
  </si>
  <si>
    <t>SAPAYEV SHAVKAT QADAMBOY O‘G‘LI</t>
  </si>
  <si>
    <t xml:space="preserve">Yangiqadam 99 053 11 93 </t>
  </si>
  <si>
    <t xml:space="preserve">Mirzoxis oga </t>
  </si>
  <si>
    <t>ALLASHKUROVA XOSIYAT QALANDAROVNA</t>
  </si>
  <si>
    <t xml:space="preserve">Bog`iston 99 509 34 73 </t>
  </si>
  <si>
    <t>YULDASHOV DONIYOR DILMUROD O‘G‘LI</t>
  </si>
  <si>
    <t>QURYAZOV DIYORBEK MANSUR O‘G‘LI</t>
  </si>
  <si>
    <t xml:space="preserve">Oltinqum 93 498 54 77 </t>
  </si>
  <si>
    <t>ESHCHANOVA SHAHNOZA MATYOQUB QIZI</t>
  </si>
  <si>
    <t>Madaniyat 32 mln matsakil 88 859 40 46</t>
  </si>
  <si>
    <t>HAMROYEV OTABOY XXX</t>
  </si>
  <si>
    <t>OLLANAZAROVA JUMAGUL ABDULLAYEVNA</t>
  </si>
  <si>
    <t xml:space="preserve">Nurafshon 99 509 68 47 </t>
  </si>
  <si>
    <t>XUDAYOROV ZAFARBEK AZADOVICH</t>
  </si>
  <si>
    <t>QURBONBOYEVA DILBAR SABIROVNA</t>
  </si>
  <si>
    <t>MATKARIMOVA MOHIGUL MIRZA QIZI</t>
  </si>
  <si>
    <t xml:space="preserve">Soxibkor Gulzoda apka 94 313 77 85 </t>
  </si>
  <si>
    <t xml:space="preserve">Qudrat og`a </t>
  </si>
  <si>
    <t>05,05,</t>
  </si>
  <si>
    <t xml:space="preserve">Qo`ziboyeva Nozimaxon </t>
  </si>
  <si>
    <t>Allaquliyev Diyorbek</t>
  </si>
  <si>
    <t>06,05,2023</t>
  </si>
  <si>
    <t>XO‘JANIYOZOV QAHRAMON RAJABOVICH</t>
  </si>
  <si>
    <t xml:space="preserve">Nurafshon 99 547 46 45 </t>
  </si>
  <si>
    <t>QURYAZOV SARVARBEK QURAMBAYEVICH</t>
  </si>
  <si>
    <t xml:space="preserve">Oltinqum 99 352 37 91 </t>
  </si>
  <si>
    <t>SADULLAYEVA QURVANGUL ALIMOVNA</t>
  </si>
  <si>
    <t xml:space="preserve">Opami chiqani 99 508 88 62 </t>
  </si>
  <si>
    <t>BOTIROVA HILOLA RAHIMOVNA</t>
  </si>
  <si>
    <t>soxibkor 951886021</t>
  </si>
  <si>
    <t xml:space="preserve"> Jaloliddin telekom 93 740 77 01 </t>
  </si>
  <si>
    <t>AXMEDOVA MOHINUR ALISHER QIZI</t>
  </si>
  <si>
    <t xml:space="preserve">Nurafshon 93 281 50 19 </t>
  </si>
  <si>
    <t>JUMANIYAZOVA SHOHRUZA MAXMUD QIZI</t>
  </si>
  <si>
    <t xml:space="preserve">Nurafshon 95 440 04 92 </t>
  </si>
  <si>
    <t>MATMURATOVA MUNIRA BOTIR QIZI</t>
  </si>
  <si>
    <t xml:space="preserve">Oltinqum 91 428 89 45 </t>
  </si>
  <si>
    <t xml:space="preserve">24 lik 1 q </t>
  </si>
  <si>
    <t>BOBOJONOV HASANBOY SHEXNAZAROVICH</t>
  </si>
  <si>
    <t xml:space="preserve">Ashxobod  99 156 26 25 </t>
  </si>
  <si>
    <t xml:space="preserve"> 97 740 09 52 </t>
  </si>
  <si>
    <t>MAMATOV JABBOR MADIYOROVICH</t>
  </si>
  <si>
    <t xml:space="preserve">Malohat apka Nurafshon </t>
  </si>
  <si>
    <t xml:space="preserve"> Qo`ziyeva Malohat </t>
  </si>
  <si>
    <t>HASANOV MAXSUD ABDULLAYEVICH</t>
  </si>
  <si>
    <t>XO‘JANIYOZOV DASTONBEK BUSTON O‘G‘LI</t>
  </si>
  <si>
    <t>SAPAYEVA SHARIFA RAJABOVNA</t>
  </si>
  <si>
    <t xml:space="preserve">azamat og`a qo`shni 99 128 34 73 </t>
  </si>
  <si>
    <t>ABDIRIMOVA MAFTUNA SAN’AT QIZI</t>
  </si>
  <si>
    <t>G‘AYIBOV MURODJON RO‘ZMATOVICH</t>
  </si>
  <si>
    <t>08,05,2023</t>
  </si>
  <si>
    <t xml:space="preserve">Korabog`  93 575 16 92 </t>
  </si>
  <si>
    <t>QURBONOV TOHIR HAJIYEVICH</t>
  </si>
  <si>
    <t xml:space="preserve">Korabog` 93 740 80 40 </t>
  </si>
  <si>
    <t>MUNUSOV ZAXIRJON MUSAYEVICH</t>
  </si>
  <si>
    <t>Navro`z 99 217 94 06</t>
  </si>
  <si>
    <t xml:space="preserve"> 
SABIROVA GULSHAN MARVANOVNA</t>
  </si>
  <si>
    <t>XO‘SINBOYEVA GULORA TO‘RABOY QIZI</t>
  </si>
  <si>
    <t xml:space="preserve">ari 27 mln </t>
  </si>
  <si>
    <t>EGAMOV FARHOD BAHODIROVICH</t>
  </si>
  <si>
    <t>32 moto O`zgarish 88 451 66 60</t>
  </si>
  <si>
    <t>JUMAGALDIYEV SHAXZOD ALLAYAROVICH</t>
  </si>
  <si>
    <t xml:space="preserve">32 moto O`zgarish 88 512 70 80 </t>
  </si>
  <si>
    <t>ABDURAXMONOVA SAODAT KARIMOVNA</t>
  </si>
  <si>
    <t>Yangiqadam 97 511 27 56</t>
  </si>
  <si>
    <t>QURBONOV TOXIRJON ODILBEK O‘G‘LI</t>
  </si>
  <si>
    <t xml:space="preserve">Manaviyat  93 816 87 57 </t>
  </si>
  <si>
    <t>ozodjon2002</t>
  </si>
  <si>
    <t>JOBBOROV OZODJON AZIZ O‘G‘LI</t>
  </si>
  <si>
    <t xml:space="preserve">Kulonqorabog` 99 501 19 79 </t>
  </si>
  <si>
    <t xml:space="preserve">Yangiariq 97 527 49 46 </t>
  </si>
  <si>
    <t xml:space="preserve">MADAMINOVA MUQADDAS MAMADSIDIKOVNA </t>
  </si>
  <si>
    <t xml:space="preserve">Gulzoda apka toza </t>
  </si>
  <si>
    <t>XASANOV OXUNJON SOPORBAYEVICH</t>
  </si>
  <si>
    <t>Shokir og`amni juralari 99 624 30 15</t>
  </si>
  <si>
    <t>HAYITBOYEV FARHOD OZOD O‘G‘LI</t>
  </si>
  <si>
    <t xml:space="preserve">Tozabozor 97 361 60 93 </t>
  </si>
  <si>
    <t>IBODULLAYEVA DILDORA BAXRAMJONOVNA</t>
  </si>
  <si>
    <t xml:space="preserve">32 mln oqtepa Malo chiqani 91 424 01 86 </t>
  </si>
  <si>
    <t>SADULLAYEV BUNYOD ILYOS O‘G‘LI</t>
  </si>
  <si>
    <t xml:space="preserve">Oqtepa 91 428 06 77 </t>
  </si>
  <si>
    <t>QALANDAROVA MAVLUDA BAXTIYOROVNA</t>
  </si>
  <si>
    <t>30,1 mln o`g`it Madaniyat 97 525 10 64</t>
  </si>
  <si>
    <t xml:space="preserve">ashxobod tikish mashina </t>
  </si>
  <si>
    <t xml:space="preserve">Nurmetov Ixtiyor </t>
  </si>
  <si>
    <t>RAXIMOV ASADBEK QAHRAMON O‘G‘LI</t>
  </si>
  <si>
    <t xml:space="preserve">nayman 97 241 02 20 </t>
  </si>
  <si>
    <t xml:space="preserve">Jamshid axran 97 525 13 01 </t>
  </si>
  <si>
    <t xml:space="preserve">Manaviyat  MFY 99 571 64 65 </t>
  </si>
  <si>
    <t>MATYAQUBOVA LOBAR OTABAYEVNA</t>
  </si>
  <si>
    <t>Yangariq Xokim yordomchi</t>
  </si>
  <si>
    <t>BOBOJONOVA GULNURA FARXODOVNA</t>
  </si>
  <si>
    <t>RAXIMOV TEMUR EGAMBERGANOVICH</t>
  </si>
  <si>
    <t xml:space="preserve">Nayman 97 458 02 83 </t>
  </si>
  <si>
    <t xml:space="preserve"> Jumaniyozova Gulasal ( Yaqubboyev Suxrob )</t>
  </si>
  <si>
    <t>09,05,2023</t>
  </si>
  <si>
    <t>SAPAYEVA MARG‘UBA IBADULLAYEVNA</t>
  </si>
  <si>
    <t>10,05,2023</t>
  </si>
  <si>
    <t xml:space="preserve">Gulshan 90 526 04 60  99 501 19 26 </t>
  </si>
  <si>
    <t>MATYAKUBOV FARXODJON SHUXRATOVICH</t>
  </si>
  <si>
    <t xml:space="preserve">Galaba 33 mln matsakil 99 168 09 99 </t>
  </si>
  <si>
    <t>EGAMBERDIYEV SAN’AT ABDULLAYEVICH</t>
  </si>
  <si>
    <t xml:space="preserve">Oqtepa 10 mln xoladelnik 91 093 13 80 </t>
  </si>
  <si>
    <t>TUXTABAYEV ASHIRBAY XADJIBAYEVICH</t>
  </si>
  <si>
    <t>33 mln Jo`rabek moto</t>
  </si>
  <si>
    <t>IMAMBAYEV AYBOL DALMAXANOVICH</t>
  </si>
  <si>
    <t>ATAJANOVA INOBAT OTAMURATOVNA</t>
  </si>
  <si>
    <t xml:space="preserve">32 mln mardon og`a agra </t>
  </si>
  <si>
    <t>QURYOZOV MARKS</t>
  </si>
  <si>
    <t xml:space="preserve">22 mln motoblok Rim Cho`mmak </t>
  </si>
  <si>
    <t>ASHIROVA GULXAYO AXMEDJANOVNA</t>
  </si>
  <si>
    <t xml:space="preserve">24 mln Jo`rabek moto </t>
  </si>
  <si>
    <t>DAVLETOVA XALJAN ISAKOVNA</t>
  </si>
  <si>
    <t>NURMATOVA LOLA ULUG‘BEKOVNA</t>
  </si>
  <si>
    <t>MATKARIMOVA SUMBUL ERKINBAYEVNA</t>
  </si>
  <si>
    <t xml:space="preserve">Navbaxor  94 316 63 01 </t>
  </si>
  <si>
    <t>NURMETOVA SABOXAT</t>
  </si>
  <si>
    <t>RO‘ZMETOVA MAHBUBA YUSUPOVNA</t>
  </si>
  <si>
    <t>SOBIROV SANJAR HASANOVICH</t>
  </si>
  <si>
    <t xml:space="preserve">Qorabog` 93 043 52 72 </t>
  </si>
  <si>
    <t>XO‘JANIYAZOV XO‘JANIYOZ BEKBAYEVICH</t>
  </si>
  <si>
    <t xml:space="preserve">Navbaxor 88 601 32 36 </t>
  </si>
  <si>
    <t xml:space="preserve">sklad </t>
  </si>
  <si>
    <t>RUZIBAYEVA FARIDA JUMABAYEVNA</t>
  </si>
  <si>
    <t>galaba 99 318 87 07  91 431 8707</t>
  </si>
  <si>
    <t>MADRAXIMOV JASURBEK KARIMBOYEVICH</t>
  </si>
  <si>
    <t xml:space="preserve">Yangiariq 97 859 80 31 </t>
  </si>
  <si>
    <t>DURDIYEV AZIZBEK ERGASHEVICH</t>
  </si>
  <si>
    <t xml:space="preserve">99 262 09 29  OQ oltin </t>
  </si>
  <si>
    <t>KENJOYEVA MA’MURA MORS QIZI</t>
  </si>
  <si>
    <t xml:space="preserve">Manaviyat 99 742 57 51 </t>
  </si>
  <si>
    <t>VAISOVA SHAYDO YANGIBOYEVNA</t>
  </si>
  <si>
    <t xml:space="preserve">Nurafshon xaji momo 99 054 29 40 </t>
  </si>
  <si>
    <t>ISKANDAROV PARVOZ RUSTAMOVICH</t>
  </si>
  <si>
    <t xml:space="preserve">33 real moto </t>
  </si>
  <si>
    <t>SOBIROV IZZAT BOTIROVICH</t>
  </si>
  <si>
    <t>36 real moto</t>
  </si>
  <si>
    <t>RUSTAMOV YARASHBOY ILXOMOVICH</t>
  </si>
  <si>
    <t xml:space="preserve">Maqsad boja </t>
  </si>
  <si>
    <t>QUROMBOYEV AMONBOY QILICHOVICH</t>
  </si>
  <si>
    <t xml:space="preserve">Obod 91 430 51 81 </t>
  </si>
  <si>
    <t>JUMANIYOZOV ALLASHKUR MANGLIYEVICH</t>
  </si>
  <si>
    <t xml:space="preserve">Nurafshon 93 751 52 41 </t>
  </si>
  <si>
    <t>TOJIYEV ULUG‘BEK YO‘LDOSHEVICH</t>
  </si>
  <si>
    <t xml:space="preserve">Nurafshon  99 410 48 43 </t>
  </si>
  <si>
    <t>MADRIMOV SHUXRAT MASHARIBOVICH</t>
  </si>
  <si>
    <t xml:space="preserve">Mirzoxid og`a 97 451 21 82 </t>
  </si>
  <si>
    <t>MINYAILOV BOBOXON TOXIROVICH</t>
  </si>
  <si>
    <t>Qipchoq oybek og`a xalq banki 97 091 80 83</t>
  </si>
  <si>
    <t>QUTLIMUROTOV SHERZOD BAXTIYOR O‘G‘LI</t>
  </si>
  <si>
    <t xml:space="preserve">Sherali mlisa Shokir og`a 94 310 09 90 </t>
  </si>
  <si>
    <t>SADULLAYEV DADAXON OTAXON O‘G‘LI</t>
  </si>
  <si>
    <t xml:space="preserve">asad usta 99 509 23 87 </t>
  </si>
  <si>
    <t>11,05,2023</t>
  </si>
  <si>
    <t>SABIROV OCHILBEK JUMABAYEVICH</t>
  </si>
  <si>
    <t>BABAJANOV INOYAT BOLTABAYEVICH</t>
  </si>
  <si>
    <t xml:space="preserve"> Qorabog ~ 93 281 53 72 </t>
  </si>
  <si>
    <t xml:space="preserve">mag`rur og`a </t>
  </si>
  <si>
    <t>RUZIBAYEV YULDASH XXX</t>
  </si>
  <si>
    <t xml:space="preserve">qalajiqala 88 790 10 57 </t>
  </si>
  <si>
    <t xml:space="preserve">Qajajiqala 97 601 01 63 </t>
  </si>
  <si>
    <t xml:space="preserve">shokir og`ada </t>
  </si>
  <si>
    <t xml:space="preserve"> 99 423 35 10  3 chisla qolganini beradi </t>
  </si>
  <si>
    <t>RAXMETOV G‘ANISHER YUSUPOVICH</t>
  </si>
  <si>
    <t xml:space="preserve">Ashxabod 99 713 22 86 </t>
  </si>
  <si>
    <t xml:space="preserve">Otaxonova Shaxnozabonu </t>
  </si>
  <si>
    <t xml:space="preserve">99 505 30 90 </t>
  </si>
  <si>
    <t>ARTIQOV MAQSUD ALLABERGANOVICH</t>
  </si>
  <si>
    <t>12,05,2023</t>
  </si>
  <si>
    <t xml:space="preserve">Yuksalish 99 025 56 26 benzin </t>
  </si>
  <si>
    <t xml:space="preserve">Yangiqadam 33 577 02 62 </t>
  </si>
  <si>
    <t xml:space="preserve">ATAJANOV QUVONDIQ ALLABERGANOVICH </t>
  </si>
  <si>
    <t xml:space="preserve">Nurafshon 99 756 62 42 </t>
  </si>
  <si>
    <t>TESHABOYEVA YULDUZ BAXROM QIZI</t>
  </si>
  <si>
    <t>RAXIMOVA OYGUL RAXMAN QIZI</t>
  </si>
  <si>
    <t xml:space="preserve"> 
RAJABOVA OZODAXON AZIMBOY QIZI</t>
  </si>
  <si>
    <t xml:space="preserve">Mexnatguli tikish mashin </t>
  </si>
  <si>
    <t>ABDULLAYEV MAXSUD SADULLAYEVICH</t>
  </si>
  <si>
    <t xml:space="preserve">Gulshan 99 156 07 76 </t>
  </si>
  <si>
    <t xml:space="preserve">rasul Xalq banki xabarlashish kerak </t>
  </si>
  <si>
    <t>MUSAYEV USMAN SAPARBOYEVICH</t>
  </si>
  <si>
    <t xml:space="preserve">Nurafshon 93 091 00 90 benzin </t>
  </si>
  <si>
    <t xml:space="preserve">O`zgarish 90 013 02 97  matsakil </t>
  </si>
  <si>
    <t>SULTONOVA SOJIDA SADULLA QIZI</t>
  </si>
  <si>
    <t xml:space="preserve">Tozabozor 88 858 43 53 benzin </t>
  </si>
  <si>
    <t>IBRAGIMOV NURULLA MATYAQUBOVICH</t>
  </si>
  <si>
    <t>Sohibkor 91 421 72 98</t>
  </si>
  <si>
    <t>XASANOVA BARNO YUSUPBOYEVNA</t>
  </si>
  <si>
    <t>NURMATOVA MAFTUNA UMIDBEK QIZI</t>
  </si>
  <si>
    <t xml:space="preserve">Yangiqadam 99 289 75 86 </t>
  </si>
  <si>
    <t>Islom og`a 93 509 03 89</t>
  </si>
  <si>
    <t>битти</t>
  </si>
  <si>
    <t xml:space="preserve">Ismoilova Lobar </t>
  </si>
  <si>
    <t xml:space="preserve">22-24 aniq amas </t>
  </si>
  <si>
    <t>RAJABOV BAHODIR AMINOVICH</t>
  </si>
  <si>
    <t xml:space="preserve">Beruniy 99 071 15 78 </t>
  </si>
  <si>
    <t>13,05,2023</t>
  </si>
  <si>
    <t xml:space="preserve">100 ming </t>
  </si>
  <si>
    <t xml:space="preserve"> Qorabog` 93 283 99 77</t>
  </si>
  <si>
    <t xml:space="preserve">Gulashan kluch dadaxonda sklad 99 947 56 77 </t>
  </si>
  <si>
    <t>MASHARIPOVA SHOXNOZA SOATDURDI QIZI</t>
  </si>
  <si>
    <t>Obod  907269596</t>
  </si>
  <si>
    <t xml:space="preserve">Nayman 97 361 97 76 </t>
  </si>
  <si>
    <t>SAPAYEV MADRAXIM RAZZAQBERDI O‘G‘LI</t>
  </si>
  <si>
    <t>RO‘ZMETOVA NODIRA ASADULLAYEVNA</t>
  </si>
  <si>
    <t xml:space="preserve">Mag`rur og`a 93 284 86 26 </t>
  </si>
  <si>
    <t>ALLABERGANOV KENJABAY KOMILOVICH</t>
  </si>
  <si>
    <t>SELXANOVA RUHIYA IKROMOVNA</t>
  </si>
  <si>
    <t>Manaviyat 95 956 30 00</t>
  </si>
  <si>
    <t xml:space="preserve">232 soliq </t>
  </si>
  <si>
    <t xml:space="preserve">Gulom Yangiariq </t>
  </si>
  <si>
    <t>14,05,2023</t>
  </si>
  <si>
    <t xml:space="preserve">Nayman 97 510 28 47  99 704 15 83 </t>
  </si>
  <si>
    <t>XUJAYEV FARXOD SODULLAYEVICH</t>
  </si>
  <si>
    <t xml:space="preserve">Abu rayxon beruniy 97 516 80 90 Asrlon og`a </t>
  </si>
  <si>
    <t>QABULOV OTAJON ABDULLAYEVICH</t>
  </si>
  <si>
    <t xml:space="preserve">Gulom kassob 25 mln moto </t>
  </si>
  <si>
    <t>ABDULLAYEV ABDUG‘ANI OTAJON O‘G‘LI</t>
  </si>
  <si>
    <t>BEKTURDIYEV UMARBEK SATTOROVICH</t>
  </si>
  <si>
    <t>SA’DULLAYEV OLLABERGAN RAHIMOVICH</t>
  </si>
  <si>
    <t>15,05,2023</t>
  </si>
  <si>
    <t>Nayman 97 603 7005</t>
  </si>
  <si>
    <t>SAMANDAROVA MAHBUBA SHERXON QIZI</t>
  </si>
  <si>
    <t>Ashxabod  99 124 2003</t>
  </si>
  <si>
    <t xml:space="preserve">Nurli maskan 99 208 74 75 benzin </t>
  </si>
  <si>
    <t>OLLABERGANOVA SOLIYAJON MATNAZAROVNA</t>
  </si>
  <si>
    <t xml:space="preserve">Soxibkor 99 032 29 83  94 112 3335 </t>
  </si>
  <si>
    <t>15,06,2023</t>
  </si>
  <si>
    <t xml:space="preserve">Soxibkor motoroller </t>
  </si>
  <si>
    <t xml:space="preserve">shabnam </t>
  </si>
  <si>
    <t xml:space="preserve">oltinqum </t>
  </si>
  <si>
    <t>ABDULLAYEVA XOSIYAT SHANAZAROVNA</t>
  </si>
  <si>
    <t xml:space="preserve">Temur darcha 27 mln moto </t>
  </si>
  <si>
    <t>ACHILOVA RA’NO ERGASHEVNA</t>
  </si>
  <si>
    <t xml:space="preserve">Jo`rabek motoblok 33 mln </t>
  </si>
  <si>
    <t>XUDAYBERGENOV UTKIRBEK FARXADOVICH</t>
  </si>
  <si>
    <t>FARXADOVA MOXIRA BAXRAMOVNA</t>
  </si>
  <si>
    <t>ACHILOVA LAYLO OLLOYOROVNA</t>
  </si>
  <si>
    <t xml:space="preserve">Oltinqum Gulmira apka chiqani Odilbek og`a </t>
  </si>
  <si>
    <t xml:space="preserve">divijoq qo`yib berish kerak </t>
  </si>
  <si>
    <t>Qorabog 93 090 93 00</t>
  </si>
  <si>
    <t>QODIROVA GULHAYO YUSUPBOY QIZI</t>
  </si>
  <si>
    <t xml:space="preserve">Manaviyat 99 354 57 55 99 500 06 62 </t>
  </si>
  <si>
    <t xml:space="preserve">Botirov Asqarbek </t>
  </si>
  <si>
    <t xml:space="preserve">Mib boshliq </t>
  </si>
  <si>
    <t xml:space="preserve">Karimova Xurshida </t>
  </si>
  <si>
    <t xml:space="preserve">Allaberdiyev Mustafo </t>
  </si>
  <si>
    <t xml:space="preserve">O`zi 94 233 50 01 </t>
  </si>
  <si>
    <t xml:space="preserve">Otajonov Asadbek </t>
  </si>
  <si>
    <t xml:space="preserve">Safarboev Nuraddin </t>
  </si>
  <si>
    <t xml:space="preserve">Shonazarova Guli </t>
  </si>
  <si>
    <t xml:space="preserve">Davlatova nasiba </t>
  </si>
  <si>
    <t xml:space="preserve">Do`schonov Xamid </t>
  </si>
  <si>
    <t xml:space="preserve">Do`schonova Laylo </t>
  </si>
  <si>
    <t xml:space="preserve">Tangriberganova Dilafruz </t>
  </si>
  <si>
    <t>RAZZAQOVA SAPARGUL SATTAROVNA</t>
  </si>
  <si>
    <t>Tozabozor 937455930</t>
  </si>
  <si>
    <t>ABDULLAYEV XAMDAM SHAVKATOVICH</t>
  </si>
  <si>
    <t xml:space="preserve">Madaniyat Jo`shqin og`a </t>
  </si>
  <si>
    <t>JABBOROVA SAHIBA ERGASHEVNA</t>
  </si>
  <si>
    <t xml:space="preserve">Nurafshon baliq 29,9  65 ming so`mdan </t>
  </si>
  <si>
    <t>Deputat kamol og`a  97 513 48 42</t>
  </si>
  <si>
    <t>KARRIYEVA NASIBA MAVLONOVNA</t>
  </si>
  <si>
    <t>16,05,2023</t>
  </si>
  <si>
    <t xml:space="preserve">Soxibkor 99 968 16 98 </t>
  </si>
  <si>
    <t>SOBUROVA GULSARA AZAMAT QIZI</t>
  </si>
  <si>
    <t xml:space="preserve">rasm yo`q </t>
  </si>
  <si>
    <t xml:space="preserve">bugun chiqadi </t>
  </si>
  <si>
    <t>NAVRO‘ZOV A’ZAMJON SA’DULLAYEVICH</t>
  </si>
  <si>
    <t xml:space="preserve">Soxibkor 91 422 25 27 </t>
  </si>
  <si>
    <t xml:space="preserve">chiqmidi bekor qilish kerak </t>
  </si>
  <si>
    <t>RAJABOV BAHODIR MAMATSHERIBOVICH</t>
  </si>
  <si>
    <t xml:space="preserve">Azamat shora </t>
  </si>
  <si>
    <t>JABBAROV IBODULLA SHANAZAROVICH</t>
  </si>
  <si>
    <t xml:space="preserve">Nayman 93 758 28 78 </t>
  </si>
  <si>
    <t xml:space="preserve">Quryozov Oxunjon </t>
  </si>
  <si>
    <t>qutlug` 25</t>
  </si>
  <si>
    <t>MAQSUDOV ASADBEK MARDONBEK O‘G‘LI</t>
  </si>
  <si>
    <t xml:space="preserve">Bagat gold drakon </t>
  </si>
  <si>
    <t>Sotibolidiyeva Eliza</t>
  </si>
  <si>
    <t xml:space="preserve">Ramanov Asadbek </t>
  </si>
  <si>
    <t>Fayzullayev Xurshid</t>
  </si>
  <si>
    <t xml:space="preserve">Ramatov Boburbek </t>
  </si>
  <si>
    <t xml:space="preserve">Iskandarova Munira </t>
  </si>
  <si>
    <t xml:space="preserve">Qutlimurotova Jumagul </t>
  </si>
  <si>
    <t xml:space="preserve">largo </t>
  </si>
  <si>
    <t xml:space="preserve">Nurjonov Ilxom </t>
  </si>
  <si>
    <t>97 608 65 00</t>
  </si>
  <si>
    <t xml:space="preserve">90 725 15 61 </t>
  </si>
  <si>
    <t>91 997 00 96</t>
  </si>
  <si>
    <t xml:space="preserve">Soxibkor 93 619 89 25 </t>
  </si>
  <si>
    <t>BOBOJONOV ORTIQBOY DURDIYEVICH</t>
  </si>
  <si>
    <t xml:space="preserve">Nurlixayot 94 231 10 50 </t>
  </si>
  <si>
    <t>ISKANDAROV XUSHNUD TAJIBAYEVICH</t>
  </si>
  <si>
    <t>SOBIROVA FAZILAT JUMABAYEVNA</t>
  </si>
  <si>
    <t>ORAZMEDOVA NAZOKAT AZATBOYEVNA</t>
  </si>
  <si>
    <t>17,05,2023</t>
  </si>
  <si>
    <t>ANNAYEV RUSLAN JUMANAZAROVICH</t>
  </si>
  <si>
    <t xml:space="preserve">Nayman 88 607 33 66 </t>
  </si>
  <si>
    <t>EGAMOV OMANBOY XUJANAZAROVICH</t>
  </si>
  <si>
    <t xml:space="preserve">Qudrat og`a Bog`zor 88 790 32 02 sklad </t>
  </si>
  <si>
    <t xml:space="preserve">Boshqa odamni otiga qiladi </t>
  </si>
  <si>
    <t xml:space="preserve">Yangiqadam 97 514 25 90 </t>
  </si>
  <si>
    <t>ARTIQOV UKTAMBOY SHONAZAROVICH</t>
  </si>
  <si>
    <t>Tozabozor 91 858 57 76</t>
  </si>
  <si>
    <t>RO‘ZIBAYEVA E’TIBOR FARHADOVNA</t>
  </si>
  <si>
    <t>RAJABBOYEV JAHONGIR AZAMAT O‘G‘LI</t>
  </si>
  <si>
    <t xml:space="preserve">Gulshan 99 450 75 48 </t>
  </si>
  <si>
    <t>JAMSHIDBEK JAMOLBEK OK</t>
  </si>
  <si>
    <t xml:space="preserve">300 mln xaladelnuk  91 427 00 71 </t>
  </si>
  <si>
    <t xml:space="preserve"> 
BABAJANOV MAKSUDBEK YULDASHEVICH</t>
  </si>
  <si>
    <t>TILLAYEV SAPARBOY ATABOYEVICH</t>
  </si>
  <si>
    <t xml:space="preserve">tozabozor 97 510 68 02  88 510 07 63 </t>
  </si>
  <si>
    <t xml:space="preserve">Xasanni jo`rasi Hamdam </t>
  </si>
  <si>
    <t xml:space="preserve">Matyaqubov Dilmurod </t>
  </si>
  <si>
    <t>Qudra tog`a 97 608 0592</t>
  </si>
  <si>
    <t>RAXIMOVA ZUXRA BOLTAYEVNA</t>
  </si>
  <si>
    <t xml:space="preserve">Bekchonboy </t>
  </si>
  <si>
    <t xml:space="preserve">1 qoldi 24 mln bo`lib tushgan asli 23 mln </t>
  </si>
  <si>
    <t xml:space="preserve">Rajabova Shoira </t>
  </si>
  <si>
    <t xml:space="preserve">Rustamova Dilnoza </t>
  </si>
  <si>
    <t xml:space="preserve">kenjayeva O`g`iljon </t>
  </si>
  <si>
    <t xml:space="preserve">Kenjayeva Sarvinoz </t>
  </si>
  <si>
    <t xml:space="preserve">99 961 94 90 </t>
  </si>
  <si>
    <t xml:space="preserve">Jumaniyozov Sherzod </t>
  </si>
  <si>
    <t xml:space="preserve">Sobirova shoxida </t>
  </si>
  <si>
    <t>Navruz Xasanni jo`rasi 97 459 67 07</t>
  </si>
  <si>
    <t>XAJIYEV TOHIRJON QURBONDURDI O‘G‘LI</t>
  </si>
  <si>
    <t>MAVLANOVA GULZODA DAVRONBEKOVNA</t>
  </si>
  <si>
    <t xml:space="preserve">Suxrob aralash </t>
  </si>
  <si>
    <t xml:space="preserve">1810 soliq qarzi </t>
  </si>
  <si>
    <t>AMINOVA MUNISAXON ODILBEK QIZI</t>
  </si>
  <si>
    <t xml:space="preserve">Temur darcha 28 matsakil </t>
  </si>
  <si>
    <t>AYDULLAYEVA MEXRIBAN JUMABAYEVNA</t>
  </si>
  <si>
    <t xml:space="preserve">93 288 52 62 </t>
  </si>
  <si>
    <t>RO‘ZIBOYEV INOMJON OLLAMBERDI O‘G‘LI</t>
  </si>
  <si>
    <t xml:space="preserve">Baxriddin og`a 33 mln </t>
  </si>
  <si>
    <t>RO‘ZMATOVA SUMBULA ULUG‘BEKOVNA</t>
  </si>
  <si>
    <t>SAIDOVA DILDORA ISLOMOVNA</t>
  </si>
  <si>
    <t xml:space="preserve">qulionqarobog` 99 735 35 60 benzin </t>
  </si>
  <si>
    <t>RO‘ZIBAYEV SULAYMON MADRIMOVICH</t>
  </si>
  <si>
    <t>EGAMOVA INTIZOR XAKIMBAYEVNA</t>
  </si>
  <si>
    <t xml:space="preserve">yukasalish suv 90 432 77 99 </t>
  </si>
  <si>
    <t>O‘RINBOYEVA XONZODABEGIM ORTIQBOY QIZI</t>
  </si>
  <si>
    <t xml:space="preserve">Sanat anorbank </t>
  </si>
  <si>
    <t>QALANDAROVA SHAROFAT NORMATOVNA</t>
  </si>
  <si>
    <t>ATAJONOV KAMOL ZARIPBAYEVICH</t>
  </si>
  <si>
    <t>18,05,2023</t>
  </si>
  <si>
    <t xml:space="preserve">uzumzor moto 97 600 30 07 </t>
  </si>
  <si>
    <t>ACHILOVA NARGIS ATABOYEVNA</t>
  </si>
  <si>
    <t>DUSHAMOVA NAZIRA BAXTIYOROVNA</t>
  </si>
  <si>
    <t>ABDULLAYEVA GULBAHOR HASANOVNA</t>
  </si>
  <si>
    <t>Manaviyat 93 299 01 70</t>
  </si>
  <si>
    <t xml:space="preserve">Yangiariq 97 211 03 80 </t>
  </si>
  <si>
    <t xml:space="preserve">97 299 46 21 </t>
  </si>
  <si>
    <t>HAYITBAYEVA KAMOLAT IZZAT QIZI</t>
  </si>
  <si>
    <t xml:space="preserve">Oq Oltin MFY 93 061 48 24 </t>
  </si>
  <si>
    <t>JABBAROV OTAXON SA’DULLAYEVICH</t>
  </si>
  <si>
    <t>q. shartnoma</t>
  </si>
  <si>
    <t>19,05,2023</t>
  </si>
  <si>
    <t xml:space="preserve">Bog`zor 94 636 27 92  </t>
  </si>
  <si>
    <t xml:space="preserve">Soxibkor 99 969 25 94 </t>
  </si>
  <si>
    <t>BEKCHANOVA SHOXISTA EGAMBERDIYEVNA</t>
  </si>
  <si>
    <t>OLIMOV SHIXNAZAR SATIMBOYEVICH</t>
  </si>
  <si>
    <t>Xonqa 94 232 62 23</t>
  </si>
  <si>
    <t>ATAJANOV G‘AYRAT OLIMBOYEVICH</t>
  </si>
  <si>
    <t>JUMANIYOZOV SHAVKAT SHARIFBOY O‘G‘LI</t>
  </si>
  <si>
    <t>Xonqa 93 283 70 33</t>
  </si>
  <si>
    <t>JUMABAYEV MUZAFFAR O‘RUNBAYEVICH</t>
  </si>
  <si>
    <t>MATMURATOV AZIZBEK TOHIROVICH</t>
  </si>
  <si>
    <t xml:space="preserve">Nurli hayot 93 621 48 89 </t>
  </si>
  <si>
    <t>AXMEDOVA SOPORGUL QALANDAROVNA</t>
  </si>
  <si>
    <t>RAJABOVA SHIRIN BAHODIROVNA</t>
  </si>
  <si>
    <t xml:space="preserve">Shirin tikish mashin 15 mln </t>
  </si>
  <si>
    <t>NAFASOVA ORZIGUL TO‘RAYEVNA</t>
  </si>
  <si>
    <t xml:space="preserve">Mexnatguli  94 233 98 90 </t>
  </si>
  <si>
    <t>RAJABOVA DILMIRA BAXTIYOROVNA</t>
  </si>
  <si>
    <t xml:space="preserve">O`zbekiston 99 201 17 91 Sklad </t>
  </si>
  <si>
    <t>ALLABERGANOVA MAXFUZA OLIMBOY QIZI</t>
  </si>
  <si>
    <t xml:space="preserve">Oq tepa tikish mashin </t>
  </si>
  <si>
    <t xml:space="preserve">G`alaba 99 667 81 25 sklad </t>
  </si>
  <si>
    <t xml:space="preserve">Qo`shko`pir  97 529 79 79 </t>
  </si>
  <si>
    <t>BEKCHONOVA NIYOZJON INOMJON QIZI</t>
  </si>
  <si>
    <t>20,05,2023</t>
  </si>
  <si>
    <t xml:space="preserve">sherzod pabeda </t>
  </si>
  <si>
    <t>SAIDMAMATOVA QUNDUZXON AYBEKOVNA</t>
  </si>
  <si>
    <t>QOBULOV SOBIRJON AZIMBOY O‘G‘LI</t>
  </si>
  <si>
    <t>Manaviyat 948120197</t>
  </si>
  <si>
    <t>QURAMBAYEVA MAFTUNA MAXSUD QIZI</t>
  </si>
  <si>
    <t xml:space="preserve">To`rtkul 94 951 72 00 </t>
  </si>
  <si>
    <t>RAXMONOVA GULNORA SADULLAYEVNA</t>
  </si>
  <si>
    <t xml:space="preserve">Uzumzor 12 mln makaron sex </t>
  </si>
  <si>
    <t>DAVLETOV OZOD SAMANDAROVICH</t>
  </si>
  <si>
    <t xml:space="preserve">Yosh o`smir 90 725 22 84 </t>
  </si>
  <si>
    <t>21,05,2023</t>
  </si>
  <si>
    <t xml:space="preserve">Mirzoxid </t>
  </si>
  <si>
    <t>RAXIMOVA LOBARXON JO‘RABEK QIZI</t>
  </si>
  <si>
    <t xml:space="preserve">Elliqqala </t>
  </si>
  <si>
    <t>SABUROV QURONBOY ISMOILOVICH</t>
  </si>
  <si>
    <t>Galaba  97 458 25 76   28 mln matsakil ,</t>
  </si>
  <si>
    <t>SOBUROV FAYZULLA ISMOILOVICH</t>
  </si>
  <si>
    <t>Galaba  97 458 25 76   23 mln matsakil ,</t>
  </si>
  <si>
    <t xml:space="preserve">Oq Oltin Maxmud og`a 30 mln ari  99 565 70 05 </t>
  </si>
  <si>
    <t>EGAMOV XAYRULLA BEKTURDIYEVICH</t>
  </si>
  <si>
    <t>22,05,2023</t>
  </si>
  <si>
    <t xml:space="preserve">Xurriyat 91 424 98 57 </t>
  </si>
  <si>
    <t>MUSAYEV DOSTON ISMOILOVICH</t>
  </si>
  <si>
    <t xml:space="preserve">Nurafshon 99 621 86 16 </t>
  </si>
  <si>
    <t>DUISOVA SHIRINGUL NURLIBAYEVNA</t>
  </si>
  <si>
    <t>TOXIROV DOSTONBEK MADAMINOVICH</t>
  </si>
  <si>
    <t xml:space="preserve">Shuxrat og`a 33 mln matsakil </t>
  </si>
  <si>
    <t>MARDIYEVA DILAFRUZ UKTAMJON QIZI</t>
  </si>
  <si>
    <t>Nurafshon 99 389 92 30</t>
  </si>
  <si>
    <t>OTAMURATOVA MUHAYYO NURMAMATOVNA</t>
  </si>
  <si>
    <t>sanat000</t>
  </si>
  <si>
    <t xml:space="preserve">Sanat mantiyor  94 111 2008 </t>
  </si>
  <si>
    <t>EGAMOVA GO‘ZAL OTAMURODOVNA</t>
  </si>
  <si>
    <t>Oq Oltin Matsakil 22 mln 90 737 04 83</t>
  </si>
  <si>
    <t>ALIMOV ELYOR KURIYAZ O‘G‘LI</t>
  </si>
  <si>
    <t>Elliqala 93 773 73 63   97 353 63 00</t>
  </si>
  <si>
    <t>MATNIYAZOVA FIRUZA XUDAYAROVNA</t>
  </si>
  <si>
    <t>Bog`iston 975253181</t>
  </si>
  <si>
    <t>ONNAMUROTOVA OZODA SULTANOVNA</t>
  </si>
  <si>
    <t>Shuxrat oga 2 mln pechka 2 mln qilish kerak '</t>
  </si>
  <si>
    <t>XO‘JAYEV RUSLAN SADULLAYEVICH</t>
  </si>
  <si>
    <t xml:space="preserve">Arslom og`a 99 151 03 83 </t>
  </si>
  <si>
    <t xml:space="preserve"> 
YAKUBOV ZOKIRJON O‘KTAMOVICH</t>
  </si>
  <si>
    <t>Otajonov Ulug`bek 8,25</t>
  </si>
  <si>
    <t>10mln 22,05,2023</t>
  </si>
  <si>
    <t>G‘OPPAROVA SHAXNOZA</t>
  </si>
  <si>
    <t xml:space="preserve">QudraT og`a o``zin </t>
  </si>
  <si>
    <t xml:space="preserve">Jumaniyozova Shoira </t>
  </si>
  <si>
    <t xml:space="preserve">  23,05,2023  2 mln berildi </t>
  </si>
  <si>
    <t>23,05,2023</t>
  </si>
  <si>
    <t xml:space="preserve">Qorabog 94 112 22 72 </t>
  </si>
  <si>
    <t>XUDOYBERGANOV SADULLA MASHARIPOVICH</t>
  </si>
  <si>
    <t xml:space="preserve">Nurli hayot 94 310 31 62 </t>
  </si>
  <si>
    <t xml:space="preserve">2 tonnali sari </t>
  </si>
  <si>
    <t>SAIDNAZAROVA GULI ANVARBEKOVNA</t>
  </si>
  <si>
    <t>Bog`iston 99 172 98 57</t>
  </si>
  <si>
    <t>XO‘JANIYAZOVA DONO RUSTAM QIZI</t>
  </si>
  <si>
    <t xml:space="preserve">obod 99 569 07 93 </t>
  </si>
  <si>
    <t xml:space="preserve">Matnazarov Maxmud </t>
  </si>
  <si>
    <t xml:space="preserve">Mirzoxid og`a  95 780 03 14 </t>
  </si>
  <si>
    <t xml:space="preserve">Xo`sinboyev Azimboy </t>
  </si>
  <si>
    <t xml:space="preserve">Abdullayeva Elif </t>
  </si>
  <si>
    <t xml:space="preserve">97 790 79 63 </t>
  </si>
  <si>
    <t xml:space="preserve">madaniyat </t>
  </si>
  <si>
    <t>Nurafshon</t>
  </si>
  <si>
    <t>Tozabozor</t>
  </si>
  <si>
    <t>Madaniyat</t>
  </si>
  <si>
    <t>Yangiariq</t>
  </si>
  <si>
    <t>Manaviyat</t>
  </si>
  <si>
    <t>Nurli</t>
  </si>
  <si>
    <t>Qalajiqala</t>
  </si>
  <si>
    <t>Oq</t>
  </si>
  <si>
    <t>Ashxobod</t>
  </si>
  <si>
    <t>Uzumzor</t>
  </si>
  <si>
    <t>Qaraqalpoq</t>
  </si>
  <si>
    <t>Xurriyat</t>
  </si>
  <si>
    <t>Xonqa</t>
  </si>
  <si>
    <t>Soxibkor</t>
  </si>
  <si>
    <t>Kulonqorabog`</t>
  </si>
  <si>
    <t>Bog`iston</t>
  </si>
  <si>
    <t>Tikish</t>
  </si>
  <si>
    <t>Dexqonobod</t>
  </si>
  <si>
    <t>Saxovat</t>
  </si>
  <si>
    <t>Navruz</t>
  </si>
  <si>
    <t>Yosh</t>
  </si>
  <si>
    <t>Gukshan</t>
  </si>
  <si>
    <t>Manviyat</t>
  </si>
  <si>
    <t>Xiva</t>
  </si>
  <si>
    <t>Bog`zor</t>
  </si>
  <si>
    <t>O`zbekiston</t>
  </si>
  <si>
    <t>Qorabog`</t>
  </si>
  <si>
    <t>Qipchoq</t>
  </si>
  <si>
    <t>Ko`nabirlashuv</t>
  </si>
  <si>
    <t>Navro`z</t>
  </si>
  <si>
    <t>Qudrat</t>
  </si>
  <si>
    <t>Navbaxor</t>
  </si>
  <si>
    <t>Mag`rur</t>
  </si>
  <si>
    <t>Oltinqum</t>
  </si>
  <si>
    <t>soxibkor</t>
  </si>
  <si>
    <t>ashxobod</t>
  </si>
  <si>
    <t>Gulshan</t>
  </si>
  <si>
    <t>mag`rur</t>
  </si>
  <si>
    <t>Yuksalish</t>
  </si>
  <si>
    <t>Sohibkor</t>
  </si>
  <si>
    <t>madaniyat</t>
  </si>
  <si>
    <t>Beruniy</t>
  </si>
  <si>
    <t>Obod</t>
  </si>
  <si>
    <t>Nurlixayot</t>
  </si>
  <si>
    <t>Nayman</t>
  </si>
  <si>
    <t>QudraT</t>
  </si>
  <si>
    <t>nayman</t>
  </si>
  <si>
    <t>qulionqarobog`</t>
  </si>
  <si>
    <t>tozabozor</t>
  </si>
  <si>
    <t>qalajiqala</t>
  </si>
  <si>
    <t>Qajajiqala</t>
  </si>
  <si>
    <t>Ashxabod</t>
  </si>
  <si>
    <t>Qo`shko`pir</t>
  </si>
  <si>
    <t>G`alaba</t>
  </si>
  <si>
    <t>Elliqqala</t>
  </si>
  <si>
    <t>obod</t>
  </si>
  <si>
    <t xml:space="preserve">Nurli Hayot </t>
  </si>
  <si>
    <t xml:space="preserve">To`pchi </t>
  </si>
  <si>
    <t xml:space="preserve">Ustalar </t>
  </si>
  <si>
    <t xml:space="preserve">Oq Oltin </t>
  </si>
  <si>
    <t xml:space="preserve">Qumbodoq </t>
  </si>
  <si>
    <t xml:space="preserve"> Soxibkor</t>
  </si>
  <si>
    <t>muammo</t>
  </si>
  <si>
    <t>20,02,2022</t>
  </si>
  <si>
    <t>YUSUPOVA NAZOKAT OTAXONOVNA( Otabek )</t>
  </si>
  <si>
    <t xml:space="preserve">77 028 77 81 </t>
  </si>
  <si>
    <t>MAMATOVA YULDUZ DAVLATOVNA</t>
  </si>
  <si>
    <t xml:space="preserve">99 212 73 78 Iqush og`a Beruniy </t>
  </si>
  <si>
    <t>XALBAYEVA NIGORA BAXRAMOVNA</t>
  </si>
  <si>
    <t>QURBONBOYEV BEGZOD AMAT O‘G‘LI</t>
  </si>
  <si>
    <t>24,05,2023</t>
  </si>
  <si>
    <t xml:space="preserve">Yangiariq 97 856 19 89  97 000 46 78 </t>
  </si>
  <si>
    <t>MATNIYAZOVA ZEBO ALLABERGANOVNA</t>
  </si>
  <si>
    <t xml:space="preserve">Otanazar og`a </t>
  </si>
  <si>
    <t xml:space="preserve">Qulonqorabog` 91 422 93 66  91 985 49 09 </t>
  </si>
  <si>
    <t>XUDAYOROV OZOD DURDIYEVICH</t>
  </si>
  <si>
    <t xml:space="preserve">divijoq bilan </t>
  </si>
  <si>
    <t xml:space="preserve">Gulshan 97 263 00 34 99 187 64 67 </t>
  </si>
  <si>
    <t xml:space="preserve">gulshan </t>
  </si>
  <si>
    <t>ABDULLAYEVA YULDUZ YULDASHEVNA</t>
  </si>
  <si>
    <t xml:space="preserve">Oltinqum  99 048 93 73 </t>
  </si>
  <si>
    <t xml:space="preserve">Oltinqum </t>
  </si>
  <si>
    <t>XO‘SINOV QURANBOY ISMAILOVICH</t>
  </si>
  <si>
    <t>Madaniyat 975125466</t>
  </si>
  <si>
    <t>MASHARIPOVA RO‘ZIGUL ABDULLA QIZI</t>
  </si>
  <si>
    <t xml:space="preserve">Oltinqum 99 035 09 30 </t>
  </si>
  <si>
    <t>YUSUPOV SHERMAT SABIROVICH</t>
  </si>
  <si>
    <t xml:space="preserve">Bog`zor 99 557 36 43 </t>
  </si>
  <si>
    <t xml:space="preserve">Bog`zor </t>
  </si>
  <si>
    <t>NURULLAYEVA QUNDUZ FARXADOVNA</t>
  </si>
  <si>
    <t>TONGIRBERGANOVA DILFUZA GANJAYEVNA</t>
  </si>
  <si>
    <t xml:space="preserve">28 mlndan olinadi </t>
  </si>
  <si>
    <t xml:space="preserve">Yangiariq </t>
  </si>
  <si>
    <t>Mirzoxid og`a</t>
  </si>
  <si>
    <t>SATTOROV QUVONDIQ TO‘XTABOY O‘G‘LI</t>
  </si>
  <si>
    <t xml:space="preserve">Nurafshon 99 964 07 93 </t>
  </si>
  <si>
    <t>SADULLAYEV SULTANBAY NIYOZMETOVICH</t>
  </si>
  <si>
    <t xml:space="preserve">Gulzor </t>
  </si>
  <si>
    <t xml:space="preserve"> Gulzor 991872789</t>
  </si>
  <si>
    <t>QO‘ZIBAYEVA ANBARJON HAMDAM QIZI</t>
  </si>
  <si>
    <t xml:space="preserve">Olimjonni opasi </t>
  </si>
  <si>
    <t xml:space="preserve">Yangiariq 97 363 66 07 </t>
  </si>
  <si>
    <t>MAVLANOVA MA’MURA OTABAYEVNA</t>
  </si>
  <si>
    <t>MATYOQUBOV DILMUROD JUMABOYEVICH</t>
  </si>
  <si>
    <t xml:space="preserve">Navbaxor </t>
  </si>
  <si>
    <t xml:space="preserve">Jumaboyev Ozod </t>
  </si>
  <si>
    <t xml:space="preserve">Sherjonov G`ulomjon </t>
  </si>
  <si>
    <t xml:space="preserve">Saburova Nigora </t>
  </si>
  <si>
    <t xml:space="preserve">Nayman 88 856 20 00  88 459 33 44 </t>
  </si>
  <si>
    <t xml:space="preserve">Nayman 88 858 44 80 97 360 77 43 IKROM OG`A </t>
  </si>
  <si>
    <t xml:space="preserve">Ikrom sho`ra </t>
  </si>
  <si>
    <t>25,05,2023</t>
  </si>
  <si>
    <t>ABDULLAYEVA SHOSANAM MATVAFAYEVNA</t>
  </si>
  <si>
    <t>Nurafshon 94 589 06 19</t>
  </si>
  <si>
    <t xml:space="preserve">Gulshan </t>
  </si>
  <si>
    <t>25,06,2023</t>
  </si>
  <si>
    <t xml:space="preserve">Murodjon Raxmonov </t>
  </si>
  <si>
    <t>NURULLAYEVA DINORA ISLOMBAYEVNA</t>
  </si>
  <si>
    <t>SHENYOZOVA SAYYORA RAZZAQOVNA</t>
  </si>
  <si>
    <t xml:space="preserve">jo`shqin og`a ari </t>
  </si>
  <si>
    <t>BEKMATOV BEKMAMAT EGAMBERDI O‘G‘L</t>
  </si>
  <si>
    <t>IBRAGIMOVA ZULFIYA SAMANDAROVNA</t>
  </si>
  <si>
    <t>25,05,20233</t>
  </si>
  <si>
    <t xml:space="preserve">Otaxonov Mirjalol </t>
  </si>
  <si>
    <t xml:space="preserve">Sultonova Mamura </t>
  </si>
  <si>
    <t xml:space="preserve">Sultonova Mexruza </t>
  </si>
  <si>
    <t xml:space="preserve">Usmonova Mushtariy </t>
  </si>
  <si>
    <t xml:space="preserve"> 99 505 30 90 </t>
  </si>
  <si>
    <t>BEKTURDIYEVA SHAXODAT SAMANDAROVNA</t>
  </si>
  <si>
    <t xml:space="preserve">Oqtepa tikish mashin qadastr </t>
  </si>
  <si>
    <t>SAFOROVA GAVHAR RAJABBOYEVNA</t>
  </si>
  <si>
    <t xml:space="preserve">Qalajiqala 99 048 16 13 </t>
  </si>
  <si>
    <t>SADULLAYEVA RO‘ZAXON QASIMOVNA</t>
  </si>
  <si>
    <t xml:space="preserve">Mexnatguli 93 748 24 26  99 415 93 61 </t>
  </si>
  <si>
    <t>26,05,2023</t>
  </si>
  <si>
    <t xml:space="preserve">yarash </t>
  </si>
  <si>
    <t xml:space="preserve">qudrat og`a </t>
  </si>
  <si>
    <t xml:space="preserve">Yangiariq 97 480 07 94  97 360 36 94 </t>
  </si>
  <si>
    <t xml:space="preserve"> 
MADIRIMOV RAJABBOY YO‘LDOSHOVICH</t>
  </si>
  <si>
    <t xml:space="preserve">Xonqa quromboyni jo`ra tanish </t>
  </si>
  <si>
    <t>ABDURAXMANOVA RISOLAT QODAMBAYEVNA</t>
  </si>
  <si>
    <t xml:space="preserve">Bog`zor shavkat oga 93 753 43 83 </t>
  </si>
  <si>
    <t>JUMABOYEV MURZABEK AXMEDJONOVICH</t>
  </si>
  <si>
    <t xml:space="preserve">Ulug`bek agro </t>
  </si>
  <si>
    <t>SAIDOV SAXIB SHAVKATOVICH</t>
  </si>
  <si>
    <t xml:space="preserve">Xurasnd to`pchi motoblok </t>
  </si>
  <si>
    <t>Muzaffar og`a</t>
  </si>
  <si>
    <t>QO‘ZIBOYEVA NAFISA MAXMUD QIZI</t>
  </si>
  <si>
    <t xml:space="preserve"> Yangi qadam  995081158</t>
  </si>
  <si>
    <t>ashxabod</t>
  </si>
  <si>
    <t>27,05,2023</t>
  </si>
  <si>
    <t>ABDULLAYEV SHUHRAT RO‘ZMATOVICH</t>
  </si>
  <si>
    <t xml:space="preserve">Obod iqush og`a </t>
  </si>
  <si>
    <t xml:space="preserve">Nurli maskan 99 741 29 26 </t>
  </si>
  <si>
    <t>ALLAMOVA XOLIDA BAHODIROVNA</t>
  </si>
  <si>
    <t xml:space="preserve">Manaviyat 99 502 33 68 </t>
  </si>
  <si>
    <t xml:space="preserve">Manaviyat </t>
  </si>
  <si>
    <t xml:space="preserve">Bog`zor 99 500 79 49 </t>
  </si>
  <si>
    <t xml:space="preserve">Yangiariq G`ulom 97 170 29 71 </t>
  </si>
  <si>
    <t xml:space="preserve">Galaba </t>
  </si>
  <si>
    <t>Galaba 99 220 01 11</t>
  </si>
  <si>
    <t xml:space="preserve">oq tepa </t>
  </si>
  <si>
    <t xml:space="preserve">Xursand og`a to`pchi </t>
  </si>
  <si>
    <t>IBRAGIMOV SHUHRAT SHAVKATOVICH</t>
  </si>
  <si>
    <t xml:space="preserve">Gulshan 88 600 10 05 </t>
  </si>
  <si>
    <t xml:space="preserve">Obod 91 912 22 30 </t>
  </si>
  <si>
    <t xml:space="preserve">Ko`nabirlashuv 88 133 81 77 </t>
  </si>
  <si>
    <t xml:space="preserve">Nurli maskan 99 678 16 63 </t>
  </si>
  <si>
    <t xml:space="preserve">G`alaba 91 999 09 59  90 559 01 79 </t>
  </si>
  <si>
    <t xml:space="preserve">Sadaddinov Mansurbek </t>
  </si>
  <si>
    <t xml:space="preserve">Ashxabod  93 304 91 18 </t>
  </si>
  <si>
    <t>BEKTURDIYEV SHONAZAR ALLAYOROVICH</t>
  </si>
  <si>
    <t xml:space="preserve">Qulonqorabog` 33 mln </t>
  </si>
  <si>
    <t xml:space="preserve">Yosh o`smir </t>
  </si>
  <si>
    <t xml:space="preserve">naqd oldi </t>
  </si>
  <si>
    <t xml:space="preserve">Jibbi og`a 99 079 09 41 </t>
  </si>
  <si>
    <t xml:space="preserve">G`alaba </t>
  </si>
  <si>
    <t>29,05,2023</t>
  </si>
  <si>
    <t xml:space="preserve">Gulzor 95 035 16 12 </t>
  </si>
  <si>
    <t xml:space="preserve">To`rtkul </t>
  </si>
  <si>
    <t>BABAJANOV HABIBULLA LATIBOVICH</t>
  </si>
  <si>
    <t xml:space="preserve">Dexqonobod chiyon 91 425 56 68 </t>
  </si>
  <si>
    <t>QO‘CHQAROV YODGOR SATIMOVICH</t>
  </si>
  <si>
    <t xml:space="preserve">Yodgor og`a ari 99 253 79 01 </t>
  </si>
  <si>
    <t>YUSUPOV BOYMUROD BEKCHANOVICH</t>
  </si>
  <si>
    <t>Kunabirlashuv</t>
  </si>
  <si>
    <t xml:space="preserve">Mag`rur og`a 94 755 20 87 </t>
  </si>
  <si>
    <t xml:space="preserve">muammo </t>
  </si>
  <si>
    <t>QALANDAROVA GULBAXOR ATANAZAROVNA</t>
  </si>
  <si>
    <t xml:space="preserve">Xuriyat 90 090 15 52 benzin </t>
  </si>
  <si>
    <t>SHOMURODOV SARDOR GANJABOYEVICH</t>
  </si>
  <si>
    <t>Shonazarova Shukurjon</t>
  </si>
  <si>
    <t xml:space="preserve">Atabayeva Rahimajon </t>
  </si>
  <si>
    <t>30,05,2023</t>
  </si>
  <si>
    <t xml:space="preserve">To`pchi Xurasnd </t>
  </si>
  <si>
    <t xml:space="preserve">Yangi ariq G`ulom 88 160 18 10 </t>
  </si>
  <si>
    <t>SAIDJANOV OTAJAN HASANBAYEVICH</t>
  </si>
  <si>
    <t xml:space="preserve">104 soliq qarz </t>
  </si>
  <si>
    <t xml:space="preserve">limit </t>
  </si>
  <si>
    <t xml:space="preserve">boshqa odam </t>
  </si>
  <si>
    <t xml:space="preserve">xokimni kutyapti </t>
  </si>
  <si>
    <t xml:space="preserve">kluch  Pasport dalniysi yo`q </t>
  </si>
  <si>
    <t xml:space="preserve"> 
BALTAYEVA GULYOR MAXSUDBEKOVNA</t>
  </si>
  <si>
    <t xml:space="preserve">yangiariq </t>
  </si>
  <si>
    <t>KARIMOVA DILORAM YULDASHOVNA</t>
  </si>
  <si>
    <t xml:space="preserve">260 soliq </t>
  </si>
  <si>
    <t>JUMANIYAZOV YUNUS BOTIRBAYEVICH</t>
  </si>
  <si>
    <t xml:space="preserve">Soxibkor 93 281 21 84 </t>
  </si>
  <si>
    <t xml:space="preserve">Sohibkor </t>
  </si>
  <si>
    <t>YUSUPOV SAIDMUROD AMATJONOVICH</t>
  </si>
  <si>
    <t xml:space="preserve">Shixnazarov Ollabergan </t>
  </si>
  <si>
    <t xml:space="preserve">Xalq banki dollarchi </t>
  </si>
  <si>
    <t xml:space="preserve">Ruzmetova Kumush </t>
  </si>
  <si>
    <t xml:space="preserve"> 
SAPAYEV ALISHER RAZZAKOVICH</t>
  </si>
  <si>
    <t>GABDULXAKOV ELDOR FLYUR O‘G‘LI</t>
  </si>
  <si>
    <t xml:space="preserve">Yosh o`smir 99 501 15 33 </t>
  </si>
  <si>
    <t xml:space="preserve">Mirzoxid og`a quvondiq 94 318 01 59 </t>
  </si>
  <si>
    <t xml:space="preserve">Sardor Mirzoxid og`a Quvondiq </t>
  </si>
  <si>
    <t xml:space="preserve">Samandarova Maxliyo </t>
  </si>
  <si>
    <t>MAMETOVA RISOLAT XUDOYOROVNA</t>
  </si>
  <si>
    <t>31,05,2023</t>
  </si>
  <si>
    <t xml:space="preserve">Ashxabod </t>
  </si>
  <si>
    <t xml:space="preserve">Ashxabod 90 578 05 95 </t>
  </si>
  <si>
    <t>OTANIYOZOV BEKPULAT SHARIBOVICH</t>
  </si>
  <si>
    <t xml:space="preserve">Shovot </t>
  </si>
  <si>
    <t xml:space="preserve">Shovot 99 064 08 67   </t>
  </si>
  <si>
    <t xml:space="preserve">ashxabod </t>
  </si>
  <si>
    <t xml:space="preserve">elliqala </t>
  </si>
  <si>
    <t xml:space="preserve"> 
SATIMOVA MUQADDAS JUMANAZAROVNA</t>
  </si>
  <si>
    <t>Nayman 991359747</t>
  </si>
  <si>
    <t xml:space="preserve">Nayman </t>
  </si>
  <si>
    <t xml:space="preserve">Bobojonova dilnoza </t>
  </si>
  <si>
    <t>YAQUBBOYEV ZAFARBEK OTAXON O‘G‘LI</t>
  </si>
  <si>
    <t xml:space="preserve">Zafarbek 88 459 33 44 Obod MFY yoshlar yetakchi </t>
  </si>
  <si>
    <t xml:space="preserve">1000 dan ziyod soliq qazr  </t>
  </si>
  <si>
    <t xml:space="preserve">Rajabov Donyor </t>
  </si>
  <si>
    <t xml:space="preserve">Yangiqadam 99 268 75 93 </t>
  </si>
  <si>
    <t xml:space="preserve">Ro`zmetov Xikmat </t>
  </si>
  <si>
    <t xml:space="preserve">Bog`zor  94 118 15 81 </t>
  </si>
  <si>
    <t xml:space="preserve">Navbaxor 88 457 18 00 </t>
  </si>
  <si>
    <t xml:space="preserve">Madaminov Asadbek </t>
  </si>
  <si>
    <t xml:space="preserve">Rajabova Sadoqat </t>
  </si>
  <si>
    <t>01,06,2023</t>
  </si>
  <si>
    <t>XAMRAYEV MAQSUD RUSTAMOVICH</t>
  </si>
  <si>
    <t xml:space="preserve">Ashxabod 99 541 14 81 </t>
  </si>
  <si>
    <t>RAMATOVA MOHIRA OYBEK QIZI</t>
  </si>
  <si>
    <t xml:space="preserve">Maqsadni jo`ralari kirob </t>
  </si>
  <si>
    <t>OZODOVA NODIRA RAMATJON QIZI</t>
  </si>
  <si>
    <t>MATRASULOVA ULLIJON BAXTIYOROVNA</t>
  </si>
  <si>
    <t>ATABOYEVA INOBAT RO‘ZIBOYEVNA</t>
  </si>
  <si>
    <t xml:space="preserve"> 90 090 20 73 Kamandir </t>
  </si>
  <si>
    <t>AMINOVA GULMIRA OCHILOVNA</t>
  </si>
  <si>
    <t xml:space="preserve">Qalajiqala 95 788 91 03   97 608 19 39 </t>
  </si>
  <si>
    <t>ATAJONOVA DILNAVOZ MASHARIPOVNA</t>
  </si>
  <si>
    <t xml:space="preserve">O`tkir usta </t>
  </si>
  <si>
    <t>KURBANBAYEV XASANBAY ULUG‘BEK O‘G‘LI</t>
  </si>
  <si>
    <t xml:space="preserve">KURBONBAYEV MUSAJON KAMOL O‘G‘LI </t>
  </si>
  <si>
    <t xml:space="preserve">Ellikqala 94 599 37 75 </t>
  </si>
  <si>
    <t xml:space="preserve">Elliqala </t>
  </si>
  <si>
    <t xml:space="preserve">99 123 08 68 </t>
  </si>
  <si>
    <t>YANGIBOYEV SARDORBEK ANVAR O‘G‘LI</t>
  </si>
  <si>
    <t xml:space="preserve">ali ari </t>
  </si>
  <si>
    <t>SA’DULLAYEV ASADBEK MASHARIP O‘G‘LI</t>
  </si>
  <si>
    <t xml:space="preserve">Qudrat og`a staniok 33 mln </t>
  </si>
  <si>
    <t>YUSUPOVA OYSANAM SHUXRATOVNA</t>
  </si>
  <si>
    <t>SAIDOV TO‘XTASIN YULDASHBOYEVICH</t>
  </si>
  <si>
    <t>02,06,2023</t>
  </si>
  <si>
    <t xml:space="preserve">Galaba 88 360 66 86 </t>
  </si>
  <si>
    <t>BOZOROVA MUNAVVAR HAJIBOY QIZI</t>
  </si>
  <si>
    <t xml:space="preserve">Navbaxor 93 681 44 39 </t>
  </si>
  <si>
    <t>QURIYAZOVA MARJONA XO‘SIN QIZI</t>
  </si>
  <si>
    <t xml:space="preserve">Manaviyat 99 662 71 50 </t>
  </si>
  <si>
    <t>ANNAYEV INOMJON MASHARIPOVICH</t>
  </si>
  <si>
    <t xml:space="preserve">Nayman 97 201 84 04 </t>
  </si>
  <si>
    <t>OTABOYEV ZAFARBEK SHAVKATOVICH</t>
  </si>
  <si>
    <t>TALBEKOVA INTIZOR BEKTURDIYEVNA</t>
  </si>
  <si>
    <t xml:space="preserve">To`pchi 97 449 66 65 </t>
  </si>
  <si>
    <t xml:space="preserve">Mirzoxid og`a Baxtiyor </t>
  </si>
  <si>
    <t xml:space="preserve">Saidova Dildora </t>
  </si>
  <si>
    <t xml:space="preserve">Ashxobod ertang oladila  97 511 56 66 </t>
  </si>
  <si>
    <t>BABANIYOZOVA GULZOR QURVANDURDIYEVNA</t>
  </si>
  <si>
    <t xml:space="preserve">Yangiqadam murodjon odami </t>
  </si>
  <si>
    <t>RAHIMOVA GULASOR QO‘ZIYEVNA</t>
  </si>
  <si>
    <t>Uzumzor  sardor 16,5 mln 2 dona moto</t>
  </si>
  <si>
    <t xml:space="preserve">Jummi enamni taxsisi 97 606 41 11 </t>
  </si>
  <si>
    <t>03,06,2023</t>
  </si>
  <si>
    <t>MADIRIMOVA TURSUNOY GANJAYEVNA</t>
  </si>
  <si>
    <t>SAIDOVA MARDONA AZADOVNA</t>
  </si>
  <si>
    <t xml:space="preserve">Ro`zmetova Ro`zaxon </t>
  </si>
  <si>
    <t xml:space="preserve">Beruniy 91 276 11 71 </t>
  </si>
  <si>
    <t xml:space="preserve">Yangiariq G`ulom  94 310 10 39 </t>
  </si>
  <si>
    <t>04,06,2023</t>
  </si>
  <si>
    <t xml:space="preserve">Navbaxor 88 364 03 90 </t>
  </si>
  <si>
    <t>Navbaxor 33 615 17 12</t>
  </si>
  <si>
    <t>RAXIMOV NODIRBEK DAVRONBEKOVICH</t>
  </si>
  <si>
    <t>05,06,2023</t>
  </si>
  <si>
    <t>MATYOQUBOV XURSANDBEK</t>
  </si>
  <si>
    <t xml:space="preserve">Nurli maskan 99 46763  63 </t>
  </si>
  <si>
    <t>EGAMOV UMOR MATNAZAROVICH</t>
  </si>
  <si>
    <t xml:space="preserve">Sohibkor 99 173 02 12 </t>
  </si>
  <si>
    <t xml:space="preserve">BEKNIYAZOV SETMURAT XASANOVICH </t>
  </si>
  <si>
    <t>Durdiyev Xudazar AB3386477  01,02,1975</t>
  </si>
  <si>
    <t xml:space="preserve">Navbaxor 99 295 01 75 </t>
  </si>
  <si>
    <t>RAXMONOV OYBEK JUMANAZAROVICH</t>
  </si>
  <si>
    <t xml:space="preserve">Oqtepa </t>
  </si>
  <si>
    <t>Oqtepa 91 570 03 08</t>
  </si>
  <si>
    <t xml:space="preserve">POLVONOVA SHARQIYA SATTORBERGANOVNA </t>
  </si>
  <si>
    <t>ALIMOV SHAVKAT RUSTAMOVICH</t>
  </si>
  <si>
    <t xml:space="preserve">Farrux urganch </t>
  </si>
  <si>
    <t xml:space="preserve">Jumanazrova Shabnam </t>
  </si>
  <si>
    <t xml:space="preserve">Salayev Yashin </t>
  </si>
  <si>
    <t>XUDAYBERDIYEVA SOJIDA OYBEK QIZI</t>
  </si>
  <si>
    <t xml:space="preserve">Tozabozor 93 529 53 93 </t>
  </si>
  <si>
    <t xml:space="preserve">allaberganova Iroda </t>
  </si>
  <si>
    <t xml:space="preserve">Jumaniyozov Xayrullo </t>
  </si>
  <si>
    <t xml:space="preserve">Boja </t>
  </si>
  <si>
    <t>REYIMOVA GULSHOD ATAMURATOVNA</t>
  </si>
  <si>
    <t>06,06,2023</t>
  </si>
  <si>
    <t>NURMETOVA GULRUX SAMANDAROVNA</t>
  </si>
  <si>
    <t xml:space="preserve">Umid og`a pechka </t>
  </si>
  <si>
    <t>ABDULLAYEVA SHAROFAT KARIMBOYEVNA</t>
  </si>
  <si>
    <t xml:space="preserve">Manaviyat 93 811 79 04 </t>
  </si>
  <si>
    <t xml:space="preserve">Yangiqadam  88 458 01 90 </t>
  </si>
  <si>
    <t xml:space="preserve">Tojiboyeva Muqaddas </t>
  </si>
  <si>
    <t xml:space="preserve">Tojiboyeva Muxabbat </t>
  </si>
  <si>
    <t xml:space="preserve">Yangiqadam 88 458 01 90 </t>
  </si>
  <si>
    <t>Tozabozor  94 312 96 62  94 942 00 54</t>
  </si>
  <si>
    <t xml:space="preserve">Bekiyev Izzat </t>
  </si>
  <si>
    <t xml:space="preserve">Otajonov Ulug`bek </t>
  </si>
  <si>
    <t xml:space="preserve">Karimov Abdulaziz </t>
  </si>
  <si>
    <t xml:space="preserve">Tojiboyev Raximberdi </t>
  </si>
  <si>
    <t xml:space="preserve">ilhomova Gulbadambegim </t>
  </si>
  <si>
    <t>YULDOSHOV G‘ULOMJON JO‘RABEK O‘G‘LI</t>
  </si>
  <si>
    <t xml:space="preserve">Navbaxor 88 606 04 98 </t>
  </si>
  <si>
    <t xml:space="preserve">Yangiqadam  95 188 12 70 </t>
  </si>
  <si>
    <t xml:space="preserve">Ro`zmetov Jamshid </t>
  </si>
  <si>
    <t xml:space="preserve">Nurli hayot </t>
  </si>
  <si>
    <t xml:space="preserve">Nurli Hayot 93 867 80 30 </t>
  </si>
  <si>
    <t xml:space="preserve">Qobulov G`afforberdi </t>
  </si>
  <si>
    <t xml:space="preserve">Bog`zor 99 743 00 55 </t>
  </si>
  <si>
    <t>07,06,2023</t>
  </si>
  <si>
    <t xml:space="preserve">Madaniyat Buva </t>
  </si>
  <si>
    <t>KOMEKBAYEV AMANDIK ALIMBAYEVICH</t>
  </si>
  <si>
    <t>RAXIMOVA ROHILA ERGASHBOYEVNA</t>
  </si>
  <si>
    <t xml:space="preserve">O`zbekiston </t>
  </si>
  <si>
    <t>QO‘SHAQOVA SAODAT RO‘ZMATOVNA</t>
  </si>
  <si>
    <t xml:space="preserve">Xurriyat   94 117 20 21  99 116 23 81 </t>
  </si>
  <si>
    <t>ASHIROV TURABOY RAXIMOVICH</t>
  </si>
  <si>
    <t xml:space="preserve">Shovot 91 987 63 93 </t>
  </si>
  <si>
    <t xml:space="preserve">O`tkir m ikra </t>
  </si>
  <si>
    <t xml:space="preserve">Qurbonboyeva Maryamjon </t>
  </si>
  <si>
    <t xml:space="preserve">G`alaba 91 571 81 69 </t>
  </si>
  <si>
    <t>Ko`nabirlashuv 97 513 29 41</t>
  </si>
  <si>
    <t>REYIMBERDIYEV SHODIYOR</t>
  </si>
  <si>
    <t xml:space="preserve">Beruniy 91 258 47 76   97 563 18 82 </t>
  </si>
  <si>
    <t xml:space="preserve">Beruniy Shoxruxbek </t>
  </si>
  <si>
    <t>BABAJANOVA ADOLAT NURULLAYEVNA</t>
  </si>
  <si>
    <t xml:space="preserve">Mo`ynoq 93 207 47 43 </t>
  </si>
  <si>
    <t xml:space="preserve">Mo`ynoq </t>
  </si>
  <si>
    <t xml:space="preserve">Jumagaldiyev Yusupboy </t>
  </si>
  <si>
    <t>QO‘ZIBOYEVA GULYOR ATABAYEVNA</t>
  </si>
  <si>
    <t xml:space="preserve">Navro`z </t>
  </si>
  <si>
    <t xml:space="preserve">Navro`z 99 630 90 28 </t>
  </si>
  <si>
    <t>MATCHONOV BAYRAMBEK</t>
  </si>
  <si>
    <t xml:space="preserve">saxovat 88 857 90 00 </t>
  </si>
  <si>
    <t xml:space="preserve">99 505 52 02 </t>
  </si>
  <si>
    <t>BARGANBOYEVA SHUKURJON OZOD QIZI</t>
  </si>
  <si>
    <t>SODIKOVA SALOMAT AZADOVNA</t>
  </si>
  <si>
    <t>08,06,2023</t>
  </si>
  <si>
    <t xml:space="preserve">To`pchi 451 89 90 Jo`rabek og`a </t>
  </si>
  <si>
    <t xml:space="preserve">ADOMBOYEVA MAVJUDA G‘ULOMBOYEVNA </t>
  </si>
  <si>
    <t>ISKANDAROV UMARBEK TO‘XTABAYEVICH</t>
  </si>
  <si>
    <t>O`zgarish</t>
  </si>
  <si>
    <t xml:space="preserve">O`zgatrish 97 361 33 34 </t>
  </si>
  <si>
    <t>XUDAKOV SATIMBOY SAIDMURATOVICH</t>
  </si>
  <si>
    <t xml:space="preserve">O`zgarish </t>
  </si>
  <si>
    <t xml:space="preserve">O`zgarish 91 993 17 76 </t>
  </si>
  <si>
    <t xml:space="preserve">Xunarmand 99 242 47 70 </t>
  </si>
  <si>
    <t xml:space="preserve">Xunarmand </t>
  </si>
  <si>
    <t xml:space="preserve">Ro`ziboyeva Sevara </t>
  </si>
  <si>
    <t xml:space="preserve">Bog`zor 99 678 29 78  88 600 88 98 </t>
  </si>
  <si>
    <t>KARIMOVA XO‘VVAJON OTABOYEVNA</t>
  </si>
  <si>
    <t xml:space="preserve">Tozabozor 97 859 01 73 </t>
  </si>
  <si>
    <t>YUSUPOVA SEVARA FAXRIDDIN QIZI</t>
  </si>
  <si>
    <t xml:space="preserve">  Kulonqorabog 93 869 03 81 </t>
  </si>
  <si>
    <t>AMETOVA FOTIMA FARXADOVNA</t>
  </si>
  <si>
    <t xml:space="preserve">Ellikqala 93 848 03 82 </t>
  </si>
  <si>
    <t xml:space="preserve">JUMANIYOZOVA SHAKAR DUSHAMOVNA </t>
  </si>
  <si>
    <t xml:space="preserve">Navro`z 91 571 10 38  99 118 53 13 </t>
  </si>
  <si>
    <t>SABUROVA MUQADDAS MASHARIPOVNA</t>
  </si>
  <si>
    <t>EGAMOVA SURAYYO PO‘LATOVNA</t>
  </si>
  <si>
    <t>ABDULLAYEVA DINORA UMARBEK QIZI</t>
  </si>
  <si>
    <t xml:space="preserve">91 432 93 97 </t>
  </si>
  <si>
    <t xml:space="preserve">Qalandarova Gulmira </t>
  </si>
  <si>
    <t>O`zbekiston 99 242 79 42</t>
  </si>
  <si>
    <t xml:space="preserve">Ko`nabirlashuv </t>
  </si>
  <si>
    <t xml:space="preserve">Ko`nabirlashuv 93 516 84 05 </t>
  </si>
  <si>
    <t xml:space="preserve">Mamatov Yarash </t>
  </si>
  <si>
    <t xml:space="preserve">Yangiqadam 90 557 53 91 </t>
  </si>
  <si>
    <t xml:space="preserve">Reyimbayeva Mamlakat </t>
  </si>
  <si>
    <t xml:space="preserve">Allaquliyeva Elyorbek </t>
  </si>
  <si>
    <t xml:space="preserve">Iskandarov Sardorbek </t>
  </si>
  <si>
    <t xml:space="preserve">Zaripova Ozoda </t>
  </si>
  <si>
    <t xml:space="preserve">Sabirova Sabohat </t>
  </si>
  <si>
    <t xml:space="preserve">Shonazarov Nurmuhammad </t>
  </si>
  <si>
    <t xml:space="preserve">To`rtkul  99 252 36 72 </t>
  </si>
  <si>
    <t>EGAMOV ABDULLA JUMANAZAROVICH</t>
  </si>
  <si>
    <t xml:space="preserve">Soxibkor   99 347 85 44  90 078 12 92 </t>
  </si>
  <si>
    <t>RO‘ZMATOV BAXTIYAR JUMAYEVICH</t>
  </si>
  <si>
    <t>09,06,2023</t>
  </si>
  <si>
    <t xml:space="preserve">Nayman 97 510 81 34  Yamg`urovni tanishi </t>
  </si>
  <si>
    <t>MAVLANOVA LEYLA ALLABERGANOVNA</t>
  </si>
  <si>
    <t xml:space="preserve">Mehnatguli 99 282 15 77 </t>
  </si>
  <si>
    <t xml:space="preserve">Mehnatguli </t>
  </si>
  <si>
    <t>RAJABBOYEV OG‘ABOY BAXTIYOROVICH</t>
  </si>
  <si>
    <t xml:space="preserve">Navbaxor 95 233 06 94 </t>
  </si>
  <si>
    <t>BOLTAYEVA GULNOZA SULTANOVNA</t>
  </si>
  <si>
    <t xml:space="preserve">Xonqa </t>
  </si>
  <si>
    <t xml:space="preserve">Zinoxos 97 528 44 34 </t>
  </si>
  <si>
    <t xml:space="preserve">Xudayberganov Umrbek </t>
  </si>
  <si>
    <t xml:space="preserve">To`pchi 99 058 62 85 </t>
  </si>
  <si>
    <t>TILLAYEVA FAROG‘AT XAKIMOVNA</t>
  </si>
  <si>
    <t xml:space="preserve">O`zbekiston 93 234 28 16 </t>
  </si>
  <si>
    <t>SAPAYEV NAIMJON ALBERTOVICH</t>
  </si>
  <si>
    <t>Kontener 30,710</t>
  </si>
  <si>
    <t xml:space="preserve">Ro`ziboyeva Sojida </t>
  </si>
  <si>
    <t xml:space="preserve">Allaquliyev Shoxruxbek </t>
  </si>
  <si>
    <t xml:space="preserve">Atajanova Dilnura </t>
  </si>
  <si>
    <t>AMONOV MUHAMMAD ERGASH O‘G‘LI</t>
  </si>
  <si>
    <t>Odilbek mikra</t>
  </si>
  <si>
    <t>10,06,2023</t>
  </si>
  <si>
    <t>KUTLIMURATOV YULDASHBAY XODJABAYEVICH</t>
  </si>
  <si>
    <t xml:space="preserve">Xujayli 90 650 21 17 </t>
  </si>
  <si>
    <t xml:space="preserve">Xujayli </t>
  </si>
  <si>
    <t xml:space="preserve">Xonqa 93 468 28 29  Xokim 99 016 56 50 </t>
  </si>
  <si>
    <t>JUMANAZAROV SANATBEK QALANDAROVICH</t>
  </si>
  <si>
    <t xml:space="preserve">Sanat Oq Oltin 99 941 08 58 </t>
  </si>
  <si>
    <t xml:space="preserve">Beruniy </t>
  </si>
  <si>
    <t xml:space="preserve"> O‘RAZOV IKROMBOY YAKUBBAYEVICH(  O`rozova Dilbar )</t>
  </si>
  <si>
    <t>ABDULLAYEVA SHAXNOZA NURADDINOVNA</t>
  </si>
  <si>
    <t>NURIMBETOV AZIZBEK KAZAXOVICH</t>
  </si>
  <si>
    <t xml:space="preserve">Navbaxor  88 606 15 74 </t>
  </si>
  <si>
    <t>EGOMBERDIYEV SOYFIDDIN IMOMODDINOVICH</t>
  </si>
  <si>
    <t>ADAMBAYEV JAVLON ERGASH O‘G‘LI</t>
  </si>
  <si>
    <t xml:space="preserve">javlon  shegirt </t>
  </si>
  <si>
    <t>MAXMUDOVA MUXAYYO MUXTOROVNA</t>
  </si>
  <si>
    <t xml:space="preserve">Pitnak </t>
  </si>
  <si>
    <t xml:space="preserve">Pitnak  97 452 37 21  97 211 43 81  Xokim yordamchi </t>
  </si>
  <si>
    <t xml:space="preserve">Nurafshon 99 775 05 75  99 711 55 45 </t>
  </si>
  <si>
    <t xml:space="preserve">93 540 77 01 </t>
  </si>
  <si>
    <t>XUDAKOV MANSURBEK XUSINOVICH</t>
  </si>
  <si>
    <t xml:space="preserve">Samarqand 93 353 30 70  99 035 08 00 </t>
  </si>
  <si>
    <t xml:space="preserve">Samarqand </t>
  </si>
  <si>
    <t xml:space="preserve">Nayman 97 459 05 76 </t>
  </si>
  <si>
    <t>YUSUPOV RASUL TO‘XTABOYEVICH</t>
  </si>
  <si>
    <t>11,06,2023</t>
  </si>
  <si>
    <t xml:space="preserve">Madaniyat  Izzat </t>
  </si>
  <si>
    <t xml:space="preserve">Gulzor  Behzod </t>
  </si>
  <si>
    <t xml:space="preserve">G`alaba Qaxramon </t>
  </si>
  <si>
    <t>NAMOZOVA UMIDA G‘AYRAT QIZI</t>
  </si>
  <si>
    <t>12,06,2023</t>
  </si>
  <si>
    <t xml:space="preserve">Samarqand 99 581 03 64  91 542 55 93 </t>
  </si>
  <si>
    <t xml:space="preserve">Beruniy 97 606 86 56  </t>
  </si>
  <si>
    <t>ABDULLAYEVA MAQSUDA BAXRAMOVNA</t>
  </si>
  <si>
    <t xml:space="preserve">Oltinqum 99 031 25 77 </t>
  </si>
  <si>
    <t xml:space="preserve">Qorabog` 99 689 23 81 </t>
  </si>
  <si>
    <t xml:space="preserve">SAPAYEVA ZUXRA BALTAYEVNA </t>
  </si>
  <si>
    <t xml:space="preserve">ari 24 mln </t>
  </si>
  <si>
    <t>ERKINBAYEVA FAROG‘AT MUZAFFAR QIZI</t>
  </si>
  <si>
    <t xml:space="preserve">Nayman 95 222 63 96  94 112 07 91 </t>
  </si>
  <si>
    <t>JUMANIYAZOV DILSHOD ERGASHBOYEVICH</t>
  </si>
  <si>
    <t xml:space="preserve">Sahovat </t>
  </si>
  <si>
    <t xml:space="preserve">Sahovat 97 299 74 75 </t>
  </si>
  <si>
    <t xml:space="preserve">Erkinova Munojat </t>
  </si>
  <si>
    <t xml:space="preserve">Matkarimov Bekzod </t>
  </si>
  <si>
    <t xml:space="preserve">Atajonov Masharifjon </t>
  </si>
  <si>
    <t xml:space="preserve">Eshon buva Xalq banki </t>
  </si>
  <si>
    <t>ALLABERGANOV ALIJON TOJIBOY O‘G‘LI</t>
  </si>
  <si>
    <t>13,06,2023</t>
  </si>
  <si>
    <t xml:space="preserve">Oltinqum 99 152 83 21 </t>
  </si>
  <si>
    <t>SHOMURATOVA GULYOR ERGASH QIZI</t>
  </si>
  <si>
    <t>ABDULLAYEV AMANGELDI XALILEVICH</t>
  </si>
  <si>
    <t xml:space="preserve">Dexqonobod 99 554 08 77 </t>
  </si>
  <si>
    <t>MATKARIMOVA NIGORA RO‘ZIBAYEVNA</t>
  </si>
  <si>
    <t xml:space="preserve">Navbaxor 94 232 52 90    88 857 70 88 </t>
  </si>
  <si>
    <t xml:space="preserve">93 043 42 73 </t>
  </si>
  <si>
    <t>YUSUPOV BAHROM BEKMURATOVICH</t>
  </si>
  <si>
    <t>NURADDINOV ODILBEK SOPORBOY O‘G‘LI</t>
  </si>
  <si>
    <t xml:space="preserve"> motoblok </t>
  </si>
  <si>
    <t xml:space="preserve">95 559 30 00 </t>
  </si>
  <si>
    <t>SABIROVA TO‘XTAGUL OTABEKOVNA</t>
  </si>
  <si>
    <t xml:space="preserve">To`pchi  shlakablok </t>
  </si>
  <si>
    <t>JAFAROVA AZIZA RAXIMBAYEVNA</t>
  </si>
  <si>
    <t xml:space="preserve">tikish mashin jonibek og`a jack </t>
  </si>
  <si>
    <t>RO‘ZMETOVA DILBAR SABIROVNA</t>
  </si>
  <si>
    <t xml:space="preserve">Sarkop </t>
  </si>
  <si>
    <t>QALANDAROV OBID BAXODIROVICH</t>
  </si>
  <si>
    <t xml:space="preserve">Ulug`bek agrobank 24 mln matsakil </t>
  </si>
  <si>
    <t>YUSUPOV IZZATBEK ABDULLA O‘G‘LI</t>
  </si>
  <si>
    <t xml:space="preserve">raxbar </t>
  </si>
  <si>
    <t xml:space="preserve">Xurriyat 99 562 99 29 </t>
  </si>
  <si>
    <t>YO‘LDOSHEV SHERZOD SAIDNAZAROVICH</t>
  </si>
  <si>
    <t>KO‘PALBOYEV ANVARBEK JASUR O‘G‘LI</t>
  </si>
  <si>
    <t>SOBIROV ODILBEK SHERMATOVICH</t>
  </si>
  <si>
    <t>14,06,2023</t>
  </si>
  <si>
    <t>MIRZAYEV OLLABERGAN SHAMURATOVICH</t>
  </si>
  <si>
    <t xml:space="preserve">Madniyat 97 510 70 63  </t>
  </si>
  <si>
    <t>SATTAROVA ZULXUMOR YULDASHBAYEVNA</t>
  </si>
  <si>
    <t xml:space="preserve">Nurli maskan 97 605 83 82 </t>
  </si>
  <si>
    <t xml:space="preserve">Obod 97 858 84 81 </t>
  </si>
  <si>
    <t>ISHANQULIYEVA GULBAXOR ANNAKULIYEVNA</t>
  </si>
  <si>
    <t>XOLMUROTOVA ELMIRA ABDIRASUL QIZI</t>
  </si>
  <si>
    <t xml:space="preserve">Sirdaryo </t>
  </si>
  <si>
    <t>JUMAYEV YALQABBOY RO‘ZMATOVICH</t>
  </si>
  <si>
    <t>Nayman 97 221 1506</t>
  </si>
  <si>
    <t>SAPASHEV BUXARBAY BAZARBAYEVICH</t>
  </si>
  <si>
    <t xml:space="preserve">Xo`jayli </t>
  </si>
  <si>
    <t xml:space="preserve">Ro`ziboyeva Sabina </t>
  </si>
  <si>
    <t xml:space="preserve">Yusupov Izzat </t>
  </si>
  <si>
    <t>MASHARIPOVA OYSHAJON KAMALOVNA</t>
  </si>
  <si>
    <t>HASANOVA TURSUNOY QURBONNAZAR QIZI</t>
  </si>
  <si>
    <t xml:space="preserve">Navro`z 90 719 14 07 </t>
  </si>
  <si>
    <t xml:space="preserve">Divijoq bilan </t>
  </si>
  <si>
    <t>XUSAINOV TOXIR SADULLAYEVICH</t>
  </si>
  <si>
    <t xml:space="preserve">Kluchni olib kelishi kerak </t>
  </si>
  <si>
    <t xml:space="preserve">Sohibkor 93 708 68 11   99 347 87 27 darcha  </t>
  </si>
  <si>
    <t xml:space="preserve">Sayfullo Mirzoxid og`a </t>
  </si>
  <si>
    <t>BOBOJONOVA HANIFA RO‘ZMATOVNA</t>
  </si>
  <si>
    <t xml:space="preserve">Azadova Feruza </t>
  </si>
  <si>
    <t xml:space="preserve">Sobirova Moxigul </t>
  </si>
  <si>
    <t xml:space="preserve">obod  90 719 93 99 </t>
  </si>
  <si>
    <t>JUMANIYOZOVA FERUZA JABBORBERDIYEVNA</t>
  </si>
  <si>
    <t xml:space="preserve">O`zbekistin 99 387 90 43 </t>
  </si>
  <si>
    <t>TILLAYEVA SAYYORA AMINBAYEVNA</t>
  </si>
  <si>
    <t xml:space="preserve">Ko`nabirlashuv 99 132 22 72 </t>
  </si>
  <si>
    <t xml:space="preserve">Qurbonboyev Rustam </t>
  </si>
  <si>
    <t xml:space="preserve">O`zgarish 88 600 82 62  99 743 00 55 </t>
  </si>
  <si>
    <t xml:space="preserve">Sirdaryo 88 905 2890  shafyo`r 94 116 08 69 </t>
  </si>
  <si>
    <t xml:space="preserve">Komiljonova Gulyor </t>
  </si>
  <si>
    <t xml:space="preserve">Iskandarova Aziza </t>
  </si>
  <si>
    <t xml:space="preserve">Shermetova Gulchexra </t>
  </si>
  <si>
    <t xml:space="preserve">Usmonov Doniyorbek </t>
  </si>
  <si>
    <t xml:space="preserve">Rajabov Rustamboy </t>
  </si>
  <si>
    <t xml:space="preserve">Rajabov Dostonbek </t>
  </si>
  <si>
    <t xml:space="preserve">Bobojonova Soxiba </t>
  </si>
  <si>
    <t xml:space="preserve">91 993 04 04 </t>
  </si>
  <si>
    <t xml:space="preserve">Uzumzor </t>
  </si>
  <si>
    <t xml:space="preserve">Uzumzor 94 014 80 20 </t>
  </si>
  <si>
    <t>AHMEDOV GULOMJON MADIRIMOVICH</t>
  </si>
  <si>
    <t xml:space="preserve">Dexqonobod 88 456 11 55 </t>
  </si>
  <si>
    <t xml:space="preserve">99 184 48 00 </t>
  </si>
  <si>
    <t>SAPAYEV QURBONNAZAR JUMANAZAROVICH</t>
  </si>
  <si>
    <t>Nayman 97 211 13 65</t>
  </si>
  <si>
    <t xml:space="preserve">Ko`nabirlashuv 94 236 77 25 </t>
  </si>
  <si>
    <t xml:space="preserve">Masharipov Ulug`bek </t>
  </si>
  <si>
    <t xml:space="preserve">94 145 73 24 </t>
  </si>
  <si>
    <t xml:space="preserve">Masharipova Shaira </t>
  </si>
  <si>
    <t xml:space="preserve">To`pchi  97 511 21 74 </t>
  </si>
  <si>
    <t xml:space="preserve">99 706 03 81  99 330 50 40 </t>
  </si>
  <si>
    <t xml:space="preserve">1 Xur </t>
  </si>
  <si>
    <t xml:space="preserve">kredit 1,4 mln </t>
  </si>
  <si>
    <t>16,06,2023</t>
  </si>
  <si>
    <t>NORBAYEVA DO‘NDI SHAMUROTOVNA</t>
  </si>
  <si>
    <t xml:space="preserve">Nayman 97 517 09 62 </t>
  </si>
  <si>
    <t>KURBANBAYEVA FERUZA ROMANBERDIYEVNA</t>
  </si>
  <si>
    <t xml:space="preserve">Navbaxor 94 318 06 01 </t>
  </si>
  <si>
    <t xml:space="preserve">MASHARIPOVA OYSANAM IBADULLAYEVNA </t>
  </si>
  <si>
    <t xml:space="preserve">Navbaxor  99 336 68 11 </t>
  </si>
  <si>
    <t xml:space="preserve">99 963 67 03 </t>
  </si>
  <si>
    <t xml:space="preserve">G`alaba 93 280 15 76 </t>
  </si>
  <si>
    <t>POLIYOZOV ODILBEK RAXIMOVICH</t>
  </si>
  <si>
    <t>NURULLAYEV HABIBULLA BAXODIROVICH</t>
  </si>
  <si>
    <t xml:space="preserve">Navbaxor 94 231 93 00 </t>
  </si>
  <si>
    <t>IBADULLAYEVA NAZIRA ABDULLAYEVNA</t>
  </si>
  <si>
    <t xml:space="preserve">Nayman 88 606 62 65 </t>
  </si>
  <si>
    <t>JUMANAZAROVA SAIDA OLLABERGANOVNA</t>
  </si>
  <si>
    <t xml:space="preserve">Navbaxor  94 233 68 68 </t>
  </si>
  <si>
    <t>TAJIYEVA NARGIZA SHOKIROVNA</t>
  </si>
  <si>
    <t xml:space="preserve">Tozabozor 97 510 33 55  97 518 48 99 </t>
  </si>
  <si>
    <t xml:space="preserve">Nayman 99 157 89 86 </t>
  </si>
  <si>
    <t xml:space="preserve">Xayitboyeva Gulchiroy </t>
  </si>
  <si>
    <t xml:space="preserve">Ro`ziboyev Habibullo </t>
  </si>
  <si>
    <t xml:space="preserve">Sadullayeva Oydinoy </t>
  </si>
  <si>
    <t xml:space="preserve">Abdullayeva Ro`zaxon </t>
  </si>
  <si>
    <t xml:space="preserve">Xajiyev Izzat </t>
  </si>
  <si>
    <t xml:space="preserve">99 113 70 68 </t>
  </si>
  <si>
    <t xml:space="preserve">Bog`zor Armada motors </t>
  </si>
  <si>
    <t>Yusup Izzat Abdulla  Izzat</t>
  </si>
  <si>
    <t xml:space="preserve">Bog`zor Armada motors  Izzat </t>
  </si>
  <si>
    <t xml:space="preserve">Oq Oltin 99 048 10 63 </t>
  </si>
  <si>
    <t xml:space="preserve">Oltinqum 97 363 73 37 </t>
  </si>
  <si>
    <t>SAIDOVA OQILJON RAMATOVNA</t>
  </si>
  <si>
    <t>17,06,2023</t>
  </si>
  <si>
    <t>ABDULLAYEV XAYRULLA MATVAFAYEVICH</t>
  </si>
  <si>
    <t xml:space="preserve">Nurafshon 90 737 02 15 </t>
  </si>
  <si>
    <t>MATYOQUBOVA SADOQAT MATNAZAROVNA</t>
  </si>
  <si>
    <t>BABAJANOV GOFURJON ELAMANOVICH</t>
  </si>
  <si>
    <t xml:space="preserve">O`zbekiston 93 752 13 83 </t>
  </si>
  <si>
    <t>AMINOV TURABEK OCHILOVICH</t>
  </si>
  <si>
    <t xml:space="preserve">Qalajiqala 881461989 Erkavoy stat 99 755 05 41 </t>
  </si>
  <si>
    <t>JUMANAZAROVA GO‘ZALXON SHONAZAROVNA</t>
  </si>
  <si>
    <t xml:space="preserve">Ko`nabirlashuv 33 156 07 97 </t>
  </si>
  <si>
    <t>KOMILOV IZZATBEK ERGASH O‘G‘LI</t>
  </si>
  <si>
    <t xml:space="preserve">Ko`nabirlashuv 99 777 14 72 </t>
  </si>
  <si>
    <t>19,06,2023</t>
  </si>
  <si>
    <t>18,06,2023</t>
  </si>
  <si>
    <t xml:space="preserve">Gurlan </t>
  </si>
  <si>
    <t xml:space="preserve">Yarmatova Shaxlo </t>
  </si>
  <si>
    <t xml:space="preserve">Gurlan 99 624 8770   88 299 9007 Xokim yordamchi </t>
  </si>
  <si>
    <t>IBODULLAYEVA OYIMJON TOXIROVNA</t>
  </si>
  <si>
    <t xml:space="preserve">Navbaxor 99 623 27 96 </t>
  </si>
  <si>
    <t>ABDIRIMOV MAVLONBERDI OTABOYEVICH</t>
  </si>
  <si>
    <t xml:space="preserve">Navbaxor 97 178 02 97 </t>
  </si>
  <si>
    <t>RAXIMOVA ZUXRA IBRAGIMOVNA</t>
  </si>
  <si>
    <t xml:space="preserve">Navbaxor 88 600 21 31 </t>
  </si>
  <si>
    <t>SETIRZAYEV ALIAKBAR MADAMINJONOVICH</t>
  </si>
  <si>
    <t xml:space="preserve">Navro`z 99 063 10 84 </t>
  </si>
  <si>
    <t>ESHMURATOVA SADOQAT DJUMABAYEVNA</t>
  </si>
  <si>
    <t xml:space="preserve">Navbaxor 94 235 88 34 </t>
  </si>
  <si>
    <t xml:space="preserve">Madaniyat 97 299 87 12 </t>
  </si>
  <si>
    <t>RAXIMOV DONIYOR BAXTIYOR O‘G‘LI</t>
  </si>
  <si>
    <t xml:space="preserve">Saxovat 97 790 66 95 </t>
  </si>
  <si>
    <t>YUSUPOVA GULZIRA QO‘CHQARBAYEVNA</t>
  </si>
  <si>
    <t xml:space="preserve">OQ Tepa 91 277 96 94 </t>
  </si>
  <si>
    <t>QURBONBOYEV RAJABBAY JUMABAYEVICH</t>
  </si>
  <si>
    <t xml:space="preserve">Oq Oltin MFY 99 129 07 45 </t>
  </si>
  <si>
    <t>QURIYAZOV G‘OFUR SADULLAYEVICH</t>
  </si>
  <si>
    <t xml:space="preserve">G`alaba 99 253 12 97 </t>
  </si>
  <si>
    <t>19,06,5023</t>
  </si>
  <si>
    <t xml:space="preserve">Shomurotov Zufarbek </t>
  </si>
  <si>
    <t>MATKARIMOVA NARGIZA ALLANAZAROVNA</t>
  </si>
  <si>
    <t xml:space="preserve">Bog`iston </t>
  </si>
  <si>
    <t xml:space="preserve">Bog`iston  94 315 59 16 </t>
  </si>
  <si>
    <t>SULTANOV MAVLONBEK YULDASHEVICH</t>
  </si>
  <si>
    <t xml:space="preserve">ari quromboy </t>
  </si>
  <si>
    <t>JUMANIYOZOVA ZEBO BOG‘IBEK QIZI</t>
  </si>
  <si>
    <t>ALLABERGANOV SABIRJON KAMILOVICH</t>
  </si>
  <si>
    <t xml:space="preserve">Jibbi og`a Erkin og`a 99 955 77 07 </t>
  </si>
  <si>
    <t xml:space="preserve">Ko`nabirlashuv 94 674 97 09 </t>
  </si>
  <si>
    <t xml:space="preserve">Jibbi og` a </t>
  </si>
  <si>
    <t xml:space="preserve">99 832 20 95 </t>
  </si>
  <si>
    <t xml:space="preserve">AB 5163059 </t>
  </si>
  <si>
    <t>10,02,2000</t>
  </si>
  <si>
    <t>61002007100041</t>
  </si>
  <si>
    <t>ISMOILOVA GULBAHOR BOLTAYEVNA</t>
  </si>
  <si>
    <t xml:space="preserve">Ko`nabirlashuv 94 311 90 85 </t>
  </si>
  <si>
    <t>SOBIROVA MANZURA BARGAN QIZI</t>
  </si>
  <si>
    <t xml:space="preserve">Nurli maskan 88 453 02 52 </t>
  </si>
  <si>
    <t>TAJIYEV XUSHNUD RUSTAMOVICH</t>
  </si>
  <si>
    <t xml:space="preserve">Nurafshon 97 360 49 79   5 mln berildi qolgani Rustam og`a bilan maslaxat qilinadi </t>
  </si>
  <si>
    <t xml:space="preserve">5 berdi </t>
  </si>
  <si>
    <t>RO‘ZMETOV RASHID BEKCHANOVICH</t>
  </si>
  <si>
    <t xml:space="preserve">Xonqa  91 994 77 27 </t>
  </si>
  <si>
    <t>AD 0726714</t>
  </si>
  <si>
    <t>01,11,2004</t>
  </si>
  <si>
    <t>50111047100020</t>
  </si>
  <si>
    <t xml:space="preserve">94 650 70 17 </t>
  </si>
  <si>
    <t>52802007100038</t>
  </si>
  <si>
    <t>AB6338979</t>
  </si>
  <si>
    <t>28,02,2000</t>
  </si>
  <si>
    <t>AB 6267130</t>
  </si>
  <si>
    <t>20,11,2000</t>
  </si>
  <si>
    <t>62011007100031</t>
  </si>
  <si>
    <t>AA 4183715</t>
  </si>
  <si>
    <t>02,05,1994</t>
  </si>
  <si>
    <t>30205943070027</t>
  </si>
  <si>
    <t xml:space="preserve">94 117 85 85 </t>
  </si>
  <si>
    <t>20,06,2023</t>
  </si>
  <si>
    <t>ABDIRIMOV HAYOTBEK OTABOYEVICH</t>
  </si>
  <si>
    <t xml:space="preserve">Navbaxor 88 459 22 90 </t>
  </si>
  <si>
    <t>JUMANIYAZOVA MUHAYYO KOMILJANOVNA</t>
  </si>
  <si>
    <t xml:space="preserve">Motoblok 31,8 mln </t>
  </si>
  <si>
    <t>ALIYEVA NILUFAR QADAMBAYEVNA</t>
  </si>
  <si>
    <t xml:space="preserve">Sabez matsakil  97 790 86 89 </t>
  </si>
  <si>
    <t>XUDAYBERGANOVA GULYOR QO‘CHQOROVNA</t>
  </si>
  <si>
    <t>Madaniyat 99 775 44 74</t>
  </si>
  <si>
    <t xml:space="preserve">Abdullayev Allabergan </t>
  </si>
  <si>
    <t xml:space="preserve">Navbaxor 97 203 98 96 </t>
  </si>
  <si>
    <t>Navbaxor  94 408 10 11</t>
  </si>
  <si>
    <t>SULTANOVA SOXIBA BARGANOVNA</t>
  </si>
  <si>
    <t xml:space="preserve">33 mln matsakil obod </t>
  </si>
  <si>
    <t>SATIBOLDIYEV DAVLATMUROD SAMANDAROVICH</t>
  </si>
  <si>
    <t>BOLTAYEV MANSUR ALLABERGANOVICH</t>
  </si>
  <si>
    <t xml:space="preserve">Oltinqum 90 090 11 87 </t>
  </si>
  <si>
    <t>XURSANOV BAXTIYOR MUMINJONOVICH</t>
  </si>
  <si>
    <t xml:space="preserve">Urgut 93 353 30 70 </t>
  </si>
  <si>
    <t xml:space="preserve">Olimov Davron </t>
  </si>
  <si>
    <t xml:space="preserve">Ro`zmetova Shahnoza </t>
  </si>
  <si>
    <t xml:space="preserve">Aloqabank </t>
  </si>
  <si>
    <t xml:space="preserve">AA 9935818 </t>
  </si>
  <si>
    <t>01,03,1999</t>
  </si>
  <si>
    <t>40103997100019</t>
  </si>
  <si>
    <t>21,06,2023</t>
  </si>
  <si>
    <t>AA8162546</t>
  </si>
  <si>
    <t>22,09,1995</t>
  </si>
  <si>
    <t>32209953070015</t>
  </si>
  <si>
    <t>88 528 04 49</t>
  </si>
  <si>
    <t>YO‘LDOSHOV XURSHIDBEK YARASH O‘G‘LI</t>
  </si>
  <si>
    <t xml:space="preserve">Navbaxor 94 116 09 84 </t>
  </si>
  <si>
    <t>BABAJONOVA AVADON ADAMBAYEVNA</t>
  </si>
  <si>
    <t xml:space="preserve">Gulashan 99 967 23 66 </t>
  </si>
  <si>
    <t>HAYTANOV RAVSHANBEK RUSTAMBAYEVICH</t>
  </si>
  <si>
    <t>ERNAZAROVA GULIDA RAJABBAYEVNA</t>
  </si>
  <si>
    <t>TAJIYEV AZIZBEK YO‘LDOSHEVICH</t>
  </si>
  <si>
    <t xml:space="preserve">Jumaniyozova Bibimaryam </t>
  </si>
  <si>
    <t xml:space="preserve">Nurmamatov Dilshod </t>
  </si>
  <si>
    <t>AA7374444</t>
  </si>
  <si>
    <t>08,09,1998</t>
  </si>
  <si>
    <t>30809987150022</t>
  </si>
  <si>
    <t xml:space="preserve">Oq Tepa </t>
  </si>
  <si>
    <t xml:space="preserve">Oq tepa 91 571 85 61 </t>
  </si>
  <si>
    <t>22,06,2023</t>
  </si>
  <si>
    <t>BEGJONOV ILYOS XAJIBOYEVICH</t>
  </si>
  <si>
    <t xml:space="preserve">32,975 motoblok </t>
  </si>
  <si>
    <t>BAZAROV XUDOYOR OTOXON O‘G‘LI</t>
  </si>
  <si>
    <t xml:space="preserve">Ashxabod 99 966 76 85 </t>
  </si>
  <si>
    <t>JUMABAYEVA CHINIJON BOBOYEVNA</t>
  </si>
  <si>
    <t xml:space="preserve">bor </t>
  </si>
  <si>
    <t xml:space="preserve">O`zgarish 94 314 47 44 </t>
  </si>
  <si>
    <t>OBAYEV RAVSHONBEK RAJABOVICH</t>
  </si>
  <si>
    <t xml:space="preserve">Nayman 97 856 74 79 </t>
  </si>
  <si>
    <t>SOBIRBOYEVA OYGUL ALISHER QIZI</t>
  </si>
  <si>
    <t xml:space="preserve">Tozabozor 97 090 89 77 </t>
  </si>
  <si>
    <t>NORMETOV OLLAYOR YO‘LDASHEVICH</t>
  </si>
  <si>
    <t xml:space="preserve">Tozabozor 97 603 05 77 </t>
  </si>
  <si>
    <t>XUSINOV XAYRULLA IBODULLAYEVICH</t>
  </si>
  <si>
    <t xml:space="preserve">Saxovat </t>
  </si>
  <si>
    <t xml:space="preserve">Saxovat 94 117 39 10 </t>
  </si>
  <si>
    <t xml:space="preserve">Satimov Muhammadjon </t>
  </si>
  <si>
    <t xml:space="preserve"> 99 754 02 56 </t>
  </si>
  <si>
    <t>OLIMOVA GULORA SABIRJANOVNA</t>
  </si>
  <si>
    <t xml:space="preserve">Yangiariq Qo`shloq </t>
  </si>
  <si>
    <t xml:space="preserve">Yangiariq 99 527 73 13  99 116 25 46 </t>
  </si>
  <si>
    <t>BOBOYEV IKROM QURBONDURDIYEVICH</t>
  </si>
  <si>
    <t xml:space="preserve">Ashxabod 99 779 24 54 </t>
  </si>
  <si>
    <t>KARIMOVA XULKAR BEKTURDIYEVNA</t>
  </si>
  <si>
    <t xml:space="preserve"> 
RAXIMOVA GULNORA IBRAGIMOVNA</t>
  </si>
  <si>
    <t>JUMANIYOZOVA NIGORA MASHARIPOVNA</t>
  </si>
  <si>
    <t xml:space="preserve">Ismoiloya Sevinchoy </t>
  </si>
  <si>
    <t>AD1397725</t>
  </si>
  <si>
    <t>30,07,2004</t>
  </si>
  <si>
    <t>63007047190012</t>
  </si>
  <si>
    <t>23,06,2023</t>
  </si>
  <si>
    <t>BEKCHONOV QURBONDURDI</t>
  </si>
  <si>
    <t>IBADULLAYEV FARXOD REDJEPBAYEVICH</t>
  </si>
  <si>
    <t xml:space="preserve">Navbaxor 88 859 85 55 </t>
  </si>
  <si>
    <t>QALANDAROV ALI JUMABAYEVICH</t>
  </si>
  <si>
    <t xml:space="preserve">G`alaba 99 593 27 71 </t>
  </si>
  <si>
    <t>BEKIYEV XUDASHUKUR RAJABOVICH</t>
  </si>
  <si>
    <t xml:space="preserve">Nurli hayot 93 268 56 06 </t>
  </si>
  <si>
    <t>RAJAPOVA RUXIYA ISKANDAROVNA</t>
  </si>
  <si>
    <t xml:space="preserve">MASHARIPOVA E’TIBOR SAIDKAMALOVNA </t>
  </si>
  <si>
    <t xml:space="preserve">Xudayberganov Mustafo </t>
  </si>
  <si>
    <t>AD1782749</t>
  </si>
  <si>
    <t>23,12,2004</t>
  </si>
  <si>
    <t>52312047100038</t>
  </si>
  <si>
    <t xml:space="preserve">99 215 55 25 </t>
  </si>
  <si>
    <t xml:space="preserve">Obod   99 061 31 58 </t>
  </si>
  <si>
    <t>SULTANOVA LAYLO KO‘PALOVNA</t>
  </si>
  <si>
    <t xml:space="preserve">Saxovat 93 493 31 42 </t>
  </si>
  <si>
    <t>OTAJONOVA GULNOZA JUMANIYOZOVNA</t>
  </si>
  <si>
    <t>Navro`z 99 410 29 06</t>
  </si>
  <si>
    <t>SHUKURULLAYEVA ASALXON AXMAD QIZI</t>
  </si>
  <si>
    <t>JUMANIYOZOV OTABEK XUDOYBERDIYEVICH</t>
  </si>
  <si>
    <t xml:space="preserve">Nayman  97 511 33 50   97 602 33 50 </t>
  </si>
  <si>
    <t xml:space="preserve">Shakirov Sarvarbek </t>
  </si>
  <si>
    <t>RO‘ZMETOV G‘ULOMJON FARXODOVICH</t>
  </si>
  <si>
    <t>24,06,2023</t>
  </si>
  <si>
    <t xml:space="preserve">Navabaxor </t>
  </si>
  <si>
    <t xml:space="preserve">Navbaxor 94 233 27 85 </t>
  </si>
  <si>
    <t>ABDULLAYEV RAVSHON NORBOYEVICH</t>
  </si>
  <si>
    <t>MATYOQUBOVA GULSHAN KOMILOVNA</t>
  </si>
  <si>
    <t>SAIDNAZAROVA GULZIRA JUMABOYEVNA</t>
  </si>
  <si>
    <t xml:space="preserve">Soxibkor </t>
  </si>
  <si>
    <t xml:space="preserve"> Soxibkor 99 571 63 65 </t>
  </si>
  <si>
    <t>YAKUBOV LAZIZ QADAMBOYEVICH</t>
  </si>
  <si>
    <t xml:space="preserve">Paxtaobod </t>
  </si>
  <si>
    <t xml:space="preserve">Paxtaobod 93 468 81 70  Azizbek og`a O` zgarish doyisi </t>
  </si>
  <si>
    <t>QURBANBAYEVA UMIDA YARASHOVNA</t>
  </si>
  <si>
    <t>Uzumzor 99 347 92 10</t>
  </si>
  <si>
    <t xml:space="preserve">Yosh O`smir 95 554 23 53 </t>
  </si>
  <si>
    <t xml:space="preserve">Oq Oltin MFY 99 425 0687 </t>
  </si>
  <si>
    <t xml:space="preserve">Ro`ziboyeva Maryamjon </t>
  </si>
  <si>
    <t xml:space="preserve">Bog`iston 88 299 40 00 </t>
  </si>
  <si>
    <t>AC 2860732</t>
  </si>
  <si>
    <t>26,03,2004</t>
  </si>
  <si>
    <t>52603047100013</t>
  </si>
  <si>
    <t xml:space="preserve">99 063 54 13 </t>
  </si>
  <si>
    <t xml:space="preserve">Satimov Baxodir </t>
  </si>
  <si>
    <t xml:space="preserve">Nayman 93 467 17 80 </t>
  </si>
  <si>
    <t>KARIMOVA DILFUZA XOKIM QIZI</t>
  </si>
  <si>
    <t xml:space="preserve"> Oq Tepa Jonibek og`a jak </t>
  </si>
  <si>
    <t>26,06,2023</t>
  </si>
  <si>
    <t xml:space="preserve">kluch odilbek og`ada </t>
  </si>
  <si>
    <t xml:space="preserve">Bekzod </t>
  </si>
  <si>
    <t>JUMANIYAZOV MURODBEK QILICHEVICH</t>
  </si>
  <si>
    <t>SOBIROV RAVSHONBEK SETMUROTOVICH</t>
  </si>
  <si>
    <t xml:space="preserve">Bobur moto 18 mln </t>
  </si>
  <si>
    <t>Navbaxor  93 406 69 70</t>
  </si>
  <si>
    <t>JUMANIYAZOVA SHAROFAT ABDULLAYEVNA</t>
  </si>
  <si>
    <t xml:space="preserve">Abdullayev Qurvonboy  Javlon og`ani qarindoshi </t>
  </si>
  <si>
    <t xml:space="preserve">Beruniy 99 753 41 45 </t>
  </si>
  <si>
    <t>MATNAZAROV BAXTIYOR SA’DULLA O‘G‘LI</t>
  </si>
  <si>
    <t xml:space="preserve">Masharipova Muxabbat </t>
  </si>
  <si>
    <t xml:space="preserve">Sarkop 35 benzin </t>
  </si>
  <si>
    <t>BEKCHANOVA DONAJON RAVSHANBEKOVNA</t>
  </si>
  <si>
    <t xml:space="preserve">Navbaxor  99 069 30 22 </t>
  </si>
  <si>
    <t xml:space="preserve">Yangiqadam  91 428 26 37 </t>
  </si>
  <si>
    <t xml:space="preserve">O`razbayev Ibadulla  32 mln rulli </t>
  </si>
  <si>
    <t>AB6830730</t>
  </si>
  <si>
    <t>16,02,1980</t>
  </si>
  <si>
    <t>41602807180016</t>
  </si>
  <si>
    <t>27,06,2023</t>
  </si>
  <si>
    <t>AC 2570756</t>
  </si>
  <si>
    <t>02,12,2003</t>
  </si>
  <si>
    <t>50212037180016</t>
  </si>
  <si>
    <t xml:space="preserve">93 764 82 83 </t>
  </si>
  <si>
    <t>QO‘CHQOROV G‘ULOMJON QADAMBOYEVICH</t>
  </si>
  <si>
    <t xml:space="preserve">Bog`zor 97 105 83 00 </t>
  </si>
  <si>
    <t>ALLABERGANOV MURODBEK SHAMURATOVICH</t>
  </si>
  <si>
    <t xml:space="preserve">Gulashan 99 564 63 16 </t>
  </si>
  <si>
    <t>AMINOV MA’RUFJON SHERIPOVICH</t>
  </si>
  <si>
    <t xml:space="preserve">Qipchoq </t>
  </si>
  <si>
    <t xml:space="preserve">Qipchoq 97 201 02 08 </t>
  </si>
  <si>
    <t>AD0378732</t>
  </si>
  <si>
    <t>17,05,2021</t>
  </si>
  <si>
    <t>61503057100068</t>
  </si>
  <si>
    <t>97 361 69 14</t>
  </si>
  <si>
    <t>MASHARIPOV DONIYORBEK QUVONDIQ O‘G‘L</t>
  </si>
  <si>
    <t>29,06,2023</t>
  </si>
  <si>
    <t xml:space="preserve">Ashxabod 94 008 21 84 </t>
  </si>
  <si>
    <t xml:space="preserve">Otanazarov Diyorbek </t>
  </si>
  <si>
    <t xml:space="preserve">Yangiqadam 99 317 11 14 Ollayor Qamxo`z  </t>
  </si>
  <si>
    <t xml:space="preserve">Qalandarov Vaxob </t>
  </si>
  <si>
    <t xml:space="preserve">To`pchi Xursand Og`a </t>
  </si>
  <si>
    <t xml:space="preserve">Vapayev Erkin </t>
  </si>
  <si>
    <t xml:space="preserve">  97 358 32 32  97 355 45 44  Xokim yordamchi </t>
  </si>
  <si>
    <t>30,06,2023</t>
  </si>
  <si>
    <t xml:space="preserve">Xusainboyev Alisher </t>
  </si>
  <si>
    <t>AB 9942516 16,07,1998</t>
  </si>
  <si>
    <t>Qalandarova Niyozjon ( Boltayev Rustam )</t>
  </si>
  <si>
    <t xml:space="preserve">To`pchi Xursand Og`a  99 421 86 72 </t>
  </si>
  <si>
    <t xml:space="preserve">To`pchi Xursand Og`a 99 458 18 16 </t>
  </si>
  <si>
    <t xml:space="preserve">Bayon </t>
  </si>
  <si>
    <t xml:space="preserve">Alisher </t>
  </si>
  <si>
    <t xml:space="preserve">Obod Armada Motors MCHJ </t>
  </si>
  <si>
    <t xml:space="preserve">Oq Oltin Armada motors MCHJ </t>
  </si>
  <si>
    <t xml:space="preserve">Navbaxor Armada motors </t>
  </si>
  <si>
    <t xml:space="preserve">Navbaxor 94 112 02 75 Jumazar og`a </t>
  </si>
  <si>
    <t>Navbaxor 94 112 02 75 Jumazar og`a</t>
  </si>
  <si>
    <t xml:space="preserve">Davletov Xudaybergan </t>
  </si>
  <si>
    <t xml:space="preserve">Rajabov Komil </t>
  </si>
  <si>
    <t xml:space="preserve">Beruniy 99 558 76 63   99 071 55 04 Rashid </t>
  </si>
  <si>
    <t xml:space="preserve">beruniy   99 031 68 81   99 071 55 04  Rashid </t>
  </si>
  <si>
    <t>01,07,2023</t>
  </si>
  <si>
    <t xml:space="preserve">Boynepesova Yulduz </t>
  </si>
  <si>
    <t xml:space="preserve">To`pchi 99 048 22 24 </t>
  </si>
  <si>
    <t xml:space="preserve">Annamurotova Nilufar </t>
  </si>
  <si>
    <t xml:space="preserve">To`pchi  99 126 85 64 </t>
  </si>
  <si>
    <t xml:space="preserve">Rajabov Iskandar </t>
  </si>
  <si>
    <t xml:space="preserve">Oq Oltin 99 024 97 50 </t>
  </si>
  <si>
    <t>02,07,2023</t>
  </si>
  <si>
    <t>MATKARIMOVA XUMORA ISMOILOVNA</t>
  </si>
  <si>
    <t xml:space="preserve">Mehnatguli   93 712 94 10  93 784 92 06 </t>
  </si>
  <si>
    <t xml:space="preserve">Yaqubov Sarvar </t>
  </si>
  <si>
    <t xml:space="preserve">Qalandarov Akmal </t>
  </si>
  <si>
    <t xml:space="preserve">To`pchi 97 792 08 20 </t>
  </si>
  <si>
    <t>To`pchi 99 576 70 88</t>
  </si>
  <si>
    <t xml:space="preserve">Matyaqubova Gulbaxor </t>
  </si>
  <si>
    <t xml:space="preserve">G`alaba 99 014 44 54 </t>
  </si>
  <si>
    <t>Г</t>
  </si>
  <si>
    <t xml:space="preserve">Abdullayev Odilbek </t>
  </si>
  <si>
    <t>To`pchi 88 513 90 96</t>
  </si>
  <si>
    <t>03,07,2023</t>
  </si>
  <si>
    <t xml:space="preserve">Nurafshon Sho`ra </t>
  </si>
  <si>
    <t xml:space="preserve"> Nurafshon sho`ra </t>
  </si>
  <si>
    <t>NURULLAYEV MAQSAD</t>
  </si>
  <si>
    <t xml:space="preserve">Nurli Maskan 99 076 63 92 </t>
  </si>
  <si>
    <t>JUMANIYOZOVA BARNO DURDIBOYEVNA</t>
  </si>
  <si>
    <t xml:space="preserve">Nayman 97 515 03 78 </t>
  </si>
  <si>
    <t>Rahimova Nilufar ( erkin aka )</t>
  </si>
  <si>
    <t xml:space="preserve">To`pchi 95 525 01 64 </t>
  </si>
  <si>
    <t xml:space="preserve">Ro`ziboyev Jamshid </t>
  </si>
  <si>
    <t>To`pchi 97 512 27 50</t>
  </si>
  <si>
    <t xml:space="preserve">Ro`ziboyeva Sharofat </t>
  </si>
  <si>
    <t xml:space="preserve">To`pchi 97 202 04 15 </t>
  </si>
  <si>
    <t xml:space="preserve">Mansur povur </t>
  </si>
  <si>
    <t>Oq Oltin</t>
  </si>
  <si>
    <t>Oq Oltin 99 220 80 40</t>
  </si>
  <si>
    <t>MATYAKUBOV XUDAYAR</t>
  </si>
  <si>
    <t xml:space="preserve">Mang`it </t>
  </si>
  <si>
    <t>Mang`it 93 846 08 90   93 485 98 03</t>
  </si>
  <si>
    <t xml:space="preserve">Mangliyev Ixtiyor </t>
  </si>
  <si>
    <t xml:space="preserve">97 090 09 94 </t>
  </si>
  <si>
    <t>Kamaladdinov Azamjon</t>
  </si>
  <si>
    <t xml:space="preserve">99 122 05 96 </t>
  </si>
  <si>
    <t xml:space="preserve">Xonqa Znoxos </t>
  </si>
  <si>
    <t xml:space="preserve">Xonqa Znaxos 97 201 84 86 </t>
  </si>
  <si>
    <t>XO‘JANIYOZOVA NODIRA SHAMUROTOVNA</t>
  </si>
  <si>
    <t xml:space="preserve">G`alaba 99 105 17 99 </t>
  </si>
  <si>
    <t xml:space="preserve">Mavlonov Mashxurbek </t>
  </si>
  <si>
    <t xml:space="preserve">O`zgarish 88 606 95 35 </t>
  </si>
  <si>
    <t>MAVLANOV OYBEK SAPARBAYEVICH</t>
  </si>
  <si>
    <t xml:space="preserve">Bog`iston 99 500 59 04 </t>
  </si>
  <si>
    <t>XALMURATOV JAKSIBAY NIYETBAYEVICH</t>
  </si>
  <si>
    <t xml:space="preserve">Nukus Xumoyun </t>
  </si>
  <si>
    <t xml:space="preserve">91 300 79 81 </t>
  </si>
  <si>
    <t>MATYOQUBOVA IQBOL</t>
  </si>
  <si>
    <t xml:space="preserve">Nulri maskan 94 037 1006 Rulli </t>
  </si>
  <si>
    <t>MASHARIPOVA DONOXON</t>
  </si>
  <si>
    <t>Uzumzor 930978124</t>
  </si>
  <si>
    <t>XUDAYBERGANOV FARRUX BAXTIYOROVICH</t>
  </si>
  <si>
    <t xml:space="preserve">Ali moto Xonqa </t>
  </si>
  <si>
    <t>Quryozova Iroda ( Ilhom birgada )</t>
  </si>
  <si>
    <t xml:space="preserve">To`pchi 97 362 00 06 </t>
  </si>
  <si>
    <t>QURBANOVA DILNOZA OG‘ABOYEVNA</t>
  </si>
  <si>
    <t xml:space="preserve">Nurli maskan 99 312 65 88 </t>
  </si>
  <si>
    <t xml:space="preserve">Nurmetova Ro`za </t>
  </si>
  <si>
    <t xml:space="preserve">Alimov  Sevinchbek </t>
  </si>
  <si>
    <t>AVAZOV SHUXRAT QUROMBAYEVICH</t>
  </si>
  <si>
    <t>04,07,2023</t>
  </si>
  <si>
    <t xml:space="preserve">Obod 99 502 71 32 </t>
  </si>
  <si>
    <t>RO‘ZMETOVA SALOMAT ADAMOVNA</t>
  </si>
  <si>
    <t xml:space="preserve">Nayman 97 453 53 57 </t>
  </si>
  <si>
    <t>BABAJONOV RAXIMBOY ULUG‘BEK</t>
  </si>
  <si>
    <t xml:space="preserve">Yangiariq G`ulom </t>
  </si>
  <si>
    <t xml:space="preserve">Yangiariq G`ulom 97 090 96 11 </t>
  </si>
  <si>
    <t>OLLASHKUROV NE’MATJON OYBEK</t>
  </si>
  <si>
    <t xml:space="preserve">Nayman divijoqli moto 88 175 10 05 </t>
  </si>
  <si>
    <t xml:space="preserve">Bo`g`iston </t>
  </si>
  <si>
    <t xml:space="preserve">hokim yordamchi rasm qo`shgan yena bir ko`rish kerak  99 508 47 37 </t>
  </si>
  <si>
    <t>ISKANDAROVA MUBORAK SHONAZAROVNA</t>
  </si>
  <si>
    <t xml:space="preserve">Qulonqorabog` </t>
  </si>
  <si>
    <t xml:space="preserve">Qulonqarobog` 91 277 06 83 </t>
  </si>
  <si>
    <t>SHODURDIYEV MASHXURBEK BOXROMBOY O‘G‘LI</t>
  </si>
  <si>
    <t xml:space="preserve">Navro`z 99 949 99 02 </t>
  </si>
  <si>
    <t xml:space="preserve">MATLATIPOV RO‘ZIBOY ALIMBOY O‘G‘LI </t>
  </si>
  <si>
    <t xml:space="preserve">Beruniy 99 424 94 04 </t>
  </si>
  <si>
    <t>RO‘ZMETOVA IQBOL ERKINBOYEVNA</t>
  </si>
  <si>
    <t xml:space="preserve">Yangiariq 97 489 28 89  </t>
  </si>
  <si>
    <t>IBRAGIMOV QUVANDIQ ISMAILOVICH</t>
  </si>
  <si>
    <t xml:space="preserve">Mehnatguli  94 231 01 63 </t>
  </si>
  <si>
    <t>QURONBAYEVA ONAJON JUMABAYEVNA</t>
  </si>
  <si>
    <t xml:space="preserve">Nurli hayot  99 542 58 70 </t>
  </si>
  <si>
    <t>YUSUPOV SORDORBEK BEKPO‘LOTOVICH</t>
  </si>
  <si>
    <t xml:space="preserve">Madaniyat 97 202 92 67 </t>
  </si>
  <si>
    <t xml:space="preserve">Bankda rasm qo`shilgan </t>
  </si>
  <si>
    <t>Qalandarov Rustam ( Gubir )</t>
  </si>
  <si>
    <t xml:space="preserve">To`pchi  99 564 92 17 </t>
  </si>
  <si>
    <t>Raximov Egamberdi ( Soqov )</t>
  </si>
  <si>
    <t xml:space="preserve">To`pchi 97 600 10 54 </t>
  </si>
  <si>
    <t>Qalandarov Komil ( Gubir )</t>
  </si>
  <si>
    <t xml:space="preserve">To`pchi 99 442 83 25 </t>
  </si>
  <si>
    <t xml:space="preserve">Xudayberganov To`rabek </t>
  </si>
  <si>
    <t xml:space="preserve">To`pchi  99 285 25 90 </t>
  </si>
  <si>
    <t xml:space="preserve">Bankdaa </t>
  </si>
  <si>
    <t xml:space="preserve">Ernazarov Ruslan </t>
  </si>
  <si>
    <t xml:space="preserve">To`pchi 99 343 98 13 </t>
  </si>
  <si>
    <t>Rasm qo`shish kerak 993194989</t>
  </si>
  <si>
    <t>Xujaniyazov Suhrobbek</t>
  </si>
  <si>
    <t>To`pchi 95 230 50 69</t>
  </si>
  <si>
    <t>05,07,2023</t>
  </si>
  <si>
    <t>QURBONOV O‘TKIR KENJAYEVICH</t>
  </si>
  <si>
    <t xml:space="preserve">Oltinqum 88 142 50 06 </t>
  </si>
  <si>
    <t>MATYAQUBOVA DILFUZA BAKDURDIYEVNA</t>
  </si>
  <si>
    <t xml:space="preserve">Nurli maskan 99 501 82 14 </t>
  </si>
  <si>
    <t>MAVLANOVA O‘G‘ILJON YARASHOVNA</t>
  </si>
  <si>
    <t>O`zgarish 97 091 96 92</t>
  </si>
  <si>
    <t>KARIMOVA O‘G‘ILJON RO‘ZIMBAYEVNA</t>
  </si>
  <si>
    <t xml:space="preserve">Gulzor 93 215 30 91 </t>
  </si>
  <si>
    <t xml:space="preserve">Namuna </t>
  </si>
  <si>
    <t>Rasm qo`shish kerak 996230232</t>
  </si>
  <si>
    <t>Rahmonov Komil ( Maychi )</t>
  </si>
  <si>
    <t xml:space="preserve">To`pchi tel nomeri yo`q </t>
  </si>
  <si>
    <t>SAIDNAZAROVA SHOIRA JUMABOYEVNA</t>
  </si>
  <si>
    <t>XAKIMOV UMARBEK BARDIBAY O‘G‘LI</t>
  </si>
  <si>
    <t xml:space="preserve">99 716 07 51  </t>
  </si>
  <si>
    <t xml:space="preserve">tayyor </t>
  </si>
  <si>
    <t xml:space="preserve">tushdi </t>
  </si>
  <si>
    <t xml:space="preserve">rasm yo` q 99 812 39 37 obod motoroler </t>
  </si>
  <si>
    <t xml:space="preserve">rasm qo`shish kerak  Xokim yordamchi 91 273 77 37 </t>
  </si>
  <si>
    <t xml:space="preserve">Rasm yo`q 99 964 23 03 </t>
  </si>
  <si>
    <t xml:space="preserve">beruniy Birlik maxalla 99 114 24 51 </t>
  </si>
  <si>
    <t>ATADJANOV MAKSUDBEK IKRAMOVICH</t>
  </si>
  <si>
    <t xml:space="preserve">To`pchi 97 457 21 87 </t>
  </si>
  <si>
    <t>IBODULLAYEV SHUHRAT RAMATOVICH</t>
  </si>
  <si>
    <t xml:space="preserve">To`pchi 99 734 83 14 </t>
  </si>
  <si>
    <t>SAFARBOYEV MUHIDDIN SOBIROVICH</t>
  </si>
  <si>
    <t xml:space="preserve">To`pchi 97 516 03 20 </t>
  </si>
  <si>
    <t>SOBIROVA IQBOLXON SODIQJON QIZI</t>
  </si>
  <si>
    <t xml:space="preserve">MASHARIPOV MIRZOBEK AZIMBAYEVICH </t>
  </si>
  <si>
    <t>Soxibkor muzlatkich 90 725 0002</t>
  </si>
  <si>
    <t>06,07,2023</t>
  </si>
  <si>
    <t>JUMANIYAZOVA HILOLA XO‘JANIYAZOVNA</t>
  </si>
  <si>
    <t>IBODULLAYEVA SO‘NAJON MAQSUD</t>
  </si>
  <si>
    <t xml:space="preserve">Tozabozor 97 512 09 01 </t>
  </si>
  <si>
    <t>KUCHKOROVA DILRABO</t>
  </si>
  <si>
    <t xml:space="preserve">To`pchi 88 512 79 78 </t>
  </si>
  <si>
    <t>ab4774117 12,01,1999</t>
  </si>
  <si>
    <t xml:space="preserve">To`pchi 77 031 11 93 </t>
  </si>
  <si>
    <t>YUSUPBAYEVA SALOMAT ( Xonyorova Oygul  )</t>
  </si>
  <si>
    <t xml:space="preserve">To`pchi 97 221 40 88 </t>
  </si>
  <si>
    <t xml:space="preserve">QO‘SHNAZAROVA DILAFRO‘Z TOJIBOYEVNA </t>
  </si>
  <si>
    <t xml:space="preserve">Rajabova Rema </t>
  </si>
  <si>
    <t xml:space="preserve">To`pchi 97 090 19 47 </t>
  </si>
  <si>
    <t>AB 4810487</t>
  </si>
  <si>
    <t>17,03,1999</t>
  </si>
  <si>
    <t>31703997100028</t>
  </si>
  <si>
    <t>AB 0907030</t>
  </si>
  <si>
    <t>01,01,1998</t>
  </si>
  <si>
    <t>40101987100078</t>
  </si>
  <si>
    <t xml:space="preserve">99 708 87 51 </t>
  </si>
  <si>
    <t>QURBANOVA SAYYORA QABULOVNA</t>
  </si>
  <si>
    <t xml:space="preserve">88 452 93 53 </t>
  </si>
  <si>
    <t>QUTLIMUROTOV QADAMBOY SAFARBOYEVICH</t>
  </si>
  <si>
    <t xml:space="preserve">Bog`iston 93 236 43 97 </t>
  </si>
  <si>
    <t>ZARIBOV DILSHODBEK RAMAT O‘G‘LI</t>
  </si>
  <si>
    <t xml:space="preserve">Тозабозор </t>
  </si>
  <si>
    <t>Тозабозор  88 518 02 07</t>
  </si>
  <si>
    <t>OTOJONOV HAMDAM RAJABBAYEVICH</t>
  </si>
  <si>
    <t xml:space="preserve">To`pchi 99 505 94 30 </t>
  </si>
  <si>
    <t xml:space="preserve">97 201 94 00  22 bo`lishi kerak  edi lekin 23 mln chiqaqan </t>
  </si>
  <si>
    <t>BOLTAYEV RASHIDBEK ABDULLA O‘G‘LI</t>
  </si>
  <si>
    <t xml:space="preserve">33 mln chuvalchang </t>
  </si>
  <si>
    <t>07,07,2023</t>
  </si>
  <si>
    <t>YARASHOV BOBURBEK NURALI</t>
  </si>
  <si>
    <t xml:space="preserve">Razzaqberdiyeva Shirin </t>
  </si>
  <si>
    <t>AMINOVA TANZILA ULUG‘BEKOVNA</t>
  </si>
  <si>
    <t xml:space="preserve">Nurlimaskan </t>
  </si>
  <si>
    <t xml:space="preserve">99 960 59 62 </t>
  </si>
  <si>
    <t>BEKCHANOVA NILUFAR GANJA QIZI</t>
  </si>
  <si>
    <t xml:space="preserve">50 004 81 61 </t>
  </si>
  <si>
    <t>Bog`zor resurs</t>
  </si>
  <si>
    <t xml:space="preserve">bankda </t>
  </si>
  <si>
    <t>Podshoboyev Xudayor Ollayorovich</t>
  </si>
  <si>
    <t xml:space="preserve">Qorabog </t>
  </si>
  <si>
    <t>HOMIDOVA FAROG‘AT DO‘STMURODOVNA</t>
  </si>
  <si>
    <t xml:space="preserve">Saraqand urgut </t>
  </si>
  <si>
    <t xml:space="preserve">97 896 21 22 </t>
  </si>
  <si>
    <t>AA3307858</t>
  </si>
  <si>
    <t>29,12,1996</t>
  </si>
  <si>
    <t>42912967100016</t>
  </si>
  <si>
    <t>99 096 09 27</t>
  </si>
  <si>
    <t>SALIMOVA SOXILA QAYUMJON QIZI</t>
  </si>
  <si>
    <t xml:space="preserve">Namangan </t>
  </si>
  <si>
    <t xml:space="preserve">94 072 23 83  Namangan </t>
  </si>
  <si>
    <t>08,07,2023</t>
  </si>
  <si>
    <t>KALANDAROV BOTIRBOY YULDOSHOVICH</t>
  </si>
  <si>
    <t>Qoshko'pir  974522255</t>
  </si>
  <si>
    <t>Qoshko'pir</t>
  </si>
  <si>
    <t xml:space="preserve">Matkarimova Maqsuda </t>
  </si>
  <si>
    <t xml:space="preserve">Mehnatguli 94 318 37 87 </t>
  </si>
  <si>
    <t xml:space="preserve">Matniyozova Dilnoza </t>
  </si>
  <si>
    <t xml:space="preserve">Bobojonova Munira </t>
  </si>
  <si>
    <t xml:space="preserve">77 036 61 01 </t>
  </si>
  <si>
    <t xml:space="preserve"> 10 mln berdi 10 mln  1 sentaybrga </t>
  </si>
  <si>
    <t>09,07,2023</t>
  </si>
  <si>
    <t xml:space="preserve">tez topish kerak </t>
  </si>
  <si>
    <t>SAIDMURATOV SIROJIDDIN FAYZULLA</t>
  </si>
  <si>
    <t xml:space="preserve">Qipchoq 97 510 82 69 </t>
  </si>
  <si>
    <t xml:space="preserve">Muzaffar og`a Xunarmand  99 347 17 63 </t>
  </si>
  <si>
    <t xml:space="preserve">tel olmadi soliq qarzi 700 ming </t>
  </si>
  <si>
    <t xml:space="preserve">arizasi yubardik </t>
  </si>
  <si>
    <t xml:space="preserve">700 soliq </t>
  </si>
  <si>
    <t>10,07,2023</t>
  </si>
  <si>
    <t>MASHARIPOVA SHAXODAT QADAMBAYEVNA</t>
  </si>
  <si>
    <t xml:space="preserve">O`zgarish 97 203 48 28 </t>
  </si>
  <si>
    <t xml:space="preserve">paroli aytishi kerak </t>
  </si>
  <si>
    <t xml:space="preserve"> 2,2 mln qarz </t>
  </si>
  <si>
    <t xml:space="preserve">kluchi bor ekan tashlab beradi </t>
  </si>
  <si>
    <t xml:space="preserve">Boshqa odamni otiga qiladi tez o`ziga chiqmidi </t>
  </si>
  <si>
    <t>215 soliq qarz</t>
  </si>
  <si>
    <t>ALIMOVA SALIYA ADAMBAYEVNA</t>
  </si>
  <si>
    <t xml:space="preserve">Qorazbog` 93 747 01 72 </t>
  </si>
  <si>
    <t>POLVANOV G‘ULOMJON</t>
  </si>
  <si>
    <t>Ustalar 886018786</t>
  </si>
  <si>
    <t>KARIMOVA SADOQAT G‘AFUROVNA</t>
  </si>
  <si>
    <t xml:space="preserve">Namuna 94 319 39 74 </t>
  </si>
  <si>
    <t>YUSUPOVA NIGORA ISMAILOVNA</t>
  </si>
  <si>
    <t>KUSHAKOVA GULSANAM NURULLAYEVNA</t>
  </si>
  <si>
    <t xml:space="preserve">Beruniy shoxrux </t>
  </si>
  <si>
    <t xml:space="preserve">32 mln rulli </t>
  </si>
  <si>
    <t>QURBANOV ISLOMBOY PO‘LATOVICH</t>
  </si>
  <si>
    <t xml:space="preserve">AA 4742828  06,07,1989 Kluch Nurbekda </t>
  </si>
  <si>
    <t xml:space="preserve">Navro`z  99 260 92 89 </t>
  </si>
  <si>
    <t xml:space="preserve">Shonazarov Jahongir </t>
  </si>
  <si>
    <t xml:space="preserve">475 ming soliq qarz </t>
  </si>
  <si>
    <t xml:space="preserve">900 ming soliq qarz </t>
  </si>
  <si>
    <t>QURBONOV G‘APPOR XASANOVICH</t>
  </si>
  <si>
    <t>11,07,2023</t>
  </si>
  <si>
    <t xml:space="preserve">Yangiariq 99 023 46 71  97 145 25 11 </t>
  </si>
  <si>
    <t xml:space="preserve">Yusupova Maftuna </t>
  </si>
  <si>
    <t xml:space="preserve">Odamboyeva Dilobar </t>
  </si>
  <si>
    <t>Ataxonova Ruxsora</t>
  </si>
  <si>
    <t xml:space="preserve">Raxmonov Abbosbek </t>
  </si>
  <si>
    <t>AC 1764364</t>
  </si>
  <si>
    <t>01,09,2001</t>
  </si>
  <si>
    <t>60109017100124</t>
  </si>
  <si>
    <t>AB 1284991</t>
  </si>
  <si>
    <t>02,11,1997</t>
  </si>
  <si>
    <t>30211977100041</t>
  </si>
  <si>
    <t xml:space="preserve">99 505 33 53 </t>
  </si>
  <si>
    <t>SAMANDAROVA SHAHNOZA RASULOVNA</t>
  </si>
  <si>
    <t>QURBONDURDIYEV PIRNAFAS JUMABOYEVICH</t>
  </si>
  <si>
    <t xml:space="preserve">Madaniyat 99 422 87 62 </t>
  </si>
  <si>
    <t xml:space="preserve">Saidova elmira </t>
  </si>
  <si>
    <t>BEKMETOVA SABOHAT QUVONDIQ QIZI</t>
  </si>
  <si>
    <t xml:space="preserve">Ko`nabirlashuv 99 015 55 88 </t>
  </si>
  <si>
    <t>ADAMBAYEVA GULSHANOY RUSTAMBOYEVNA</t>
  </si>
  <si>
    <t xml:space="preserve"> Bog`iston 93 139 50 61 </t>
  </si>
  <si>
    <t>ABDIKARIMOVA QIZLARGUL MATYAZOVNA</t>
  </si>
  <si>
    <t>Bog`iston 942399898</t>
  </si>
  <si>
    <t>USNATDINOV NIZAMATDIN SHAMSHATDINOVICH</t>
  </si>
  <si>
    <t xml:space="preserve">MadaniyaT </t>
  </si>
  <si>
    <t xml:space="preserve">Madaniyat 99 041 81 40 </t>
  </si>
  <si>
    <t xml:space="preserve">2 mln naqd pulni beradi </t>
  </si>
  <si>
    <t xml:space="preserve">Xamdam usta </t>
  </si>
  <si>
    <t xml:space="preserve">Rahimov Kamolbek </t>
  </si>
  <si>
    <t>AB 0541466</t>
  </si>
  <si>
    <t>01,08,1998</t>
  </si>
  <si>
    <t>30108987100041</t>
  </si>
  <si>
    <t xml:space="preserve">97 221 77 21 </t>
  </si>
  <si>
    <t>AB 0179729</t>
  </si>
  <si>
    <t>19,06,1997</t>
  </si>
  <si>
    <t>30806977100045</t>
  </si>
  <si>
    <t>AB 4552688</t>
  </si>
  <si>
    <t>18,07,1999</t>
  </si>
  <si>
    <t>41807997100011</t>
  </si>
  <si>
    <t xml:space="preserve">91 091 32 92 </t>
  </si>
  <si>
    <t>12,07,2023</t>
  </si>
  <si>
    <t>BEKTURDIYEV UMIDBEK SHOMURAT O‘G‘LI</t>
  </si>
  <si>
    <t xml:space="preserve">Ashxabod 99 242 38 09 </t>
  </si>
  <si>
    <t>KARIMOV ZOKIR EGAMOVICH</t>
  </si>
  <si>
    <t xml:space="preserve">Xonqa Nurafshon </t>
  </si>
  <si>
    <t xml:space="preserve">Xonqa 94 821 76 46 </t>
  </si>
  <si>
    <t>JUMABAYEVA GULNOZA SAFABAYEVNA (ABDURAXMANOV ERKIN RAJABOVICH)</t>
  </si>
  <si>
    <t>JABBAROV UMIDJON JABBAROVICH</t>
  </si>
  <si>
    <t>Gulzor</t>
  </si>
  <si>
    <t xml:space="preserve">Gulzor 93 466 42 77 </t>
  </si>
  <si>
    <t>ABDURAXMANOV ZOKIRJON ATAJANOVICH</t>
  </si>
  <si>
    <t>MASHARIPOVA ZUMRAD NURULLAYEVNA</t>
  </si>
  <si>
    <t xml:space="preserve">Ko`nabirlashuv 94 239 97 04 </t>
  </si>
  <si>
    <t>LATIPOV NURADDIN MADAMINOVICH</t>
  </si>
  <si>
    <t xml:space="preserve">Ashxobod 99 105 53 07 </t>
  </si>
  <si>
    <t>ATAJANOV KUPAL YULDASHOVICH</t>
  </si>
  <si>
    <t xml:space="preserve">Ashxobod 99 251 16 57 </t>
  </si>
  <si>
    <t xml:space="preserve">Mavlonov Bekzod </t>
  </si>
  <si>
    <t>13,07,2023</t>
  </si>
  <si>
    <t>AXMEDOV BEKZOD BAXTIYOR O‘G‘LI</t>
  </si>
  <si>
    <t xml:space="preserve">Ашхабод </t>
  </si>
  <si>
    <t xml:space="preserve"> Ашхабод     99 285 02 13</t>
  </si>
  <si>
    <t>TOXIROV MARDONBEK ULUG‘BEKOVICH</t>
  </si>
  <si>
    <t xml:space="preserve">Yangiariq 97 766 34 10 </t>
  </si>
  <si>
    <t>ABDULLAYEV SHONAZAR SHOMUROTOVICH</t>
  </si>
  <si>
    <t xml:space="preserve">Nurafshon 99 551 57 35 </t>
  </si>
  <si>
    <t xml:space="preserve">tez muammo </t>
  </si>
  <si>
    <t>AB 6338999</t>
  </si>
  <si>
    <t>18,03,1999</t>
  </si>
  <si>
    <t>41803997100026</t>
  </si>
  <si>
    <t xml:space="preserve"> 94 310 80 70 </t>
  </si>
  <si>
    <t>14,07,2023</t>
  </si>
  <si>
    <t>MADRIMOV ELYOR BAXODIROVICH</t>
  </si>
  <si>
    <t>Боғзор</t>
  </si>
  <si>
    <t>Боғзор 93 317 12 31</t>
  </si>
  <si>
    <t>IBRAGIMOV MAQSUD ISMAILOVICH</t>
  </si>
  <si>
    <t xml:space="preserve">Mehnatguli 93 126 38 77  94 747 06 20 </t>
  </si>
  <si>
    <t>RO‘ZMETOV TOHIR ALLABERGANOVICH</t>
  </si>
  <si>
    <t>MATNAZAROV XOSHIMJON MATYAQUBOVICH</t>
  </si>
  <si>
    <t>JUMANAZAROV FARHOD BOLTAYEVICH</t>
  </si>
  <si>
    <t xml:space="preserve">Ustalar 88 362 15 64 </t>
  </si>
  <si>
    <t xml:space="preserve">Bog`zor 88 601 52 53 </t>
  </si>
  <si>
    <t xml:space="preserve">Bog`zor 97 092 06 92 </t>
  </si>
  <si>
    <t>28q</t>
  </si>
  <si>
    <t>27q</t>
  </si>
  <si>
    <t>26q</t>
  </si>
  <si>
    <t>25q</t>
  </si>
  <si>
    <t xml:space="preserve">Ibragimov Jahongir </t>
  </si>
  <si>
    <t>AB 4198254  01,05,1984</t>
  </si>
  <si>
    <t>Ashxobod sho`ra 99 966 7381</t>
  </si>
  <si>
    <t>OQ OLTIN XUGO MOTORS</t>
  </si>
  <si>
    <t>BOG'OT ARMADA MOTORS</t>
  </si>
  <si>
    <t xml:space="preserve">Qadam uzun </t>
  </si>
  <si>
    <t>MAMATDURDIYEV OG‘ABEK TIRKASHBOY O‘G‘LI</t>
  </si>
  <si>
    <t>15,07,2023</t>
  </si>
  <si>
    <t xml:space="preserve">Qalajiqala 99 293 53 58   99 124 53 33 </t>
  </si>
  <si>
    <t xml:space="preserve">qaytardi </t>
  </si>
  <si>
    <t xml:space="preserve">Amad o`sha </t>
  </si>
  <si>
    <t>16,07,2023</t>
  </si>
  <si>
    <t xml:space="preserve">Kolya </t>
  </si>
  <si>
    <t xml:space="preserve">Yangiariq 97 452 57 54 </t>
  </si>
  <si>
    <t>YULDASHEVA MUNIRA MUROD QIZI</t>
  </si>
  <si>
    <t xml:space="preserve"> 99 951 71 51 </t>
  </si>
  <si>
    <t xml:space="preserve">Fermer g`ijdanov </t>
  </si>
  <si>
    <t xml:space="preserve">ratcho`t </t>
  </si>
  <si>
    <t>17,07,2023</t>
  </si>
  <si>
    <t xml:space="preserve">Ollaberganova Shukurjon Obod gazel </t>
  </si>
  <si>
    <t xml:space="preserve">90 578 19 85  99 424 67 88 </t>
  </si>
  <si>
    <t>XUDOYBERGANOV JO‘RABEK QO‘ZIBOYEVICH</t>
  </si>
  <si>
    <t>Gulshan 99 194 1085</t>
  </si>
  <si>
    <t>NURULLAYEVA NIGORA AXMEDOVNA</t>
  </si>
  <si>
    <t xml:space="preserve">Gulshan 99 701 10 56 </t>
  </si>
  <si>
    <t>XUDAKOV JALIL ALIMBAYEVICH</t>
  </si>
  <si>
    <t xml:space="preserve">Yangqadam 99 253 96 80 </t>
  </si>
  <si>
    <t>QULMETOV HAMDAM RO‘ZIBAYEVICH</t>
  </si>
  <si>
    <t xml:space="preserve">Bog`iston 93 065 41 80 </t>
  </si>
  <si>
    <t xml:space="preserve">Nurli maskan 33 640 87 88 Izzatni qarindoshi </t>
  </si>
  <si>
    <t xml:space="preserve">naqd berdi </t>
  </si>
  <si>
    <t>XUDAYBERGANOV NODIRBEK AMINBOY O‘G‘LI</t>
  </si>
  <si>
    <t xml:space="preserve">Ashxobod 99 434 99 20 </t>
  </si>
  <si>
    <t>BEKTURDIYEVA NIGORA QALANDAROVNA</t>
  </si>
  <si>
    <t xml:space="preserve">26 mln moto </t>
  </si>
  <si>
    <t>SOBIROV JAVLONBEK YUSUPBOYEVICH</t>
  </si>
  <si>
    <t>XO‘JANIYAZOVA MAFTUNA SHONAZAROVNA</t>
  </si>
  <si>
    <t xml:space="preserve">Gulshan 88 856 46 96 </t>
  </si>
  <si>
    <t xml:space="preserve">ABDULLAYEVA UMIDA MATNAZAROVNA </t>
  </si>
  <si>
    <t xml:space="preserve">17,07,2023  1 mln berildi </t>
  </si>
  <si>
    <t xml:space="preserve">Raximova Fazilat </t>
  </si>
  <si>
    <t>MATCHANOVA ZEBAXAN SHADURDIYEVNA</t>
  </si>
  <si>
    <t xml:space="preserve">saxovat </t>
  </si>
  <si>
    <t xml:space="preserve">Saxovat 97 856 26 66 </t>
  </si>
  <si>
    <t>Солик тури</t>
  </si>
  <si>
    <t xml:space="preserve">ali og`a ko`shko`pir </t>
  </si>
  <si>
    <t>яс</t>
  </si>
  <si>
    <t>к</t>
  </si>
  <si>
    <t>ккс</t>
  </si>
  <si>
    <t>18,07,2023</t>
  </si>
  <si>
    <t xml:space="preserve">Sarvar usta </t>
  </si>
  <si>
    <t>ABDALOV GANJABAY OLIMOVICH</t>
  </si>
  <si>
    <t xml:space="preserve">xonqa </t>
  </si>
  <si>
    <t xml:space="preserve">Quromboy </t>
  </si>
  <si>
    <t>XUSAINOV ASADBEK JO‘SHQIN O‘G‘LI</t>
  </si>
  <si>
    <t>JUMANIYAZOV DIYORBEK AXMEDJON O‘G‘LI</t>
  </si>
  <si>
    <t>ABDULLAEV DAULET MARAT ULI</t>
  </si>
  <si>
    <t>qara</t>
  </si>
  <si>
    <t xml:space="preserve">Jo`rabek 33 mln moto </t>
  </si>
  <si>
    <t>RAIMBERGANOV BEHZOD BAXODIR O‘G‘LI</t>
  </si>
  <si>
    <t xml:space="preserve">Nurli Xayot 93 542 52 66 </t>
  </si>
  <si>
    <t>Рестир</t>
  </si>
  <si>
    <t>KORZINKA HAUSE 777 MCHJ</t>
  </si>
  <si>
    <t>GARDEN MOTORS MCHJ</t>
  </si>
  <si>
    <t>GARDENS TRADE 101 MCHJ</t>
  </si>
  <si>
    <t>"GARDENS TRADE OFFICE" MCHJ</t>
  </si>
  <si>
    <t>GARDEN MARKET 111</t>
  </si>
  <si>
    <t>17,10,2023</t>
  </si>
  <si>
    <t>"OQ TEPA MOTORS" MCHJ</t>
  </si>
  <si>
    <t>20,10,2023</t>
  </si>
  <si>
    <t>SAIDJONOV QAHRAMON BEKTURDIYEVICH</t>
  </si>
  <si>
    <t>MAVLANOV XUDOYSHUKUR OLLAYOR O‘G‘LI</t>
  </si>
  <si>
    <t>Дата</t>
  </si>
  <si>
    <t>Махалла</t>
  </si>
  <si>
    <t>Директор</t>
  </si>
  <si>
    <t>G'alaba mahallasi</t>
  </si>
  <si>
    <t xml:space="preserve">SAIDJONOV QAHRAMON BEKTURDIYEVICH </t>
  </si>
  <si>
    <t>Bog'ot shaharchasi</t>
  </si>
  <si>
    <t xml:space="preserve">ORTIQOV SHOKIRBOY O‘KTAMBOYEVICH </t>
  </si>
  <si>
    <t xml:space="preserve"> Bo'ka mahallasi,</t>
  </si>
  <si>
    <t>ORTIQOV SHOKIRBOY O‘KTAMBOYEVICH</t>
  </si>
  <si>
    <t>SAIDJANOV BEHZOD SAIDNAZAROVICH</t>
  </si>
  <si>
    <t>Xunarmand mahallasi</t>
  </si>
  <si>
    <t xml:space="preserve"> Obod mahallasi</t>
  </si>
  <si>
    <t>Obod mahallasi</t>
  </si>
  <si>
    <t>Qulonqorabog' QFY</t>
  </si>
  <si>
    <t xml:space="preserve">BALTAYEV OZAD KOMILOVICH </t>
  </si>
  <si>
    <t>Oq Oltin mahallasi</t>
  </si>
  <si>
    <t>MAVLONOV RAHMATJON OLLAYOR O‘G‘LI</t>
  </si>
  <si>
    <t>Oktepa mahallasi</t>
  </si>
  <si>
    <t>Bozor mahallasi</t>
  </si>
  <si>
    <t>MAVLANOV XUDOYSHUKUR OLLAYOR O`G`LI</t>
  </si>
  <si>
    <t>"TITANIUM MOTORS" MCHJ</t>
  </si>
  <si>
    <t xml:space="preserve">VAISOV FURQAT FARHADOVICH </t>
  </si>
  <si>
    <t>Oq Oltin mahallasi,</t>
  </si>
  <si>
    <t>Каттий солик отказ</t>
  </si>
  <si>
    <t>SHEXMUROD 0112 MCHJ</t>
  </si>
  <si>
    <t>MAVLONOV RAHMATJON OLLAYOR O`G`LI</t>
  </si>
  <si>
    <t>"BEST MOTOTRANS" MCHJ</t>
  </si>
  <si>
    <t>"ARMADA EVRO MOTORS" MCHJ</t>
  </si>
  <si>
    <t>QALAJIQQALʻA</t>
  </si>
  <si>
    <t>NURLI MASKAN</t>
  </si>
  <si>
    <t>"ARMADA CAMFORT MOTORS" MCHJ</t>
  </si>
  <si>
    <t>АРБОБЛАР МФЙ</t>
  </si>
  <si>
    <t>под</t>
  </si>
  <si>
    <t>Баланс</t>
  </si>
  <si>
    <t>Ккс</t>
  </si>
  <si>
    <t>мол мулк</t>
  </si>
  <si>
    <t>Namuna mahallasi</t>
  </si>
  <si>
    <t>Bog'iston mahallasi</t>
  </si>
  <si>
    <t xml:space="preserve"> Bog'iston mahallasi</t>
  </si>
  <si>
    <t>To'pchi mahallasi</t>
  </si>
  <si>
    <t>камерал</t>
  </si>
  <si>
    <t>мол натижа</t>
  </si>
  <si>
    <t>тоза</t>
  </si>
  <si>
    <t>стат</t>
  </si>
  <si>
    <t>Мфо</t>
  </si>
  <si>
    <t>Камерал тушган</t>
  </si>
  <si>
    <t>клуч</t>
  </si>
  <si>
    <t>ARMADA MOTORS 999</t>
  </si>
  <si>
    <t>Ускуналар барча турдаги</t>
  </si>
  <si>
    <t>TRITON MEGA LUX</t>
  </si>
  <si>
    <t>"INNAVATSION YASHIL MAKON" MCHJ</t>
  </si>
  <si>
    <t>"SHEXMUROD 2022" MCHJ</t>
  </si>
  <si>
    <t>Бошқа мебеллар (барча турлари)</t>
  </si>
  <si>
    <t>09503018043000000</t>
  </si>
  <si>
    <t>Болалар учун ўйинчоқ тўплар</t>
  </si>
  <si>
    <t>Бошқа совутгичлар ветринний</t>
  </si>
  <si>
    <t>Маиший музлатгичлардан</t>
  </si>
  <si>
    <t>Ўтириш учун мўлжалланган</t>
  </si>
  <si>
    <t>Совутгичлар, музлатгичлар ва совутиш ёки музлатиш ускуналарининг қисмлари</t>
  </si>
  <si>
    <t>Стол (барча турдаги)</t>
  </si>
  <si>
    <t>Ётоқхона, меҳмонхона, офис, ошхона, дала ҳовли ва бошқа мебеллар тўплами (барча турдаги)</t>
  </si>
  <si>
    <t>Хамир аралаштиргич (барча турдаги)</t>
  </si>
  <si>
    <t>Нон пишириш печлари, шу жумладан қандолат маҳсулотлари (электр бўлмаган)</t>
  </si>
  <si>
    <t>Моноблок компютер</t>
  </si>
  <si>
    <t>Пайвандлаш учун ускуналар</t>
  </si>
  <si>
    <t>Домкратлар, транспор</t>
  </si>
  <si>
    <t xml:space="preserve">Металл айланмали станоклар </t>
  </si>
  <si>
    <t>тугатилди</t>
  </si>
  <si>
    <t>Attriaktsion</t>
  </si>
  <si>
    <t>Компьютер</t>
  </si>
  <si>
    <t>ijara shartnoma</t>
  </si>
  <si>
    <t>Ишлов бериш ускуналари (барча турдаги)</t>
  </si>
  <si>
    <t>Нон учун ёғоч лоток</t>
  </si>
  <si>
    <t>08461001005000000    2</t>
  </si>
  <si>
    <t>инкасса</t>
  </si>
  <si>
    <t>Аристон</t>
  </si>
  <si>
    <t>хат</t>
  </si>
  <si>
    <t>кир ювиш машинаси</t>
  </si>
  <si>
    <t>08467001001000000</t>
  </si>
  <si>
    <t>Cув тозалаш ускуна</t>
  </si>
  <si>
    <t>январ</t>
  </si>
  <si>
    <t xml:space="preserve">феврвл </t>
  </si>
  <si>
    <t xml:space="preserve">март </t>
  </si>
  <si>
    <t>апрел</t>
  </si>
  <si>
    <t>май</t>
  </si>
  <si>
    <t>июн</t>
  </si>
  <si>
    <t>июл</t>
  </si>
  <si>
    <t>август</t>
  </si>
  <si>
    <t>сентябр</t>
  </si>
  <si>
    <t>октябр</t>
  </si>
  <si>
    <t>ноябр</t>
  </si>
  <si>
    <t>декабр</t>
  </si>
  <si>
    <t>жами</t>
  </si>
  <si>
    <t>Расход</t>
  </si>
  <si>
    <t>Пресс, майдалагичлар</t>
  </si>
  <si>
    <t>Бетонлаш учун қолиплар</t>
  </si>
  <si>
    <t>Бетон-аралаштирувчи қурилма</t>
  </si>
  <si>
    <t>Фото апаратлар</t>
  </si>
  <si>
    <t>:Моноблок компютер</t>
  </si>
  <si>
    <t>Саноат текислаш дазмоли</t>
  </si>
  <si>
    <t>Поябзал ускунаси</t>
  </si>
  <si>
    <t xml:space="preserve">тегирмон </t>
  </si>
  <si>
    <t>прихот</t>
  </si>
  <si>
    <t>шишалар</t>
  </si>
  <si>
    <t>Баланс мотти</t>
  </si>
  <si>
    <t>Муаммо озод</t>
  </si>
  <si>
    <t>Анвар Бекчанов</t>
  </si>
  <si>
    <t>шарт</t>
  </si>
  <si>
    <t>Ўрама сим</t>
  </si>
  <si>
    <t>shermetov Maxsud Achilovich</t>
  </si>
  <si>
    <t>фойда</t>
  </si>
  <si>
    <t>Куйош панел</t>
  </si>
  <si>
    <t>Shermetov Maxsud Achilovich</t>
  </si>
  <si>
    <t>"SAIDNAZAR-SHAXZODBEK" XK</t>
  </si>
  <si>
    <t xml:space="preserve"> Saidjanov Shoxzodbek Saidnazarovich </t>
  </si>
  <si>
    <t xml:space="preserve">Mavlonov Rahmatjon Ollayor o'g'li </t>
  </si>
  <si>
    <t xml:space="preserve">Нон қолиплари </t>
  </si>
  <si>
    <t>Баланс мото</t>
  </si>
  <si>
    <t>куш</t>
  </si>
  <si>
    <t>Сотилди</t>
  </si>
  <si>
    <t>Фирма номлари</t>
  </si>
  <si>
    <t>PROFI NEX</t>
  </si>
  <si>
    <t>KARIMOV UMIRBEK</t>
  </si>
  <si>
    <t>BARAKA TEXNO DUNYO 777</t>
  </si>
  <si>
    <t>MOVLANOV XUDASHUKUR</t>
  </si>
  <si>
    <t>Сув</t>
  </si>
  <si>
    <t>"ENERGIYA PANEL</t>
  </si>
  <si>
    <t>Cчет</t>
  </si>
  <si>
    <t>20208000205716767001</t>
  </si>
  <si>
    <t>20208000204987861001</t>
  </si>
  <si>
    <t>20208000900863059001</t>
  </si>
  <si>
    <t>20208000605157236001</t>
  </si>
  <si>
    <t>20208000505258701001</t>
  </si>
  <si>
    <t>20208000305528834001</t>
  </si>
  <si>
    <t>20208000605581989001</t>
  </si>
  <si>
    <t>20208000905592951001</t>
  </si>
  <si>
    <t>20208000105587264001</t>
  </si>
  <si>
    <t>20208000805587208001</t>
  </si>
  <si>
    <t>20208000905598744001</t>
  </si>
  <si>
    <t>20208000105606343001</t>
  </si>
  <si>
    <t>20208000305618798001</t>
  </si>
  <si>
    <t>20208000205628942001</t>
  </si>
  <si>
    <t>20208000205672005001</t>
  </si>
  <si>
    <t>20208000905705033001</t>
  </si>
  <si>
    <t>20208000305705032001</t>
  </si>
  <si>
    <t>20208000905705496001</t>
  </si>
  <si>
    <t>20208000605705503001</t>
  </si>
  <si>
    <t>20208000505706639001</t>
  </si>
  <si>
    <t>20208000105707642001</t>
  </si>
  <si>
    <t>20208000605716207001</t>
  </si>
  <si>
    <t>20208000905719578001</t>
  </si>
  <si>
    <t>20208000207185396001</t>
  </si>
  <si>
    <t>20208000107189367001</t>
  </si>
  <si>
    <t>20208000107193587001</t>
  </si>
  <si>
    <t>TEXHNO NEX</t>
  </si>
  <si>
    <t>"TEXNO SPECIAL SERVIS</t>
  </si>
  <si>
    <t>20208000207194497001</t>
  </si>
  <si>
    <t>20208000107194156001</t>
  </si>
  <si>
    <t>"OQ OLTIN BIZNES TADBIRKOR</t>
  </si>
  <si>
    <t>20208000</t>
  </si>
  <si>
    <t>SAIDJOVOVA SABOXAT</t>
  </si>
  <si>
    <t>SEVEN TEXNO MAX</t>
  </si>
  <si>
    <t>20208000207195864001</t>
  </si>
  <si>
    <t>там шарт</t>
  </si>
  <si>
    <t>MEDIUM SALE</t>
  </si>
  <si>
    <t>LIVESTOCK OF CATTLE</t>
  </si>
  <si>
    <t>20208000907199226001</t>
  </si>
  <si>
    <t>20208000407199224001</t>
  </si>
  <si>
    <t>RO`ZMATOV SHAHZODBEK ANVARBEK O`G`LI</t>
  </si>
  <si>
    <t>измен факт</t>
  </si>
  <si>
    <t>CONSTRUQTION CAPITAL TRADE</t>
  </si>
  <si>
    <t>20208000007209411001</t>
  </si>
  <si>
    <t>Гўшт майдалагич</t>
  </si>
  <si>
    <t>TECHNICAL ACTIVE SERVICE</t>
  </si>
  <si>
    <t>CENTRAL CONSTRUCTION WORLD</t>
  </si>
  <si>
    <t>Тирик буқалар</t>
  </si>
  <si>
    <t>STRATTON INVEST TEX</t>
  </si>
  <si>
    <t>20208000307217253001</t>
  </si>
  <si>
    <t>20208000907214484001</t>
  </si>
  <si>
    <t>сотилди</t>
  </si>
  <si>
    <t>NEW BRIGHT CAPITAL</t>
  </si>
  <si>
    <t>NEW SEASON INVEST</t>
  </si>
  <si>
    <t>EXPENSIV BIZNES</t>
  </si>
  <si>
    <t>микрбанк</t>
  </si>
  <si>
    <t>халкбанк</t>
  </si>
  <si>
    <t>Бола пули</t>
  </si>
  <si>
    <t>WHITE GOLD PANEL</t>
  </si>
  <si>
    <t>YANGI TIJORAT</t>
  </si>
  <si>
    <t>20208000907231033001</t>
  </si>
  <si>
    <t>GREEN ECO PANEL</t>
  </si>
  <si>
    <t>20208000607236078001</t>
  </si>
  <si>
    <t>BIO CHORVA</t>
  </si>
  <si>
    <t>20208000707236679001</t>
  </si>
  <si>
    <t>EASTBRIDGE COMMERCE</t>
  </si>
  <si>
    <t>смарт</t>
  </si>
  <si>
    <t>202080000</t>
  </si>
  <si>
    <t>Тирик сигирлар</t>
  </si>
  <si>
    <t>14,05,2025</t>
  </si>
  <si>
    <t>SMART PANEL</t>
  </si>
  <si>
    <t>INTERNATSIONAL TOMORQA</t>
  </si>
  <si>
    <t>Гулом ога микра</t>
  </si>
  <si>
    <t>Ахмед ога бух</t>
  </si>
  <si>
    <t>Бух</t>
  </si>
  <si>
    <t>Куёш панел</t>
  </si>
  <si>
    <t>EKO ZIYO PANEL</t>
  </si>
  <si>
    <t>кв</t>
  </si>
  <si>
    <t>кв сумма</t>
  </si>
  <si>
    <t>EKO AGRO FERMA  MCHJ</t>
  </si>
  <si>
    <t>TIJORAT NEXT</t>
  </si>
  <si>
    <t>20208000207251686001</t>
  </si>
  <si>
    <t>312097695</t>
  </si>
  <si>
    <t>чорва</t>
  </si>
  <si>
    <t>FLEX SERVICES</t>
  </si>
  <si>
    <t>EXPENSIV CAPITAL</t>
  </si>
  <si>
    <t>OQTEPA SERVIC  MCHJ</t>
  </si>
  <si>
    <t>Гулом ога мкб</t>
  </si>
  <si>
    <t>Бехзод ога Миллий банк</t>
  </si>
  <si>
    <t xml:space="preserve">иш хакки подохот </t>
  </si>
  <si>
    <t>Той</t>
  </si>
  <si>
    <t>Нозима апкам</t>
  </si>
  <si>
    <t>SAIDJANOVA SABOXAT SAIDNAZAROVNA</t>
  </si>
  <si>
    <t>INNOVATIONS STYL</t>
  </si>
  <si>
    <t>YANGIARIQ ECO CHORVA FARMIX</t>
  </si>
  <si>
    <t>SOLAX POWER HEAT</t>
  </si>
  <si>
    <t>сумма</t>
  </si>
  <si>
    <t>Karimov Umrbek Shakirovich</t>
  </si>
  <si>
    <t>TECH NEST 777</t>
  </si>
  <si>
    <t>сотувда</t>
  </si>
  <si>
    <t>инкс</t>
  </si>
  <si>
    <t xml:space="preserve">MAVLANOV XUDOYSHUKUR </t>
  </si>
  <si>
    <t>гитти</t>
  </si>
  <si>
    <t>Кийимлар комплекти (икки ёки кўп кийимлардан ташкил топган)</t>
  </si>
  <si>
    <t>сана</t>
  </si>
  <si>
    <t>TECHNICAL GROUP LINE</t>
  </si>
  <si>
    <t>KARIMOV UMRBEK</t>
  </si>
  <si>
    <t>Кредит олувчи</t>
  </si>
  <si>
    <t>шартнома болган корхона</t>
  </si>
  <si>
    <t>махалла</t>
  </si>
  <si>
    <t>TECH NEST 777 MCHJ</t>
  </si>
  <si>
    <t>XO'JABAYEVA ZAMIRA SULTANBAYEVNA</t>
  </si>
  <si>
    <t>Илғор маҳалласи</t>
  </si>
  <si>
    <t xml:space="preserve">.                                                                                                                                                                                                                       </t>
  </si>
  <si>
    <t>YANGIARIQ ECO CHORVA FARMIX MCHJ</t>
  </si>
  <si>
    <t>ALLABERGANOVA ZOHIDA ADAMBOY QIZI</t>
  </si>
  <si>
    <t>Саҳоват МФЙ</t>
  </si>
  <si>
    <t>Кахрамон ога</t>
  </si>
  <si>
    <t>накдладим</t>
  </si>
  <si>
    <t>кирим</t>
  </si>
  <si>
    <t>Доллир</t>
  </si>
  <si>
    <t>ушатдим</t>
  </si>
  <si>
    <t>накд</t>
  </si>
  <si>
    <t>доллир</t>
  </si>
  <si>
    <t>картадан накд</t>
  </si>
  <si>
    <t>22,07,2025</t>
  </si>
  <si>
    <t>23,07,2025</t>
  </si>
  <si>
    <t>Кирим</t>
  </si>
  <si>
    <t>Чиким</t>
  </si>
  <si>
    <t>Кредит Чиким</t>
  </si>
  <si>
    <t>Кунлик Чиким</t>
  </si>
  <si>
    <t>Колдик</t>
  </si>
  <si>
    <t>Пластик</t>
  </si>
  <si>
    <t>Накд</t>
  </si>
  <si>
    <t>Доллар</t>
  </si>
  <si>
    <t>M816TECH   600974</t>
  </si>
  <si>
    <t>M01851</t>
  </si>
  <si>
    <t>MO1854</t>
  </si>
  <si>
    <t>MO1905</t>
  </si>
  <si>
    <t>M01853</t>
  </si>
  <si>
    <t>M01928</t>
  </si>
  <si>
    <t>M02024</t>
  </si>
  <si>
    <t>M02023</t>
  </si>
  <si>
    <t>XБ шокир ога</t>
  </si>
  <si>
    <t>MCHJ EKOLOGIK MARKET</t>
  </si>
  <si>
    <t>AMINOV MUXAMMAD QURAMBOY O‘G‘LI</t>
  </si>
  <si>
    <t>M816Technical  600976</t>
  </si>
  <si>
    <t>YANGIARIQ RANCHO</t>
  </si>
  <si>
    <t>шокир ога</t>
  </si>
  <si>
    <t>M816Tijorat 600969</t>
  </si>
  <si>
    <t xml:space="preserve">ECO DEYE TRADE           </t>
  </si>
  <si>
    <t xml:space="preserve">INNOVATSION TIJORAT   </t>
  </si>
  <si>
    <t>EXPENSIV ACTIVE SERVICE</t>
  </si>
  <si>
    <t xml:space="preserve"> Халк банк там шарт</t>
  </si>
  <si>
    <t>Шит</t>
  </si>
  <si>
    <t>газ</t>
  </si>
  <si>
    <t>Пахтаобод хё</t>
  </si>
  <si>
    <t>Шохрух</t>
  </si>
  <si>
    <t>Элдор</t>
  </si>
  <si>
    <t>Фура</t>
  </si>
  <si>
    <t>Богот Агро касаба уюшма</t>
  </si>
  <si>
    <t>Тушган сана</t>
  </si>
  <si>
    <t>Берилган сана</t>
  </si>
  <si>
    <t>ЯТТ Отабоева Зилола</t>
  </si>
  <si>
    <t>Оллаберганова Зохида</t>
  </si>
  <si>
    <t>Хажиева Замира</t>
  </si>
  <si>
    <t>ПК</t>
  </si>
  <si>
    <t>Юсупов Маркс</t>
  </si>
  <si>
    <t>Камолов Мансур</t>
  </si>
  <si>
    <t>Авезова Гулмира</t>
  </si>
  <si>
    <t>Машарипова Маргуба</t>
  </si>
  <si>
    <t>Худайберганов Алишер</t>
  </si>
  <si>
    <t>Каландарова машхура</t>
  </si>
  <si>
    <t>Хужаков Ахмед</t>
  </si>
  <si>
    <t>Курязов Бахтиёр</t>
  </si>
  <si>
    <t>Янгиарик Огахий Сервис</t>
  </si>
  <si>
    <t>Норбоев Комилжон</t>
  </si>
  <si>
    <t>Авезов Шерзод</t>
  </si>
  <si>
    <t>Гулмирзаева марифат</t>
  </si>
  <si>
    <t>омонова Хуршида</t>
  </si>
  <si>
    <t>машарипова Райхона</t>
  </si>
  <si>
    <t>машарипова Фарида</t>
  </si>
  <si>
    <t>Матякубова Рано</t>
  </si>
  <si>
    <t>Сотимова Замира</t>
  </si>
  <si>
    <t>Убиниязова Венера</t>
  </si>
  <si>
    <t>Давлетова Замира</t>
  </si>
  <si>
    <t>Раис бобо чорваси</t>
  </si>
  <si>
    <t>Илхом</t>
  </si>
  <si>
    <t>фарогат</t>
  </si>
  <si>
    <t>сув</t>
  </si>
  <si>
    <t>Курязов Рустам</t>
  </si>
  <si>
    <t>Бест обод томорка мчж</t>
  </si>
  <si>
    <t>Артикова Юлдуз</t>
  </si>
  <si>
    <t>Холбекова Муборак</t>
  </si>
  <si>
    <t>Нобоева Максуда</t>
  </si>
  <si>
    <t>Жавлон кассоб</t>
  </si>
  <si>
    <t>Худайназаров Машарип</t>
  </si>
  <si>
    <t>Рузметов Донёр</t>
  </si>
  <si>
    <t>Сувчи</t>
  </si>
  <si>
    <t>Жетоур логистик</t>
  </si>
  <si>
    <t>Маликабону Зулайхо</t>
  </si>
  <si>
    <t>Абдуллаева Фарогат</t>
  </si>
  <si>
    <t>Лутфилла</t>
  </si>
  <si>
    <t>Гулзода Балик</t>
  </si>
  <si>
    <t>Шакар</t>
  </si>
  <si>
    <t>доллар</t>
  </si>
  <si>
    <t>Узб черноблчи</t>
  </si>
  <si>
    <t>Ширин конгрот</t>
  </si>
  <si>
    <t>Озод</t>
  </si>
  <si>
    <t>Хумоюн</t>
  </si>
  <si>
    <t>Жумабоев Вали</t>
  </si>
  <si>
    <t>Каха брат</t>
  </si>
  <si>
    <t>Жуамниёзова Хуршида</t>
  </si>
  <si>
    <t>Сапаров Алижон</t>
  </si>
  <si>
    <t>Истиклол Прожет</t>
  </si>
  <si>
    <t>Айтмурат Хайтбоевич</t>
  </si>
  <si>
    <t>Абдуллаева Озода</t>
  </si>
  <si>
    <t>Исломова Нуржон</t>
  </si>
  <si>
    <t>Умаров Умрбек</t>
  </si>
  <si>
    <t>Ражабова Шакаржон</t>
  </si>
  <si>
    <t>Албина Байрам</t>
  </si>
  <si>
    <t>Жетоур Логистик</t>
  </si>
  <si>
    <t>Фурачи карз</t>
  </si>
  <si>
    <t>Накд карта</t>
  </si>
  <si>
    <t>Абдукариова Саодат</t>
  </si>
  <si>
    <t>Рустамов Ражаб</t>
  </si>
  <si>
    <t>Жумамуратов Баходир</t>
  </si>
  <si>
    <t>Садуллаев Жахонгир мотти олган</t>
  </si>
  <si>
    <t>Кодиров Навруз</t>
  </si>
  <si>
    <t>Эшназаров Азим</t>
  </si>
  <si>
    <t>Абдукаримов отахон</t>
  </si>
  <si>
    <t>Газна Богот</t>
  </si>
  <si>
    <t>Соглом Авлод</t>
  </si>
  <si>
    <t>Мангит Урта кала</t>
  </si>
  <si>
    <t>Турдиева Дилафруз</t>
  </si>
  <si>
    <t>Аскаров Гофур</t>
  </si>
  <si>
    <t>Атов Куёш панел 111 млн</t>
  </si>
  <si>
    <t>Абдукаримов Отахон</t>
  </si>
  <si>
    <t>Худайназарова Гулчехра</t>
  </si>
  <si>
    <t>Алламов Рашид</t>
  </si>
  <si>
    <t>Жулдасбаева Шахноза</t>
  </si>
  <si>
    <t>Отабоева Динора</t>
  </si>
  <si>
    <t>Юлдашев Иззат</t>
  </si>
  <si>
    <t>Уктамбой Хуршида</t>
  </si>
  <si>
    <t>Юлдош Жиян</t>
  </si>
  <si>
    <t>Рахманов Достон</t>
  </si>
  <si>
    <t>Мангит урта хол чорва</t>
  </si>
  <si>
    <t>Мадримов Хамдам ятт</t>
  </si>
  <si>
    <t>шакар</t>
  </si>
  <si>
    <t>Жуманиязов Мурот</t>
  </si>
  <si>
    <t>Бахт капитал</t>
  </si>
  <si>
    <t>рахимова Сабохат</t>
  </si>
  <si>
    <t>Атажанова Мехрибон</t>
  </si>
  <si>
    <t>Пластик накд</t>
  </si>
  <si>
    <t>Султанов Сарвар</t>
  </si>
  <si>
    <t>Сапаев Зохид</t>
  </si>
  <si>
    <t>Рузибоева Кувонч</t>
  </si>
  <si>
    <t>Турсунбоева Умида</t>
  </si>
  <si>
    <t>Аминов Мухаммад</t>
  </si>
  <si>
    <t>Матякубова Мафтуна</t>
  </si>
  <si>
    <t>Халк банк</t>
  </si>
  <si>
    <t>EXPENSIV TEXNO MAX  MCHJ</t>
  </si>
  <si>
    <t>Mob 2222</t>
  </si>
  <si>
    <t>Кунлик чиким</t>
  </si>
  <si>
    <t>Кредит расход</t>
  </si>
  <si>
    <t>Беко прихот</t>
  </si>
  <si>
    <t>Касса</t>
  </si>
  <si>
    <t>тайор</t>
  </si>
  <si>
    <t>Олим Доктир панел</t>
  </si>
  <si>
    <t>Каха бро</t>
  </si>
  <si>
    <t>Шох запчаст</t>
  </si>
  <si>
    <t>Каттий фирма</t>
  </si>
  <si>
    <t>Офис свет</t>
  </si>
  <si>
    <t>Элдор газ</t>
  </si>
  <si>
    <t>доллр</t>
  </si>
  <si>
    <t>Шокир ога сув</t>
  </si>
  <si>
    <t>Лабо гас</t>
  </si>
  <si>
    <t>Шокир огам</t>
  </si>
  <si>
    <t>Жумми ана кредит</t>
  </si>
  <si>
    <t>Сардор Ипотека</t>
  </si>
  <si>
    <t xml:space="preserve">Шахзод  </t>
  </si>
  <si>
    <t>Ят Мадримов Хамза</t>
  </si>
  <si>
    <t>Алламова Шахло Бехзод гурлан</t>
  </si>
  <si>
    <t>доллр $</t>
  </si>
  <si>
    <t>Жами расход</t>
  </si>
  <si>
    <t>$</t>
  </si>
  <si>
    <t>Шокир ога</t>
  </si>
  <si>
    <t>Хоким Бува</t>
  </si>
  <si>
    <t>$4000</t>
  </si>
  <si>
    <t>Беко</t>
  </si>
  <si>
    <t>Кутлимуратов фарход</t>
  </si>
  <si>
    <t xml:space="preserve">Xumoyun </t>
  </si>
  <si>
    <t>Абдуллаева Гулноза</t>
  </si>
  <si>
    <t>Ислаиов Анварбек</t>
  </si>
  <si>
    <t>Музаффар ога Зайниддинов</t>
  </si>
  <si>
    <t>Кирим накд</t>
  </si>
  <si>
    <t>Шох Сув</t>
  </si>
  <si>
    <t>Олимбоев Полвон</t>
  </si>
  <si>
    <t>Ибодуллаев Одилбек</t>
  </si>
  <si>
    <t>Азиз Х.Й</t>
  </si>
  <si>
    <t>Панел</t>
  </si>
  <si>
    <t>Лутфулла уста</t>
  </si>
  <si>
    <t>Шркир ога</t>
  </si>
  <si>
    <t>хуршида</t>
  </si>
  <si>
    <t>чиким</t>
  </si>
  <si>
    <t>сув 29,08,25</t>
  </si>
  <si>
    <t>Шох сув</t>
  </si>
  <si>
    <t>Каха бро барган</t>
  </si>
  <si>
    <t>Фозил агро</t>
  </si>
  <si>
    <t>TECHNICAL GROUP NEXT</t>
  </si>
  <si>
    <t>TEXNO CAPITAL GOLD</t>
  </si>
  <si>
    <t>PRO TECH MARKET</t>
  </si>
  <si>
    <t>ishu</t>
  </si>
  <si>
    <t>Анвар налог</t>
  </si>
  <si>
    <t>Шохрух газа</t>
  </si>
  <si>
    <t>Свнвт ога</t>
  </si>
  <si>
    <t>Гулсара Умирбек МЧЖ</t>
  </si>
  <si>
    <t>Матязова Ирода калажиккала</t>
  </si>
  <si>
    <t xml:space="preserve">Бехзод налог </t>
  </si>
  <si>
    <t>Халк Банк</t>
  </si>
  <si>
    <t>Хасанбой Хива</t>
  </si>
  <si>
    <t>Шокир ога шакар</t>
  </si>
  <si>
    <t>картадан накдланди</t>
  </si>
  <si>
    <t>Газа</t>
  </si>
  <si>
    <t>Гаи</t>
  </si>
  <si>
    <t>10.09.25 даги касса</t>
  </si>
  <si>
    <t>Бехзод гурлан П.К барилди</t>
  </si>
  <si>
    <r>
      <t xml:space="preserve">NISHONOV NURBEK XOLBOY  </t>
    </r>
    <r>
      <rPr>
        <sz val="11"/>
        <color indexed="10"/>
        <rFont val="Calibri"/>
        <family val="2"/>
        <charset val="204"/>
      </rPr>
      <t>Гурлан</t>
    </r>
  </si>
  <si>
    <t>Мот карз</t>
  </si>
  <si>
    <t>Ойбек йол</t>
  </si>
  <si>
    <t>Нахтланди</t>
  </si>
  <si>
    <t>кредит расход</t>
  </si>
  <si>
    <t>Карта ПК</t>
  </si>
  <si>
    <t>Остатка 10.09.25</t>
  </si>
  <si>
    <t>Остатка ПК</t>
  </si>
  <si>
    <t>лабо Гас</t>
  </si>
  <si>
    <t>Лутфулла уста  Электрот</t>
  </si>
  <si>
    <t>Ражабова Сожида</t>
  </si>
  <si>
    <t>Матрасулова Зумрад Хазарис</t>
  </si>
  <si>
    <t>ЯТТ Гоипов Эргаш</t>
  </si>
  <si>
    <t>Файзуллаева Гулназа Уразмат</t>
  </si>
  <si>
    <t>П.к</t>
  </si>
  <si>
    <t>Остатка 11.09.2025</t>
  </si>
  <si>
    <t>Руслан ога</t>
  </si>
  <si>
    <t>Кахрамон Ога</t>
  </si>
  <si>
    <t>XUDOYBERDIYEVA DILNOZA FURKATOVNA</t>
  </si>
  <si>
    <t>Ятт Гоиров Эргаш</t>
  </si>
  <si>
    <t>Умаров сарвар Гурлан</t>
  </si>
  <si>
    <t>Яшнар уста</t>
  </si>
  <si>
    <t>Руслан ога гас</t>
  </si>
  <si>
    <t>Остатка 12.09.2025</t>
  </si>
  <si>
    <t>Жетиозен Логистик МЧЖ</t>
  </si>
  <si>
    <t>кирим П.К</t>
  </si>
  <si>
    <t>чиким П.К</t>
  </si>
  <si>
    <t>Тугатилган</t>
  </si>
  <si>
    <t>ishu бардим</t>
  </si>
  <si>
    <t>Топчи Фруит МЧЖ Панел</t>
  </si>
  <si>
    <t>Зафар налог акаси</t>
  </si>
  <si>
    <t xml:space="preserve">Кутлимуратов Фарход Панел </t>
  </si>
  <si>
    <t>Лутфулла Уста</t>
  </si>
  <si>
    <t>Бахт Капитал МЧЖ карвуч</t>
  </si>
  <si>
    <t>Яшнар Уста</t>
  </si>
  <si>
    <t xml:space="preserve">Кахрамон ога </t>
  </si>
  <si>
    <t>Худайберганова Дилноза</t>
  </si>
  <si>
    <t>Остатка 13.09.2025</t>
  </si>
  <si>
    <t>Янгибоев Хурсандбек</t>
  </si>
  <si>
    <t xml:space="preserve">Элдор </t>
  </si>
  <si>
    <t>Накдладим</t>
  </si>
  <si>
    <t>Смарт</t>
  </si>
  <si>
    <t>Матякубова Мафтуна панел</t>
  </si>
  <si>
    <t>Тош тахи инвертор 40</t>
  </si>
  <si>
    <t>кирим П.К 15,09,25</t>
  </si>
  <si>
    <t>Кредит тулов</t>
  </si>
  <si>
    <t>Худашкур ишчи</t>
  </si>
  <si>
    <t>Шомуротова Саида Мангит</t>
  </si>
  <si>
    <t>Жаксиликова Илмира</t>
  </si>
  <si>
    <t>Тинбекова Илмира</t>
  </si>
  <si>
    <t>Файзулла уста 30кв матер</t>
  </si>
  <si>
    <t>Кабел сотилди 500м</t>
  </si>
  <si>
    <t>500 $</t>
  </si>
  <si>
    <t>Кабел расход здачи</t>
  </si>
  <si>
    <t>EXPRESS TEXNO SMART</t>
  </si>
  <si>
    <t>Уктамбой Хуршида МЧЖ</t>
  </si>
  <si>
    <t>кирим  П.К 16.09.2025</t>
  </si>
  <si>
    <t>Фирма ачилди</t>
  </si>
  <si>
    <t>Жавлон Гиждувон Шашликлари МЧЖ</t>
  </si>
  <si>
    <t>Хоким бува Хуррият</t>
  </si>
  <si>
    <t>Касса 18.09.2025</t>
  </si>
  <si>
    <t xml:space="preserve">Саттаров Хурсандбек Куранбой </t>
  </si>
  <si>
    <t xml:space="preserve">Аминов Анварбек Хурият </t>
  </si>
  <si>
    <t>Печат</t>
  </si>
  <si>
    <t>Маткаримова Угилжон Калажиккала</t>
  </si>
  <si>
    <t>Файзулла Уста</t>
  </si>
  <si>
    <t>Озод ога</t>
  </si>
  <si>
    <t>Аренда Офис</t>
  </si>
  <si>
    <t>Лутфулла Уста Хазарисп панел</t>
  </si>
  <si>
    <t>Бахреддин ога Траст банк Мот карз</t>
  </si>
  <si>
    <t>615 тай</t>
  </si>
  <si>
    <t>998 тай</t>
  </si>
  <si>
    <t>отказ фактура бор</t>
  </si>
  <si>
    <t>тайор 982</t>
  </si>
  <si>
    <t>Фауктура барилмаган 286</t>
  </si>
  <si>
    <t>Богот Стандарт</t>
  </si>
  <si>
    <t>22,07,2025 касса</t>
  </si>
  <si>
    <t xml:space="preserve">Гайрат ога </t>
  </si>
  <si>
    <t>Куранбой Х.Й</t>
  </si>
  <si>
    <t xml:space="preserve">Аллакулиева Осиё  Хонка  </t>
  </si>
  <si>
    <t>П.к Хумоюнан 2 млн олинди</t>
  </si>
  <si>
    <t>Матякубова Мадина Урганч</t>
  </si>
  <si>
    <t>Юсупова Мохира Хуррият</t>
  </si>
  <si>
    <t>Ботирова Шохсанам  Хуррият</t>
  </si>
  <si>
    <t xml:space="preserve">Янгиарик Озод </t>
  </si>
  <si>
    <t>Яшнар уста обши расчот</t>
  </si>
  <si>
    <t>Файзулла уста</t>
  </si>
  <si>
    <t>Лутфулла уста иш хакки</t>
  </si>
  <si>
    <t>Музаффар укаси дастон</t>
  </si>
  <si>
    <t xml:space="preserve">Худашкур </t>
  </si>
  <si>
    <t>Утган</t>
  </si>
  <si>
    <t>галди</t>
  </si>
  <si>
    <t xml:space="preserve">Бехзод </t>
  </si>
  <si>
    <t>Куёш панел материал сотилган шокир ога барди</t>
  </si>
  <si>
    <t>Богот маданият булими Илхом ога</t>
  </si>
  <si>
    <t>Фирма хивали</t>
  </si>
  <si>
    <t>Янгибоева Ойхумор Кораколпак</t>
  </si>
  <si>
    <t>Мангит Агроферма МЧЖ</t>
  </si>
  <si>
    <t>Бехзод ога</t>
  </si>
  <si>
    <t>Чикмаган сумма</t>
  </si>
  <si>
    <t>Касса  24.09.2025</t>
  </si>
  <si>
    <t>Адвокатлик Бюроси</t>
  </si>
  <si>
    <t>Максуд Х.Й</t>
  </si>
  <si>
    <t>Авазматов Дониёр Хонка куранбой</t>
  </si>
  <si>
    <t xml:space="preserve">Шокир ога </t>
  </si>
  <si>
    <t>утди</t>
  </si>
  <si>
    <t>печат</t>
  </si>
  <si>
    <t>Бобожанов Бунёд</t>
  </si>
  <si>
    <t>Шохрух офис расход принтер</t>
  </si>
  <si>
    <t>Саидов Саидбой</t>
  </si>
  <si>
    <t>ЯТТ султанова Гулчира</t>
  </si>
  <si>
    <t>Санат уста</t>
  </si>
  <si>
    <t>Нуруллаева Адолат</t>
  </si>
  <si>
    <t>25,09,25 касса</t>
  </si>
  <si>
    <t>26.09.25 Касса</t>
  </si>
  <si>
    <t>Аренда янгиарик</t>
  </si>
  <si>
    <t>Профил шафйор</t>
  </si>
  <si>
    <t>Санат ога Уста</t>
  </si>
  <si>
    <t>Шакара утган</t>
  </si>
  <si>
    <t>Матчанов Машарип панел 10кв калажиккала</t>
  </si>
  <si>
    <t>Банк расход</t>
  </si>
  <si>
    <t>Хива Хасанбой</t>
  </si>
  <si>
    <t>GREEN WORLD CENTER</t>
  </si>
  <si>
    <t>MUNISA SULTANOVA</t>
  </si>
  <si>
    <t>долди</t>
  </si>
  <si>
    <t>SMART TEX CAPITAL</t>
  </si>
  <si>
    <t>Утди</t>
  </si>
  <si>
    <t>Хумоюн Дукон</t>
  </si>
  <si>
    <t>Cаховат Х.Й</t>
  </si>
  <si>
    <t>06.10.25 касса</t>
  </si>
  <si>
    <t>Машарипов Ойбек Ашхобод МФЙ</t>
  </si>
  <si>
    <t xml:space="preserve">Зафар налогни акаси </t>
  </si>
  <si>
    <t>Авезов Султон</t>
  </si>
  <si>
    <t>Шавкат банги</t>
  </si>
  <si>
    <t>Аскар Хазорасп АЛП</t>
  </si>
  <si>
    <t>Руслан газ</t>
  </si>
  <si>
    <t>Кахрамон газ</t>
  </si>
  <si>
    <t>Нурбек Азизбек фх</t>
  </si>
  <si>
    <t>Муротжон Х.Й</t>
  </si>
  <si>
    <t>Санат уста фермер 25 млн одамлар расчет</t>
  </si>
  <si>
    <t>Агробанк Мачит эхсон</t>
  </si>
  <si>
    <t>Отабоев Валижон Хазорасп</t>
  </si>
  <si>
    <t>Матниёзова Сожида Узбекистон</t>
  </si>
  <si>
    <t>Махмудова Мунира Узбекистон</t>
  </si>
  <si>
    <t>Худайберганов Иброхим Узбекистон</t>
  </si>
  <si>
    <t>Озодова Гулноза Хонка</t>
  </si>
  <si>
    <t>Бехзод ога Уй</t>
  </si>
  <si>
    <t>EXPRESS TEXNO 777</t>
  </si>
  <si>
    <t>Куёш панел янгиарик Шокир ога</t>
  </si>
  <si>
    <t>07.10.2025 Касса</t>
  </si>
  <si>
    <t>Карта</t>
  </si>
  <si>
    <t>07.10.25 касса</t>
  </si>
  <si>
    <t>Самрт</t>
  </si>
  <si>
    <t>Бердиев Элйорбек Янги кадам</t>
  </si>
  <si>
    <t>Худайеназарова Шахло Коракалпок</t>
  </si>
  <si>
    <t>HAZORASP ECO CHORVA</t>
  </si>
  <si>
    <t xml:space="preserve">Шохрух </t>
  </si>
  <si>
    <t>Ятт Уринбоев Самад</t>
  </si>
  <si>
    <t>Бехзод ога уй</t>
  </si>
  <si>
    <t>Озод ога иш хакки</t>
  </si>
  <si>
    <t>Руслан</t>
  </si>
  <si>
    <t>Куранбоев Умидбек Хонка</t>
  </si>
  <si>
    <t>Мафтуна Бибинур МЧЖ</t>
  </si>
  <si>
    <t>Куранбой ога Х.Й</t>
  </si>
  <si>
    <t>Нурметова Мукаддас</t>
  </si>
  <si>
    <t>Шохрух  доллр</t>
  </si>
  <si>
    <t>Олтинкум Х.Й</t>
  </si>
  <si>
    <t>Шохрух долирдан кайтди</t>
  </si>
  <si>
    <t>Пк</t>
  </si>
  <si>
    <t>Фирма</t>
  </si>
  <si>
    <t>08.10.2025 касса</t>
  </si>
  <si>
    <t>08.10.2025 касса Пк</t>
  </si>
  <si>
    <t xml:space="preserve">Омонова Барно </t>
  </si>
  <si>
    <t>Али ога Х.Й</t>
  </si>
  <si>
    <t>Шерзод Бух</t>
  </si>
  <si>
    <t>Садуллаев Умар</t>
  </si>
  <si>
    <t>Мадрахимова Ойжамол</t>
  </si>
  <si>
    <t>Машарипов Низомаддин</t>
  </si>
  <si>
    <t>Кахрамон</t>
  </si>
  <si>
    <t>Давлатов Бахтиёр</t>
  </si>
  <si>
    <t>Яшнар ога Уста</t>
  </si>
  <si>
    <t>Хамид ога Микра</t>
  </si>
  <si>
    <t>Тохир Пайпок</t>
  </si>
  <si>
    <t>1000$</t>
  </si>
  <si>
    <t>Эгамбердиева Нигора</t>
  </si>
  <si>
    <t>Рахим чуммак скутер расчёт</t>
  </si>
  <si>
    <t xml:space="preserve">Охрана </t>
  </si>
  <si>
    <t>Шокир здания фасад</t>
  </si>
  <si>
    <t>Уйдан</t>
  </si>
  <si>
    <t>Остатка 10.10</t>
  </si>
  <si>
    <t>Толгинов Хурмат Хонка</t>
  </si>
  <si>
    <t>Бахт Капитал</t>
  </si>
  <si>
    <t>Нукус 10кв яшнар</t>
  </si>
  <si>
    <t>Бободдинов Обод шора</t>
  </si>
  <si>
    <t xml:space="preserve">Тупчи 10кв </t>
  </si>
  <si>
    <t>Шохрух газ</t>
  </si>
  <si>
    <t>Яшнар</t>
  </si>
  <si>
    <t>Яшнар Уста нукус иш хакки</t>
  </si>
  <si>
    <t xml:space="preserve">Краска </t>
  </si>
  <si>
    <t>10.10.2025 касса</t>
  </si>
  <si>
    <t>Собиров Бехзод Найман</t>
  </si>
  <si>
    <t xml:space="preserve">Озод ога Нукус Панел пули </t>
  </si>
  <si>
    <t>Миша стат П.к</t>
  </si>
  <si>
    <t>Руслан ога Абеда</t>
  </si>
  <si>
    <t>Умирбек ога</t>
  </si>
  <si>
    <t>400$</t>
  </si>
  <si>
    <t>Садуллайева Махфуза  хонка</t>
  </si>
  <si>
    <t>Йолдашева Манзура Караколпок</t>
  </si>
  <si>
    <t xml:space="preserve"> барилди 600$</t>
  </si>
  <si>
    <t>Касса 11.10.2025</t>
  </si>
  <si>
    <t xml:space="preserve">Лутфулла ога Беруний панел </t>
  </si>
  <si>
    <t>Руслан ога газ</t>
  </si>
  <si>
    <t>Худашкур</t>
  </si>
  <si>
    <t>Х.Б</t>
  </si>
  <si>
    <t>13.10.2025 Касса</t>
  </si>
  <si>
    <t xml:space="preserve">Лутфулла ога </t>
  </si>
  <si>
    <t>Банк</t>
  </si>
  <si>
    <t>Панел хазарасп</t>
  </si>
  <si>
    <t>Калажиккала</t>
  </si>
  <si>
    <t>Салаева Гулхайо Хонка</t>
  </si>
  <si>
    <t xml:space="preserve">Нурметов Фарход </t>
  </si>
  <si>
    <t xml:space="preserve">Панел </t>
  </si>
  <si>
    <t>Салоев Азимбой</t>
  </si>
  <si>
    <t>Шомуратова Гулзода</t>
  </si>
  <si>
    <t>Матякубов Пулот</t>
  </si>
  <si>
    <t>Барчин Дехкон Ф.Х</t>
  </si>
  <si>
    <t>Турсунбоев Илхом Караколпок</t>
  </si>
  <si>
    <t>Навбвхор Бахтийоровна</t>
  </si>
  <si>
    <t>Хонка хокимият</t>
  </si>
  <si>
    <t>Хажи бува аренда</t>
  </si>
  <si>
    <t>Матякубов Йолдош Богзор</t>
  </si>
  <si>
    <t>14.10.2025 Касса</t>
  </si>
  <si>
    <t>Ботир дойи панел</t>
  </si>
  <si>
    <t>Жуманиязов Жасур</t>
  </si>
  <si>
    <t>Рейис бува</t>
  </si>
  <si>
    <t>Шокир ога Тех</t>
  </si>
  <si>
    <t>Хумоюн дукон</t>
  </si>
  <si>
    <t>Рузибоев Бехзод хонка</t>
  </si>
  <si>
    <t xml:space="preserve">Юнус ога </t>
  </si>
  <si>
    <t>15.10.2025 касса</t>
  </si>
  <si>
    <t>INVEST HAUSE 777</t>
  </si>
  <si>
    <t xml:space="preserve">Куёш панел </t>
  </si>
  <si>
    <t>Бобожонов Зафар</t>
  </si>
  <si>
    <t>Маметниязов Сарсинбой</t>
  </si>
  <si>
    <t>NERO MAX</t>
  </si>
  <si>
    <t>Озод ога дукон карзини барди</t>
  </si>
  <si>
    <t>Evim Mobiliya МЧЖ</t>
  </si>
  <si>
    <t>Оринова Мохира</t>
  </si>
  <si>
    <t>Туроев Улугбек</t>
  </si>
  <si>
    <t>Алимова Ирода Хазарис</t>
  </si>
  <si>
    <t>16.10.2025 Касса</t>
  </si>
  <si>
    <t>Бахрамов Умарбек</t>
  </si>
  <si>
    <t>Пк накдладик</t>
  </si>
  <si>
    <t>ХасановаФарангиз</t>
  </si>
  <si>
    <t>Худайберганова Гулсевар</t>
  </si>
  <si>
    <t>Беко уй</t>
  </si>
  <si>
    <t>Бехзод налог</t>
  </si>
  <si>
    <t>Умар Х.Й галаба</t>
  </si>
  <si>
    <t xml:space="preserve">Касса </t>
  </si>
  <si>
    <t>П.к накдладим</t>
  </si>
  <si>
    <t>Санат Фермер</t>
  </si>
  <si>
    <t xml:space="preserve">Уразмат </t>
  </si>
  <si>
    <t>Али Х.Й карз барилди</t>
  </si>
  <si>
    <t>Бекмурод ога Армада</t>
  </si>
  <si>
    <t>Файзулла ога уста</t>
  </si>
  <si>
    <t>Яшнар ога уста</t>
  </si>
  <si>
    <t>TEXNO MAX 222</t>
  </si>
  <si>
    <t>Умар ога Х.Й галаба</t>
  </si>
  <si>
    <t>20.10.2025 Касса</t>
  </si>
  <si>
    <t>Вофоев Толкин Мотоцикл</t>
  </si>
  <si>
    <t>Музафар ога Зайниддинов</t>
  </si>
  <si>
    <t>Отабой Гофуржон Ф.Х</t>
  </si>
  <si>
    <t>Ортиков Эркабой Хонка Куранбой</t>
  </si>
  <si>
    <t>П.к Накдлади</t>
  </si>
  <si>
    <t>Топчи Фруитс Ф.Х</t>
  </si>
  <si>
    <t>Долр</t>
  </si>
  <si>
    <t>Аптекадан панел аули</t>
  </si>
  <si>
    <t>Пк кирим 21.10.2025</t>
  </si>
  <si>
    <t>Куёш панел Алишер</t>
  </si>
  <si>
    <t>21,10,2025 Касса</t>
  </si>
  <si>
    <t>Мехринисо нони Х.К</t>
  </si>
  <si>
    <t>Юнус ога</t>
  </si>
  <si>
    <t>Cултон Ф.Х</t>
  </si>
  <si>
    <t>Аскар ога Хазарис</t>
  </si>
  <si>
    <t>Лутфулла ога уста</t>
  </si>
  <si>
    <t>Кассани ман чикармадим</t>
  </si>
  <si>
    <t>Панел пули Шокир ога</t>
  </si>
  <si>
    <t>Сидиков Гийос Беруний</t>
  </si>
  <si>
    <t>Расулова озада Уразмат</t>
  </si>
  <si>
    <t>Султон Ф.Х</t>
  </si>
  <si>
    <t>22,10,2025 Касса</t>
  </si>
  <si>
    <t>Юсупов Фарход МЧЖ</t>
  </si>
  <si>
    <t>Бобожонов Донийор МЧЖ</t>
  </si>
  <si>
    <t>Садуллаевама Махсуда Уразмат</t>
  </si>
  <si>
    <t>Курбаннийозова садокат Уразмат</t>
  </si>
  <si>
    <t>Касса пк 22,10,2025</t>
  </si>
  <si>
    <t>Моний ака</t>
  </si>
  <si>
    <t>Касса 23,10,2025</t>
  </si>
  <si>
    <t>Мехринисо нони  МЧЖ</t>
  </si>
  <si>
    <t>Маткаримова Хадича</t>
  </si>
  <si>
    <t>Ахмедов Темур</t>
  </si>
  <si>
    <t>Мурод Навбахор</t>
  </si>
  <si>
    <t xml:space="preserve">Беко </t>
  </si>
  <si>
    <t>Oзод ога</t>
  </si>
  <si>
    <t>Отажанов Ойбек Панел</t>
  </si>
  <si>
    <t>Зарипова Севинч</t>
  </si>
  <si>
    <t>Ниязов Улугбек</t>
  </si>
  <si>
    <t>Абдуллаев Жавохир</t>
  </si>
  <si>
    <t>Бехзод ога Уй газ учун</t>
  </si>
  <si>
    <t>Лабо уста</t>
  </si>
  <si>
    <t>Шокир ога  Шакар</t>
  </si>
  <si>
    <t>Тахта Беко уй</t>
  </si>
  <si>
    <t>Шохрух  метан уст</t>
  </si>
  <si>
    <t>24.10.2025 касса</t>
  </si>
  <si>
    <t>Шермат Бозорком</t>
  </si>
  <si>
    <t>Иброхимова Умида карз барди</t>
  </si>
  <si>
    <t>Лутфуллани жораси Анвар карз барди</t>
  </si>
  <si>
    <t>Остатка 24,10,2025</t>
  </si>
  <si>
    <t>Камомат</t>
  </si>
  <si>
    <t>Банк залог чикариш</t>
  </si>
  <si>
    <t>Азиз Гулнур Ф.Х Бог</t>
  </si>
  <si>
    <t>Истамбул Тойхана</t>
  </si>
  <si>
    <t>мони</t>
  </si>
  <si>
    <t>долир</t>
  </si>
  <si>
    <t>Шокир ога Шакар</t>
  </si>
  <si>
    <t>MERLIN SUPPLIER GROUP</t>
  </si>
  <si>
    <t>Мони</t>
  </si>
  <si>
    <t>Симкарта</t>
  </si>
  <si>
    <t>Клуча</t>
  </si>
  <si>
    <t>Касса 27.10.2025</t>
  </si>
  <si>
    <t>Жахонгир олди сотти</t>
  </si>
  <si>
    <t>Бексод налог фирма тулови</t>
  </si>
  <si>
    <t>EXPENSIV TEX</t>
  </si>
  <si>
    <t>Али ога ашхобод</t>
  </si>
  <si>
    <t>Бегзод ога</t>
  </si>
  <si>
    <t xml:space="preserve">Хасанбой Фирма </t>
  </si>
  <si>
    <t xml:space="preserve">Бунёд ога </t>
  </si>
  <si>
    <t>Матмуратов Гайрат</t>
  </si>
  <si>
    <t>Хурнисо Билолбек</t>
  </si>
  <si>
    <t xml:space="preserve">Мадаминов Нурбек </t>
  </si>
  <si>
    <t>Жуманазаров Юсуфбой</t>
  </si>
  <si>
    <t>Жумабоева Фарида</t>
  </si>
  <si>
    <t>28,10,2025 Касса</t>
  </si>
  <si>
    <t>Ок олтин хоким бува</t>
  </si>
  <si>
    <t>Смарт маркет</t>
  </si>
  <si>
    <t>Касса 28,10,2025</t>
  </si>
  <si>
    <t>Хасанбой Фирма</t>
  </si>
  <si>
    <t>Холмурад ога</t>
  </si>
  <si>
    <t>Аскар ога</t>
  </si>
  <si>
    <t>Собиржон Х.Й</t>
  </si>
  <si>
    <t>Бохтийоров Сарвар</t>
  </si>
  <si>
    <t>Курбанова Гулбахон</t>
  </si>
  <si>
    <t>Курбанов Илйос</t>
  </si>
  <si>
    <t>Уразмат ога Албина байрам</t>
  </si>
  <si>
    <t xml:space="preserve">Лутфулла панел Каракалпок </t>
  </si>
  <si>
    <t>29,10,2025 Касса</t>
  </si>
  <si>
    <t>Газ рухсатнома учун толов</t>
  </si>
  <si>
    <t>29.10.2025 касса</t>
  </si>
  <si>
    <t>Саиджон ака Мот карз барди</t>
  </si>
  <si>
    <t>SIFAT TEXNO HAUSE</t>
  </si>
  <si>
    <t>Мошин номер</t>
  </si>
  <si>
    <t>Манавият Х.Й</t>
  </si>
  <si>
    <t xml:space="preserve">Кувондик ати панел </t>
  </si>
  <si>
    <t>шартнома</t>
  </si>
  <si>
    <t>Шохрух Давернист</t>
  </si>
  <si>
    <t>30.10.2025 Касса</t>
  </si>
  <si>
    <t>Налог Каттий</t>
  </si>
  <si>
    <t>Нкадладим</t>
  </si>
  <si>
    <t>Нкадладим П.К</t>
  </si>
  <si>
    <t>Х.Б кредит</t>
  </si>
  <si>
    <t>Алока Банк кредит</t>
  </si>
  <si>
    <t>Севиндик Фарход Ф.Х</t>
  </si>
  <si>
    <t>Микрокредит кредит</t>
  </si>
  <si>
    <t>Мадаминбек набираси Ф.Х</t>
  </si>
  <si>
    <t>Курбонов Кадам</t>
  </si>
  <si>
    <t>Армада</t>
  </si>
  <si>
    <t>Донйор брокер</t>
  </si>
  <si>
    <t xml:space="preserve">Руслон ойлик </t>
  </si>
  <si>
    <t>Камолова Дилфуза</t>
  </si>
  <si>
    <t>Доллир сотиб олинди</t>
  </si>
  <si>
    <t>Доллир кирим</t>
  </si>
  <si>
    <t>Доллир чиким</t>
  </si>
  <si>
    <t>касса</t>
  </si>
  <si>
    <t>31.11.2025 Касса</t>
  </si>
  <si>
    <t>Али Х.Й</t>
  </si>
  <si>
    <t>Хайрулла уста МЧЖ</t>
  </si>
  <si>
    <t>ижара</t>
  </si>
  <si>
    <t xml:space="preserve">пк </t>
  </si>
  <si>
    <t>Беко wifi</t>
  </si>
  <si>
    <t>Уринова Матлубо</t>
  </si>
  <si>
    <t>Матчанова зебо Карз</t>
  </si>
  <si>
    <t>Мебел</t>
  </si>
  <si>
    <t>Мебел Офис учун</t>
  </si>
  <si>
    <t>Маданият Х.Й</t>
  </si>
  <si>
    <t>уйдан</t>
  </si>
  <si>
    <t>Азиза Солат МЧЖ</t>
  </si>
  <si>
    <t>995374040 ойлик тулов</t>
  </si>
  <si>
    <t>Беко электр</t>
  </si>
  <si>
    <t>Кахрамон ога электр</t>
  </si>
  <si>
    <t>Клуч</t>
  </si>
  <si>
    <t>Агробанк Умид ога карзини барди</t>
  </si>
  <si>
    <t>Холмурод ога</t>
  </si>
  <si>
    <t>Назарбоев Азамат</t>
  </si>
  <si>
    <t>Албина байрам мчж</t>
  </si>
  <si>
    <t>Абдиримов Шахзод</t>
  </si>
  <si>
    <t>Жуманиёзов Санжар</t>
  </si>
  <si>
    <t>Бекчанова Гуласал</t>
  </si>
  <si>
    <t>Абдримова Лайло</t>
  </si>
  <si>
    <t>Донёр Нурбек МЧЖ</t>
  </si>
  <si>
    <t>Бахтийор жиян</t>
  </si>
  <si>
    <t>Налог шопири оллаберган</t>
  </si>
  <si>
    <t xml:space="preserve">Карздан </t>
  </si>
  <si>
    <t>6Ay090ZnQm</t>
  </si>
  <si>
    <t>NY6sv49bS2</t>
  </si>
  <si>
    <t>панел</t>
  </si>
  <si>
    <t>Мураджан</t>
  </si>
  <si>
    <t>Сотимбой Жахонгир Ф.Х</t>
  </si>
  <si>
    <t>Элдор Иш хакки</t>
  </si>
  <si>
    <t>Касса пк</t>
  </si>
  <si>
    <t>Мотсакл карз</t>
  </si>
  <si>
    <t xml:space="preserve">Бунёд </t>
  </si>
  <si>
    <t>Адвокат Бюроси</t>
  </si>
  <si>
    <t>Куранбой Хонка Х.Й</t>
  </si>
  <si>
    <t>Карз галди</t>
  </si>
  <si>
    <t>Газ штчотчик Уй</t>
  </si>
  <si>
    <t xml:space="preserve">Смарт </t>
  </si>
  <si>
    <t>Бобохон огли жамол Ф.Х</t>
  </si>
  <si>
    <t>MIR HAUSE</t>
  </si>
  <si>
    <t>Беко утирдим</t>
  </si>
  <si>
    <t>Собиров Жахонгир</t>
  </si>
  <si>
    <t>Иброгимов Усмонбек</t>
  </si>
  <si>
    <t>Хасанбой ога Хива</t>
  </si>
  <si>
    <t>Ураган Фарход</t>
  </si>
  <si>
    <t>FINANS MARKET</t>
  </si>
  <si>
    <t>uQ8W60dPz6</t>
  </si>
  <si>
    <t>B92zB5Hec5</t>
  </si>
  <si>
    <t>Беко налог</t>
  </si>
  <si>
    <t>Аллаберганова Нодира Куранбой ога хонка</t>
  </si>
  <si>
    <t>Элдор кредит</t>
  </si>
  <si>
    <t>мот карз кахрамон ога</t>
  </si>
  <si>
    <t>мот карз Шохрух</t>
  </si>
  <si>
    <t>Кредит</t>
  </si>
  <si>
    <t>Хайрулла Уста</t>
  </si>
  <si>
    <t xml:space="preserve">Собиров Мухуддин </t>
  </si>
  <si>
    <t>Навбохор</t>
  </si>
  <si>
    <t>Лабо ремонт</t>
  </si>
  <si>
    <t>Хамид ога Микро</t>
  </si>
  <si>
    <t>Авиакасса</t>
  </si>
  <si>
    <t>омон</t>
  </si>
  <si>
    <t>карт</t>
  </si>
  <si>
    <t>Бахтийор Жиян</t>
  </si>
  <si>
    <t>Клиент</t>
  </si>
  <si>
    <t>ABDIRIMOV BAXROM RAJABOVICH</t>
  </si>
  <si>
    <t>Жшшр</t>
  </si>
  <si>
    <t>Кредит Ш</t>
  </si>
  <si>
    <t>Парол</t>
  </si>
  <si>
    <t>Максади</t>
  </si>
  <si>
    <t>Чорва</t>
  </si>
  <si>
    <t>LUxhe7G527</t>
  </si>
  <si>
    <t>BEKNAZAROV UMIDJON ANVARBEK O‘G‘LI</t>
  </si>
  <si>
    <t>yk10Z5zCW3</t>
  </si>
  <si>
    <t>Мот</t>
  </si>
  <si>
    <t>Рахматжон Солар панел</t>
  </si>
  <si>
    <t>72XTr3Ls5o</t>
  </si>
  <si>
    <t>ODAMOVA MUXABBAT EGAMOVNA</t>
  </si>
  <si>
    <t>Бекчановлар</t>
  </si>
  <si>
    <t>Нурметов журабек</t>
  </si>
  <si>
    <t>Давлетова Фазилат</t>
  </si>
  <si>
    <t>Анвар дукончи лелин</t>
  </si>
  <si>
    <t>бор</t>
  </si>
  <si>
    <t>Кахрамон ога миб жарима</t>
  </si>
  <si>
    <t xml:space="preserve">Фирма </t>
  </si>
  <si>
    <t>TEXNO SERVICES 777</t>
  </si>
  <si>
    <t>Тупчи</t>
  </si>
  <si>
    <t>Холати</t>
  </si>
  <si>
    <t xml:space="preserve">Банк отказ </t>
  </si>
  <si>
    <t>Дол</t>
  </si>
  <si>
    <t>Дониёр Архитектор Карздан</t>
  </si>
  <si>
    <t>Уразмат</t>
  </si>
  <si>
    <t>Шохрух лабо</t>
  </si>
  <si>
    <t xml:space="preserve">Бобадинов Шора карз </t>
  </si>
  <si>
    <t>Сарвар</t>
  </si>
  <si>
    <t>лимит тупчи</t>
  </si>
  <si>
    <t>Абдиримов Ахрор Ятт</t>
  </si>
  <si>
    <t>Анвар Таваккал МЧЖ</t>
  </si>
  <si>
    <t>Сапорбоев Аматжон</t>
  </si>
  <si>
    <t>Касса Беко</t>
  </si>
  <si>
    <t>Дилновоз</t>
  </si>
  <si>
    <t xml:space="preserve">Anvar Tavakkal </t>
  </si>
  <si>
    <t xml:space="preserve">Yuysupov Axmadjon </t>
  </si>
  <si>
    <t>Машарипов Улугбек</t>
  </si>
  <si>
    <t>сум касса</t>
  </si>
  <si>
    <t>Муроджон Х.Й</t>
  </si>
  <si>
    <t>Оманат</t>
  </si>
  <si>
    <t>Фарк</t>
  </si>
  <si>
    <t>Ахмедов Кахрамон Миришкор мот карз</t>
  </si>
  <si>
    <t>Сай</t>
  </si>
  <si>
    <t>Отаназаров Тожибой</t>
  </si>
  <si>
    <t>Лутфулла ога Уста</t>
  </si>
  <si>
    <t>CENTRAL SMART MARKET</t>
  </si>
  <si>
    <t>Кушкупир Утгир Армада Бекмкрод</t>
  </si>
  <si>
    <t>Хусаинова Илмира</t>
  </si>
  <si>
    <t>Газ</t>
  </si>
  <si>
    <t>накдлалим</t>
  </si>
  <si>
    <t>Матниязов Эргаш Отажон</t>
  </si>
  <si>
    <t>Bekturdiyev Asilbek  qarz raschot</t>
  </si>
  <si>
    <t>Миллий банк счотлар  Банк услуг</t>
  </si>
  <si>
    <t>Рахимбоева Аноржон</t>
  </si>
  <si>
    <t>Рузметов Хамид 901 карз дафтар</t>
  </si>
  <si>
    <t>Отчот микро 400 карз бор</t>
  </si>
  <si>
    <t>Аметова Шахло</t>
  </si>
  <si>
    <t>Уткир агропром</t>
  </si>
  <si>
    <t>Куёш панел Дилшод тупчи</t>
  </si>
  <si>
    <t>Микро кредит банк</t>
  </si>
  <si>
    <t>Банк карздорлик</t>
  </si>
  <si>
    <t>Эшон бува</t>
  </si>
  <si>
    <t>Накдланди</t>
  </si>
  <si>
    <t>Тойхана свет</t>
  </si>
  <si>
    <t>AMINOV KAMOLIDDIN BAXROMOVICH</t>
  </si>
  <si>
    <t>Рахимбердиев Умирбек Фура</t>
  </si>
  <si>
    <t>Лутфулла устани жораси Анвар панел</t>
  </si>
  <si>
    <t>Iskandarov Nizomaddin Gulzor</t>
  </si>
  <si>
    <t>Нодир карз</t>
  </si>
  <si>
    <t>Ноябр аренда офис</t>
  </si>
  <si>
    <t>v4r3v3CPM1</t>
  </si>
  <si>
    <t>Умирбек Дойи</t>
  </si>
  <si>
    <t>Бунёд ога 50кв Расчот</t>
  </si>
  <si>
    <t>Уразмат ога</t>
  </si>
  <si>
    <t>Хасанова Хуршида</t>
  </si>
  <si>
    <t>накдланди</t>
  </si>
  <si>
    <t>Хонка маданият карз галди</t>
  </si>
  <si>
    <t>Картада</t>
  </si>
  <si>
    <t>Санат ога уста</t>
  </si>
  <si>
    <t>Шер ога</t>
  </si>
  <si>
    <t xml:space="preserve">Кахрамон ога Кабела </t>
  </si>
  <si>
    <t>Иброхимова Умида Карз панел</t>
  </si>
  <si>
    <t>Бекназар Баликчи мот карз</t>
  </si>
  <si>
    <t xml:space="preserve"> Каха моб банк</t>
  </si>
  <si>
    <t>SEVEN HOUSE LINE</t>
  </si>
  <si>
    <t>GOLD CRAFT MCHJ</t>
  </si>
  <si>
    <t>Карз Юлдашев Ойбек</t>
  </si>
  <si>
    <t>Алишер куёш панел</t>
  </si>
  <si>
    <t>Давернист лабо</t>
  </si>
  <si>
    <t>Аренда</t>
  </si>
  <si>
    <t>Мотоцикл сотилди пули</t>
  </si>
  <si>
    <t>Оллаберганов Эркинжон</t>
  </si>
  <si>
    <t>Иброгимова Гули</t>
  </si>
  <si>
    <t>Отажонова Икбол</t>
  </si>
  <si>
    <t>Асадбек трастбанк</t>
  </si>
  <si>
    <t>Пк астатка</t>
  </si>
  <si>
    <t>Карздан галди</t>
  </si>
  <si>
    <t>Нематжон ога хазарис</t>
  </si>
  <si>
    <t>Yovbasarov Siroj Qarzdan</t>
  </si>
  <si>
    <t>Худайор Карз</t>
  </si>
  <si>
    <t>Донийор архитектор</t>
  </si>
  <si>
    <t>Азим ога</t>
  </si>
  <si>
    <t>Абдримов Бахром</t>
  </si>
  <si>
    <t>хазарис</t>
  </si>
  <si>
    <t>Куранбой</t>
  </si>
  <si>
    <t>Куранмбой ога</t>
  </si>
  <si>
    <t>Эгамов Шохрух</t>
  </si>
  <si>
    <t>Аблуллаев сатанжон</t>
  </si>
  <si>
    <t>Юсуфжон</t>
  </si>
  <si>
    <t>Бобожанов Холбек</t>
  </si>
  <si>
    <t xml:space="preserve">Ачилов Шахзод хазарис </t>
  </si>
  <si>
    <t>Куранмбой Хонка лимит</t>
  </si>
  <si>
    <t>Шокир ога тех</t>
  </si>
  <si>
    <t>Карз</t>
  </si>
  <si>
    <t>Мотсакил сотилди</t>
  </si>
  <si>
    <t>Душам молтоп</t>
  </si>
  <si>
    <t>Курёзов Раззокберди</t>
  </si>
  <si>
    <t>Молла бува</t>
  </si>
  <si>
    <t>EURO MAX SERVICES</t>
  </si>
  <si>
    <t>JUMABOYEV XUMOYUN</t>
  </si>
  <si>
    <t>Хасанбой</t>
  </si>
  <si>
    <t>Бахром Дойи Панел</t>
  </si>
  <si>
    <t>Уразмат ога банк</t>
  </si>
  <si>
    <t>Шухрат ога мот карз</t>
  </si>
  <si>
    <t>смарт маркет</t>
  </si>
  <si>
    <t>AEae2066592</t>
  </si>
  <si>
    <t>Бехзод Гурлан</t>
  </si>
  <si>
    <t>газ офис</t>
  </si>
  <si>
    <t>Жаббарова Руза</t>
  </si>
  <si>
    <t>Бунёд ога</t>
  </si>
  <si>
    <t>aaAA123456789</t>
  </si>
  <si>
    <t>Фарход ака Ураган</t>
  </si>
  <si>
    <t>Гулом ога микро</t>
  </si>
  <si>
    <t>Кафил сугурта</t>
  </si>
  <si>
    <t>Юсупов Бахром</t>
  </si>
  <si>
    <t>Атажанов Зафар</t>
  </si>
  <si>
    <t>Ражабова Наргиза</t>
  </si>
  <si>
    <t>Жуманийозова Муборак</t>
  </si>
  <si>
    <t>Маданият Х,Й</t>
  </si>
  <si>
    <t>Нурлимаскан Х,Й</t>
  </si>
  <si>
    <t>Жуманазаров Жалоладдин</t>
  </si>
  <si>
    <t>харажат</t>
  </si>
  <si>
    <t>Комил ака Карвуч</t>
  </si>
  <si>
    <t>Шермат угли олим Ф.Х</t>
  </si>
  <si>
    <t>IBODULLAYEV OTAXON NE’MATJON O‘G‘LI</t>
  </si>
  <si>
    <t>Куранбоев Бехзод</t>
  </si>
  <si>
    <t>Юлдашев Одамбой микро</t>
  </si>
  <si>
    <t>Курбанов Азимбой</t>
  </si>
  <si>
    <t>Аматчанова Севинчой</t>
  </si>
  <si>
    <t>Беруний панел</t>
  </si>
  <si>
    <t>Торт колип</t>
  </si>
  <si>
    <t>Шохрух иш хакки</t>
  </si>
  <si>
    <t>Алока Банк</t>
  </si>
  <si>
    <t>Микрокредит Банк</t>
  </si>
  <si>
    <t>Проче харажат</t>
  </si>
  <si>
    <t>Кааса</t>
  </si>
  <si>
    <t>Армада Бекмурод</t>
  </si>
  <si>
    <t xml:space="preserve">Зафар жора </t>
  </si>
  <si>
    <t>Сотиб олинди</t>
  </si>
  <si>
    <t>Доллир олдик</t>
  </si>
  <si>
    <t>Болтайева матлуба</t>
  </si>
  <si>
    <t>Курёзов Анвар</t>
  </si>
  <si>
    <t>Донёр ога брокер</t>
  </si>
  <si>
    <t>Эолдор иш хакки</t>
  </si>
  <si>
    <t>Курбанбойева Юлдуз</t>
  </si>
  <si>
    <t>Соаттурдиева Мохинур</t>
  </si>
  <si>
    <t>кредит тулов</t>
  </si>
  <si>
    <t xml:space="preserve">Уразмат ога </t>
  </si>
  <si>
    <t xml:space="preserve">Хумоюн Дукон </t>
  </si>
  <si>
    <t>ШОХРУХ</t>
  </si>
  <si>
    <t>Усталара</t>
  </si>
  <si>
    <t xml:space="preserve">Азиз Гулнур Ф.Х куёш панел </t>
  </si>
  <si>
    <t>Азамат Хонкали</t>
  </si>
  <si>
    <t>Юнус ога Строй .Тех учун</t>
  </si>
  <si>
    <t>счот чиким</t>
  </si>
  <si>
    <t>Сапаев Санат</t>
  </si>
  <si>
    <t>Эгамов Акбар мотсакл карз</t>
  </si>
  <si>
    <t>Беко расход</t>
  </si>
  <si>
    <t>Кайта ройхат</t>
  </si>
  <si>
    <t>Aтабоев Руслан Янгиарик</t>
  </si>
  <si>
    <t>Юнусхон Тура</t>
  </si>
  <si>
    <t>Наримонли клиент</t>
  </si>
  <si>
    <t>Беруний Панел Лутфулла уста</t>
  </si>
  <si>
    <t>Пк накдладим</t>
  </si>
  <si>
    <t xml:space="preserve">Қорақалпоғистон </t>
  </si>
  <si>
    <t>Абед чиким</t>
  </si>
  <si>
    <t>Метан</t>
  </si>
  <si>
    <t>Хонка опой</t>
  </si>
  <si>
    <t>Уринов Хушнуд</t>
  </si>
  <si>
    <t>Рузметова Гулзор</t>
  </si>
  <si>
    <t>Шохрух доллар</t>
  </si>
  <si>
    <t>Шохрух доллар чиким</t>
  </si>
  <si>
    <t>Кечаги доллар</t>
  </si>
  <si>
    <t>Нуриддинов Хусниддин</t>
  </si>
  <si>
    <t>Юнусхон турам</t>
  </si>
  <si>
    <t>доллир олдик</t>
  </si>
  <si>
    <t>Доллир сотиб олдик</t>
  </si>
  <si>
    <t>Бехзод миллий банк</t>
  </si>
  <si>
    <t>Азамат хонкали Карз куёш панел</t>
  </si>
  <si>
    <t>П.к карта</t>
  </si>
  <si>
    <t>Файзулла уста панел</t>
  </si>
  <si>
    <t>Садуллаев сардор карздан</t>
  </si>
  <si>
    <t>Собир эшак</t>
  </si>
  <si>
    <t>Иззат очилов карз</t>
  </si>
  <si>
    <t xml:space="preserve">Бехзод ога </t>
  </si>
  <si>
    <t>узим пулим</t>
  </si>
  <si>
    <t>Картага тушди</t>
  </si>
  <si>
    <t>Ушатилди</t>
  </si>
  <si>
    <t>04,12,25 касса</t>
  </si>
  <si>
    <t>Шафйор пули дамир аккалган</t>
  </si>
  <si>
    <t>Бехзод Миллий банк</t>
  </si>
  <si>
    <t>Алишер молла</t>
  </si>
  <si>
    <t>Жетиозен логистик</t>
  </si>
  <si>
    <t>Рузметова Шахноза</t>
  </si>
  <si>
    <t>Юсупов Фахриддин</t>
  </si>
  <si>
    <t>Агробанк Улугбек пора</t>
  </si>
  <si>
    <t>Абдикаримов Уктамбой</t>
  </si>
  <si>
    <t>Индира ботировна МЧЖ</t>
  </si>
  <si>
    <t>Cанат уста</t>
  </si>
  <si>
    <t>Каландарова Озода</t>
  </si>
  <si>
    <t>Махтжаксилов Бахтижон</t>
  </si>
  <si>
    <t>Юлдашов Ойбек</t>
  </si>
  <si>
    <t>Хазарасп Овшар</t>
  </si>
  <si>
    <t>Бобожонов Эркабой</t>
  </si>
  <si>
    <t>Хамроз лелин</t>
  </si>
  <si>
    <t>Каримова Мукаддас</t>
  </si>
  <si>
    <t>Янгибозор Бобур</t>
  </si>
  <si>
    <t>П.К астатка</t>
  </si>
  <si>
    <t>Шокир</t>
  </si>
  <si>
    <t>Абдиримова Шоира</t>
  </si>
  <si>
    <t>Кондиционер куна офис</t>
  </si>
  <si>
    <t>Асметов Купал</t>
  </si>
  <si>
    <t>Абет</t>
  </si>
  <si>
    <t>Амирхон Севара</t>
  </si>
  <si>
    <t>09.12.2025 касса</t>
  </si>
  <si>
    <t>Шокир Х.Й панел</t>
  </si>
  <si>
    <t>Духтир панел карз</t>
  </si>
  <si>
    <t>Худайназаров Маширип мот карз</t>
  </si>
  <si>
    <t>Юлдашов Ойбек карзини барди</t>
  </si>
  <si>
    <t>Сдикова Дилфуза</t>
  </si>
  <si>
    <t>Жавлон воянни куёш панел</t>
  </si>
  <si>
    <t>Мансур повур</t>
  </si>
  <si>
    <t>Шомуратов Зафар</t>
  </si>
  <si>
    <t>Фозил Агробанк</t>
  </si>
  <si>
    <t>Шохрух Иш хакки</t>
  </si>
  <si>
    <t>Кахрамон йог пайог</t>
  </si>
  <si>
    <t>Матякубов Мардон мот карз</t>
  </si>
  <si>
    <t>Аскар Тозабозор</t>
  </si>
  <si>
    <t>Гайрат лутфулла устаси</t>
  </si>
  <si>
    <t>Профил</t>
  </si>
  <si>
    <t>Миша стат</t>
  </si>
  <si>
    <t>Обод шора Бобадинов</t>
  </si>
  <si>
    <t>Беруний</t>
  </si>
  <si>
    <t>Кахрамон ога пайнет</t>
  </si>
  <si>
    <t>Худойберганов Ровшан</t>
  </si>
  <si>
    <t>Лутфулла уста шит</t>
  </si>
  <si>
    <t>Файзулла уста Электрот</t>
  </si>
  <si>
    <t>Куронбой Х.Й лимит</t>
  </si>
  <si>
    <t>ксса</t>
  </si>
  <si>
    <t>Кахрамон ога свет</t>
  </si>
  <si>
    <t>Алишер Молла</t>
  </si>
  <si>
    <t>Беко УЙ</t>
  </si>
  <si>
    <t xml:space="preserve">Жуманиязова Нукулжон </t>
  </si>
  <si>
    <t>Мансур Капитал банк</t>
  </si>
  <si>
    <t>хасанбой ога хива</t>
  </si>
  <si>
    <t>Мехринисо нони</t>
  </si>
  <si>
    <t>Хусинбоев Эркабой</t>
  </si>
  <si>
    <t>Шокиров Миржалол</t>
  </si>
  <si>
    <t>карта</t>
  </si>
  <si>
    <t>Яшнар ога уста Предохранител</t>
  </si>
  <si>
    <t>Отабоев Бобурбек немат угли  10 кв Дея инвертор</t>
  </si>
  <si>
    <t>Йанги йил безаги</t>
  </si>
  <si>
    <t>Давлетов Отабек</t>
  </si>
  <si>
    <t>AAaa123456</t>
  </si>
  <si>
    <t>Журат янгиарик</t>
  </si>
  <si>
    <t>Илхом Дигир мот карз</t>
  </si>
  <si>
    <t xml:space="preserve">Хумоюн </t>
  </si>
  <si>
    <t>Файзулла</t>
  </si>
  <si>
    <t>Офис аренда</t>
  </si>
  <si>
    <t>краска</t>
  </si>
  <si>
    <t>Халк банк иш хакки</t>
  </si>
  <si>
    <t xml:space="preserve">Отабоев Бобурбек </t>
  </si>
  <si>
    <t>3Rz79VVo4w</t>
  </si>
  <si>
    <t>Санат уста автомат учун</t>
  </si>
  <si>
    <t>Доллир олдик 100</t>
  </si>
  <si>
    <t>сотиб олдик</t>
  </si>
  <si>
    <t>Розибоев Собир  Панел</t>
  </si>
  <si>
    <t>Яшнар уста шит усун</t>
  </si>
  <si>
    <t>картани нахтладик</t>
  </si>
  <si>
    <t>П.к нахтланди</t>
  </si>
  <si>
    <t>Саидов Ганишер</t>
  </si>
  <si>
    <t>Мерлин супер лине</t>
  </si>
  <si>
    <t>Сейитчан ака</t>
  </si>
  <si>
    <t>Каримова Мехрибон тупчи</t>
  </si>
  <si>
    <t>5ba0tIU8J2</t>
  </si>
  <si>
    <t xml:space="preserve">Урганч салатчи </t>
  </si>
  <si>
    <t>Турганиев илйос</t>
  </si>
  <si>
    <t>Карздан</t>
  </si>
  <si>
    <t>кассадан ташадик</t>
  </si>
  <si>
    <t>Картага чиким</t>
  </si>
  <si>
    <t>Карз барди</t>
  </si>
  <si>
    <t>Сотиб олдик</t>
  </si>
  <si>
    <t>Ишонч Хумоюн мот пули</t>
  </si>
  <si>
    <t>Отабек Х.Й</t>
  </si>
  <si>
    <t>Уткир катти</t>
  </si>
  <si>
    <t xml:space="preserve">Беркний клиент Панел </t>
  </si>
  <si>
    <t>Беко тулов</t>
  </si>
  <si>
    <t>Ёвбасаров Сирожбек карздан</t>
  </si>
  <si>
    <t>Wifi Беко</t>
  </si>
  <si>
    <t>Шомуротов Зафар</t>
  </si>
  <si>
    <t>Беко Дойиси</t>
  </si>
  <si>
    <t>20208000307350098001</t>
  </si>
  <si>
    <t>20208000307347781001</t>
  </si>
  <si>
    <t>20208000807345234001</t>
  </si>
  <si>
    <t>20208000007343017001</t>
  </si>
  <si>
    <t>20208000807337242001</t>
  </si>
  <si>
    <t>20208000707333547001</t>
  </si>
  <si>
    <t>20208000207326497001</t>
  </si>
  <si>
    <t>20208000407326498001</t>
  </si>
  <si>
    <t>20208000907256765001</t>
  </si>
  <si>
    <t>Яшнар ога</t>
  </si>
  <si>
    <t>Элдор иш хакки</t>
  </si>
  <si>
    <t>авария</t>
  </si>
  <si>
    <t>Декабр ойлик</t>
  </si>
  <si>
    <t>Хазарасп</t>
  </si>
  <si>
    <t>Фарид ога карз</t>
  </si>
  <si>
    <t>Барганов Ганишер</t>
  </si>
  <si>
    <t>карздан</t>
  </si>
  <si>
    <t>Юксалиш МЧЖ</t>
  </si>
  <si>
    <t>Куронбоев Рахматулла</t>
  </si>
  <si>
    <t>Фарид ога дукон</t>
  </si>
  <si>
    <t>Жамшидбек Фазилат МЧЖ</t>
  </si>
  <si>
    <t>мадримова динора</t>
  </si>
  <si>
    <t>картада</t>
  </si>
  <si>
    <t>Тохир инженер карздан</t>
  </si>
  <si>
    <t>касса аппарат</t>
  </si>
  <si>
    <t>Куронбой хонка</t>
  </si>
  <si>
    <t>Бехзод гурлан</t>
  </si>
  <si>
    <t>Хуршида апка</t>
  </si>
  <si>
    <t>Куранбой ога хонка</t>
  </si>
  <si>
    <t>нахтладим</t>
  </si>
  <si>
    <t>Илйос ога тел</t>
  </si>
  <si>
    <t>Кутимов Даврон карз</t>
  </si>
  <si>
    <t xml:space="preserve">Яшнар ога уста </t>
  </si>
  <si>
    <t>Субсидия Панел</t>
  </si>
  <si>
    <t>Шохрух номер</t>
  </si>
  <si>
    <t>Шохрух Жарима</t>
  </si>
  <si>
    <t>Кахрамон ога таштди карздан</t>
  </si>
  <si>
    <t>SOBIROV ELDOR ERKINBOYEVICH</t>
  </si>
  <si>
    <t>Абу райхон беруний</t>
  </si>
  <si>
    <t>yKT257hbG4</t>
  </si>
  <si>
    <t>Ариза юборилмаган</t>
  </si>
  <si>
    <t>Кахрамон ога тел</t>
  </si>
  <si>
    <t xml:space="preserve">ПК Нахтланди </t>
  </si>
  <si>
    <t>Мардон Карри  хумоюн</t>
  </si>
  <si>
    <t>Лутфуллани устаси</t>
  </si>
  <si>
    <t>мот Карз бардилар</t>
  </si>
  <si>
    <t>HAUSE RS TRADE</t>
  </si>
  <si>
    <t>фирма тулови</t>
  </si>
  <si>
    <t>клуч тулови</t>
  </si>
  <si>
    <t xml:space="preserve">Беко айтди Уткзилди </t>
  </si>
  <si>
    <t>Куромбой Х.Й</t>
  </si>
  <si>
    <t>ССП почта харажати</t>
  </si>
  <si>
    <t>XODJAMURATOV BAXROM TURAMURATOVICH</t>
  </si>
  <si>
    <t>Гулзода Баликхона карздан</t>
  </si>
  <si>
    <t>KUCHKAROVA NAZAKAT ISMAILOVNA</t>
  </si>
  <si>
    <t>AD4596557ad</t>
  </si>
  <si>
    <t>AE1711599ae</t>
  </si>
  <si>
    <t>Шакардан галди</t>
  </si>
  <si>
    <t>Шохрух Эсма тулови</t>
  </si>
  <si>
    <t xml:space="preserve">Алишер лелин </t>
  </si>
  <si>
    <t>сет факт</t>
  </si>
  <si>
    <t>Мадримов Давлат</t>
  </si>
  <si>
    <t>Коля брат Шовот</t>
  </si>
  <si>
    <t>Каримов Шерзод</t>
  </si>
  <si>
    <t>Янгиарик Хоким йордамчи карз</t>
  </si>
  <si>
    <t>Беко уй мотериал яшнар уста</t>
  </si>
  <si>
    <t>0kDY1i34Sh</t>
  </si>
  <si>
    <t>XUDAYAROV RASHID YERIMBATOVICH</t>
  </si>
  <si>
    <t>отказ солик сервис</t>
  </si>
  <si>
    <t>Элдор газа</t>
  </si>
  <si>
    <t>солк сервис</t>
  </si>
  <si>
    <t xml:space="preserve">Yashnar uyga </t>
  </si>
  <si>
    <t xml:space="preserve">Shokir og`a Tex uchun Yunus og`a </t>
  </si>
  <si>
    <t xml:space="preserve">Eldor Oylik </t>
  </si>
  <si>
    <t xml:space="preserve">Qahramon Og`a </t>
  </si>
  <si>
    <t xml:space="preserve">Beko uy </t>
  </si>
  <si>
    <t xml:space="preserve">Anvar Erka fx </t>
  </si>
  <si>
    <t xml:space="preserve">Atrikov Xayitboy </t>
  </si>
  <si>
    <t xml:space="preserve">Limit uchun Quramboy </t>
  </si>
  <si>
    <t xml:space="preserve">Uyga Xarajat </t>
  </si>
  <si>
    <t xml:space="preserve">Xasanboy Tugatuvchi </t>
  </si>
  <si>
    <t xml:space="preserve">Gazga Shoxrux </t>
  </si>
  <si>
    <t xml:space="preserve">100 dollar olindi </t>
  </si>
  <si>
    <t xml:space="preserve">Yusupova Xoljon </t>
  </si>
  <si>
    <t xml:space="preserve">Pastikka </t>
  </si>
  <si>
    <t xml:space="preserve">Dollar olindi </t>
  </si>
  <si>
    <t xml:space="preserve">Shokir og`a tex uchun </t>
  </si>
  <si>
    <t xml:space="preserve">Jumaniyozov Ulugbek </t>
  </si>
  <si>
    <t xml:space="preserve">Abdirimova Gulzira </t>
  </si>
  <si>
    <t xml:space="preserve">Rustamboyeva Nilufar </t>
  </si>
  <si>
    <t xml:space="preserve">Baltayeva Dilfuza </t>
  </si>
  <si>
    <t xml:space="preserve">Yashnar uy </t>
  </si>
  <si>
    <t xml:space="preserve">metan </t>
  </si>
  <si>
    <t xml:space="preserve">Beko Uy </t>
  </si>
  <si>
    <t xml:space="preserve">Shokir narbayev Panel puli </t>
  </si>
  <si>
    <t xml:space="preserve">Saidova Muxabbat </t>
  </si>
  <si>
    <t xml:space="preserve">Arenda </t>
  </si>
  <si>
    <t xml:space="preserve">Konvertatsiya Uchun </t>
  </si>
  <si>
    <t xml:space="preserve">Bekchanova Madina </t>
  </si>
  <si>
    <t xml:space="preserve">Jumaniyozova Matluba </t>
  </si>
  <si>
    <t xml:space="preserve">Daston Aloqabank Panel </t>
  </si>
  <si>
    <t xml:space="preserve">Qahramon og`a </t>
  </si>
  <si>
    <t xml:space="preserve">Bunyod </t>
  </si>
  <si>
    <t xml:space="preserve">kreditchiga </t>
  </si>
  <si>
    <t xml:space="preserve">Jaqush 100 dollar </t>
  </si>
  <si>
    <t xml:space="preserve">cvet </t>
  </si>
  <si>
    <t xml:space="preserve">Raximova Muxayyo </t>
  </si>
  <si>
    <t>Azizbek O`zgarish</t>
  </si>
  <si>
    <t xml:space="preserve">Pitnakli klient </t>
  </si>
  <si>
    <t xml:space="preserve">Fura </t>
  </si>
  <si>
    <t xml:space="preserve">Atajonov Nuraddin </t>
  </si>
  <si>
    <t xml:space="preserve">Bunyod Shamshod </t>
  </si>
  <si>
    <t xml:space="preserve">Sapayev Davron </t>
  </si>
  <si>
    <t xml:space="preserve">Sadullayev Navro`zbek </t>
  </si>
  <si>
    <t xml:space="preserve">Madaniyat Jurat 2 odam dulya </t>
  </si>
  <si>
    <t xml:space="preserve">Domiyor </t>
  </si>
  <si>
    <t xml:space="preserve">Akam </t>
  </si>
  <si>
    <t xml:space="preserve">Plastik </t>
  </si>
  <si>
    <t xml:space="preserve">G`ani chaymo </t>
  </si>
  <si>
    <t xml:space="preserve">Masharipov Mardonbek </t>
  </si>
  <si>
    <t xml:space="preserve">Metan </t>
  </si>
  <si>
    <t xml:space="preserve">Baliq </t>
  </si>
  <si>
    <t xml:space="preserve">sShoxrux gaz </t>
  </si>
  <si>
    <t xml:space="preserve">Smart </t>
  </si>
  <si>
    <t xml:space="preserve">Shamrotov Koplon </t>
  </si>
  <si>
    <t xml:space="preserve">Lutfulla </t>
  </si>
  <si>
    <t>Qaxramon</t>
  </si>
  <si>
    <t>TAXIROV ZAFARBOY RAXIMOVICH</t>
  </si>
  <si>
    <t xml:space="preserve">Atajonova Gulandom </t>
  </si>
  <si>
    <t xml:space="preserve">Zazemleniya </t>
  </si>
  <si>
    <t xml:space="preserve">Bek omonat </t>
  </si>
  <si>
    <t xml:space="preserve">kluch </t>
  </si>
  <si>
    <t>Naqdlash</t>
  </si>
  <si>
    <t xml:space="preserve">Ramz </t>
  </si>
  <si>
    <t xml:space="preserve">Qaxramon </t>
  </si>
  <si>
    <t xml:space="preserve">Eldor </t>
  </si>
  <si>
    <t xml:space="preserve">Yashnar </t>
  </si>
  <si>
    <t xml:space="preserve">Platikdan </t>
  </si>
  <si>
    <t xml:space="preserve">ANNAYEVA GULSHODA </t>
  </si>
  <si>
    <t xml:space="preserve">Shokir og`a </t>
  </si>
  <si>
    <t xml:space="preserve">Benzin </t>
  </si>
  <si>
    <t xml:space="preserve">Kuramboyeva Saboxat </t>
  </si>
  <si>
    <t xml:space="preserve">Matsafayeva Dilnoza </t>
  </si>
  <si>
    <t xml:space="preserve">Eshmurotov Shuxrat </t>
  </si>
  <si>
    <t xml:space="preserve">Abduraxmonov Lochinbek </t>
  </si>
  <si>
    <t xml:space="preserve">Matnazarova Muqaddas </t>
  </si>
  <si>
    <t xml:space="preserve">Uy </t>
  </si>
  <si>
    <t xml:space="preserve">uy </t>
  </si>
  <si>
    <t xml:space="preserve">Uydan keldi </t>
  </si>
  <si>
    <t xml:space="preserve">Qarshiyeva Muxayyo </t>
  </si>
  <si>
    <t xml:space="preserve">Innavatsiv IT Akademiy </t>
  </si>
  <si>
    <t xml:space="preserve">Urganch Apka </t>
  </si>
  <si>
    <t xml:space="preserve">Qahramon Abet </t>
  </si>
  <si>
    <t xml:space="preserve">Lutfulla inventor va mayda oldi </t>
  </si>
  <si>
    <t xml:space="preserve">Plastikka chiqarildi </t>
  </si>
  <si>
    <t xml:space="preserve">Uyga tashkil xarajat </t>
  </si>
  <si>
    <t xml:space="preserve">Doniyor </t>
  </si>
  <si>
    <t xml:space="preserve">Shoxrux </t>
  </si>
  <si>
    <t xml:space="preserve">Nurmatova Maxliyo </t>
  </si>
  <si>
    <t xml:space="preserve">Yusupov Xamidjon </t>
  </si>
  <si>
    <t xml:space="preserve">Oq tepa Xokim yordamchi </t>
  </si>
  <si>
    <t xml:space="preserve">Erimbetov Obul </t>
  </si>
  <si>
    <t xml:space="preserve">IT Akademiya </t>
  </si>
  <si>
    <t xml:space="preserve">Polvonov Sarvarbek </t>
  </si>
  <si>
    <t xml:space="preserve">Yashnarbek </t>
  </si>
  <si>
    <t xml:space="preserve">Ibadullaev Umarbek </t>
  </si>
  <si>
    <t xml:space="preserve">Dollar olindi 8900 </t>
  </si>
  <si>
    <t>Uydan</t>
  </si>
  <si>
    <t xml:space="preserve">Sotib olindi </t>
  </si>
  <si>
    <t xml:space="preserve">Plastikka </t>
  </si>
  <si>
    <t xml:space="preserve">Plastik kirim </t>
  </si>
  <si>
    <t xml:space="preserve">Xasanboy </t>
  </si>
  <si>
    <t xml:space="preserve">ALLABERGANOV DILMUROD </t>
  </si>
  <si>
    <t xml:space="preserve">Jaxongir Mexriniso noni </t>
  </si>
  <si>
    <t>JABBAROV JAMOLBEK</t>
  </si>
  <si>
    <t xml:space="preserve">Fayzulla usta </t>
  </si>
  <si>
    <t xml:space="preserve">Ro`ziboyev Ro`ziboy  qarz berdi </t>
  </si>
  <si>
    <t xml:space="preserve">Narimbettov Jamshidbek </t>
  </si>
  <si>
    <t xml:space="preserve">Yyt Bazarbayeva Aziza </t>
  </si>
  <si>
    <t xml:space="preserve">Sherzod Bux </t>
  </si>
  <si>
    <t xml:space="preserve">O`ktam og`a </t>
  </si>
  <si>
    <t xml:space="preserve">Svet ulash Sabohat </t>
  </si>
  <si>
    <t xml:space="preserve">Ibadullayeva Nazokat </t>
  </si>
  <si>
    <t xml:space="preserve">Bazarbayeva Nozima </t>
  </si>
  <si>
    <t xml:space="preserve">Karimboyeva Marjona </t>
  </si>
  <si>
    <t xml:space="preserve">Annayev Izzat </t>
  </si>
  <si>
    <t xml:space="preserve">Davletov Qudrat </t>
  </si>
  <si>
    <t xml:space="preserve">Nadirov Mirzabek </t>
  </si>
  <si>
    <t xml:space="preserve">Pajapov Ergash </t>
  </si>
  <si>
    <t xml:space="preserve">Oybek og`a </t>
  </si>
  <si>
    <t xml:space="preserve">Urganch </t>
  </si>
  <si>
    <t xml:space="preserve">Armada </t>
  </si>
  <si>
    <t>Bobur</t>
  </si>
  <si>
    <t xml:space="preserve">Bobur </t>
  </si>
  <si>
    <t xml:space="preserve">Dollar </t>
  </si>
  <si>
    <t xml:space="preserve">Azamat Yurist </t>
  </si>
  <si>
    <t xml:space="preserve">Mexriniso Barno </t>
  </si>
  <si>
    <t xml:space="preserve">Ilyos Xokim yordamchi </t>
  </si>
  <si>
    <t xml:space="preserve">Mayda Xarajatlar </t>
  </si>
  <si>
    <t xml:space="preserve">Naqdlash </t>
  </si>
  <si>
    <t xml:space="preserve">Plastikdan </t>
  </si>
  <si>
    <t xml:space="preserve">Firma uchun </t>
  </si>
  <si>
    <t xml:space="preserve">Pechat </t>
  </si>
  <si>
    <t xml:space="preserve">Mayda </t>
  </si>
  <si>
    <t xml:space="preserve">Donyor </t>
  </si>
  <si>
    <t xml:space="preserve">Dollar Ilxom bux </t>
  </si>
  <si>
    <t xml:space="preserve">Ilxom bux </t>
  </si>
  <si>
    <t xml:space="preserve">Malo kredir </t>
  </si>
  <si>
    <t xml:space="preserve">Soliha Gulirano </t>
  </si>
  <si>
    <t xml:space="preserve">Abet </t>
  </si>
  <si>
    <t xml:space="preserve">kraska </t>
  </si>
  <si>
    <t xml:space="preserve">Yunus og`a story </t>
  </si>
  <si>
    <t xml:space="preserve">Panel uchun </t>
  </si>
  <si>
    <t xml:space="preserve">Qahramon </t>
  </si>
  <si>
    <t>Qadamboyeva Feruza</t>
  </si>
  <si>
    <t xml:space="preserve">Qurbonboyeva Feruza </t>
  </si>
  <si>
    <t xml:space="preserve">Azizbek O`zgarish </t>
  </si>
  <si>
    <t xml:space="preserve">Fayzulla Usta </t>
  </si>
  <si>
    <t xml:space="preserve">uyga </t>
  </si>
  <si>
    <t xml:space="preserve">Abdikarimova Zamira </t>
  </si>
  <si>
    <t xml:space="preserve">Xayitboyev Quromboy </t>
  </si>
  <si>
    <t xml:space="preserve">Kanlibekov Kutlibek </t>
  </si>
  <si>
    <t xml:space="preserve">Xasanboy firma </t>
  </si>
  <si>
    <t xml:space="preserve">Bekimbetova Aziza </t>
  </si>
  <si>
    <t xml:space="preserve">Yaqubova Bikajon </t>
  </si>
  <si>
    <t xml:space="preserve">Quromboy Limit </t>
  </si>
  <si>
    <t xml:space="preserve">Sanat mantor </t>
  </si>
  <si>
    <t xml:space="preserve">Furaga </t>
  </si>
  <si>
    <t xml:space="preserve">200 dollar naqdlandi </t>
  </si>
  <si>
    <t xml:space="preserve">Tojiboy buva </t>
  </si>
  <si>
    <t xml:space="preserve">Farobiy School </t>
  </si>
  <si>
    <t xml:space="preserve">Arenda Elyor </t>
  </si>
  <si>
    <t xml:space="preserve">Davlatov Murodjon  </t>
  </si>
  <si>
    <t xml:space="preserve">xisoblagich </t>
  </si>
  <si>
    <t xml:space="preserve">Marks </t>
  </si>
  <si>
    <t xml:space="preserve">Gaz </t>
  </si>
  <si>
    <t xml:space="preserve">Xazaraspli </t>
  </si>
  <si>
    <t xml:space="preserve">Ruslan Hokim Yordamchi </t>
  </si>
  <si>
    <t xml:space="preserve">Allaberganov Olimboy </t>
  </si>
  <si>
    <t>Jahongir BRB</t>
  </si>
  <si>
    <t xml:space="preserve">Arenda Yangiariq </t>
  </si>
  <si>
    <t xml:space="preserve">Yaqubova Xosiyat </t>
  </si>
  <si>
    <t xml:space="preserve">Rasulbek shakar </t>
  </si>
  <si>
    <t xml:space="preserve">IT scholl </t>
  </si>
  <si>
    <t xml:space="preserve">Xudayberganova Xonzoda </t>
  </si>
  <si>
    <t xml:space="preserve">Sultonov Izzat </t>
  </si>
  <si>
    <t xml:space="preserve">Akamni nologi </t>
  </si>
  <si>
    <t xml:space="preserve">Azizbek o`zgarish </t>
  </si>
  <si>
    <t xml:space="preserve">shokir og`a tex </t>
  </si>
  <si>
    <t xml:space="preserve">Doniyor broker </t>
  </si>
  <si>
    <t xml:space="preserve">Xasanboy Firma </t>
  </si>
  <si>
    <t xml:space="preserve">Kabulova Bikajon </t>
  </si>
  <si>
    <t xml:space="preserve">Allaberganova Sadoqat </t>
  </si>
  <si>
    <t xml:space="preserve">Limit puli </t>
  </si>
  <si>
    <t xml:space="preserve">Yaqubova Xudayshukur </t>
  </si>
  <si>
    <t xml:space="preserve">Qolya qarzini berdi </t>
  </si>
  <si>
    <t xml:space="preserve">Kraska </t>
  </si>
  <si>
    <t xml:space="preserve">Farabi School </t>
  </si>
  <si>
    <t xml:space="preserve">Top`chi xokim yordamchu </t>
  </si>
  <si>
    <t xml:space="preserve">Esma </t>
  </si>
  <si>
    <t xml:space="preserve">Farobi scholl </t>
  </si>
  <si>
    <t>Aloqabank kredit</t>
  </si>
  <si>
    <t xml:space="preserve">Shokir aloqabank </t>
  </si>
  <si>
    <t xml:space="preserve">Urazmat </t>
  </si>
  <si>
    <t xml:space="preserve">Beko Gurlan </t>
  </si>
  <si>
    <t xml:space="preserve">Ali Ashxpbpod </t>
  </si>
  <si>
    <t>Pitank klient</t>
  </si>
  <si>
    <t xml:space="preserve">Lutfulla usta </t>
  </si>
  <si>
    <t xml:space="preserve">Iskandarov Shavkat </t>
  </si>
  <si>
    <t xml:space="preserve">dollarga </t>
  </si>
  <si>
    <t xml:space="preserve">Iskandarov Shavkaqt </t>
  </si>
  <si>
    <t xml:space="preserve">Ko`chqorova Zamira </t>
  </si>
  <si>
    <t xml:space="preserve">Dollar berildi </t>
  </si>
  <si>
    <t xml:space="preserve">Urganch Shakar </t>
  </si>
  <si>
    <t xml:space="preserve">Gold mir steklo </t>
  </si>
  <si>
    <t xml:space="preserve">Uydan </t>
  </si>
  <si>
    <t xml:space="preserve">Ro`zmetov Farxod </t>
  </si>
  <si>
    <t>Fayzulla usta</t>
  </si>
  <si>
    <t xml:space="preserve">Xarajat </t>
  </si>
  <si>
    <t xml:space="preserve">Yunus og`a </t>
  </si>
  <si>
    <t xml:space="preserve">uyda </t>
  </si>
  <si>
    <t xml:space="preserve">Yashnar Usta </t>
  </si>
  <si>
    <t xml:space="preserve">Benzin rasxo`t </t>
  </si>
  <si>
    <t>Sanat (ABDIKARIMOVA ZAM)</t>
  </si>
  <si>
    <t xml:space="preserve">Xorazm shisha </t>
  </si>
  <si>
    <t xml:space="preserve">Izzat achilov </t>
  </si>
  <si>
    <t xml:space="preserve">Nodir og`a </t>
  </si>
  <si>
    <t xml:space="preserve">Xo`jayev Po`lat </t>
  </si>
  <si>
    <t xml:space="preserve">Egamberdiyev Tojiboy </t>
  </si>
  <si>
    <t xml:space="preserve">Yangitoshcho`ngil </t>
  </si>
  <si>
    <t xml:space="preserve">Jumaniyozov Azad </t>
  </si>
  <si>
    <t xml:space="preserve">Quramboyeva Muxabbat </t>
  </si>
  <si>
    <t xml:space="preserve">Kara </t>
  </si>
  <si>
    <t>Qahramon og` a</t>
  </si>
  <si>
    <t xml:space="preserve">Yusupov Nuraziz </t>
  </si>
  <si>
    <t xml:space="preserve">Atajonov Jahongir </t>
  </si>
  <si>
    <t xml:space="preserve">Dilshod panel puli </t>
  </si>
  <si>
    <t xml:space="preserve">Sanat Usta </t>
  </si>
  <si>
    <t xml:space="preserve">Amanboyeva Xurshid </t>
  </si>
  <si>
    <t>Abror</t>
  </si>
  <si>
    <t>Urazmat</t>
  </si>
  <si>
    <t xml:space="preserve">Atabayeva Zazilat </t>
  </si>
  <si>
    <t xml:space="preserve">Lutfullani Tanishi </t>
  </si>
  <si>
    <t xml:space="preserve">Sattorova Manzura </t>
  </si>
  <si>
    <t xml:space="preserve">Merlin </t>
  </si>
  <si>
    <t xml:space="preserve">YTT Abdullayev Izzat </t>
  </si>
  <si>
    <t xml:space="preserve">Abdikarimov Baxram </t>
  </si>
  <si>
    <t xml:space="preserve">Fayzulla og`a </t>
  </si>
  <si>
    <t xml:space="preserve">Usta Lutfulla </t>
  </si>
  <si>
    <t xml:space="preserve">Usta Fayzulla </t>
  </si>
  <si>
    <t xml:space="preserve">Babaxonova Ojiza </t>
  </si>
  <si>
    <t xml:space="preserve">Madraximova Soxiba </t>
  </si>
  <si>
    <t xml:space="preserve">Qutilimurotov Odilbek </t>
  </si>
  <si>
    <t xml:space="preserve">YTT Saparboyeva Nodira </t>
  </si>
  <si>
    <t xml:space="preserve">Fura va kara </t>
  </si>
  <si>
    <t xml:space="preserve">Allaberganova Davlatjamol </t>
  </si>
  <si>
    <t xml:space="preserve">Yoqub pakarniy bolasi 95 95 </t>
  </si>
  <si>
    <t>KARIMOV XURSHIDBEK</t>
  </si>
  <si>
    <t xml:space="preserve">Kasbi </t>
  </si>
  <si>
    <t xml:space="preserve">Sanat Mantyor </t>
  </si>
  <si>
    <t xml:space="preserve">Shkar </t>
  </si>
  <si>
    <t xml:space="preserve">shakar </t>
  </si>
  <si>
    <t xml:space="preserve">JAC </t>
  </si>
  <si>
    <t xml:space="preserve">Ramanberdiyev Umid </t>
  </si>
  <si>
    <t xml:space="preserve">Sultonov Xursand </t>
  </si>
  <si>
    <t xml:space="preserve">Yaxshimurotova Salomat </t>
  </si>
  <si>
    <t xml:space="preserve">Egamberdiyev Abdinabi </t>
  </si>
  <si>
    <t xml:space="preserve">200 dollar olindi </t>
  </si>
  <si>
    <t xml:space="preserve">Areda Elyor </t>
  </si>
  <si>
    <t xml:space="preserve">Atajonova Marina </t>
  </si>
  <si>
    <t xml:space="preserve">Mustafayev To`xtaboy </t>
  </si>
  <si>
    <t xml:space="preserve">Nazarboyev Samad </t>
  </si>
  <si>
    <t xml:space="preserve">Ataxonov Jaxongir </t>
  </si>
  <si>
    <t xml:space="preserve">To`pchi Hokim yordamchi </t>
  </si>
  <si>
    <t xml:space="preserve">Axmedova Gulshoda </t>
  </si>
  <si>
    <t xml:space="preserve">Ro`zmetova Nafisa </t>
  </si>
  <si>
    <t xml:space="preserve">Yo`ldasheva Zaynab </t>
  </si>
  <si>
    <t xml:space="preserve">Axmedov Muxammadamin </t>
  </si>
  <si>
    <t xml:space="preserve">O`dakov doktor </t>
  </si>
  <si>
    <t xml:space="preserve">Sariyev Xudashukur </t>
  </si>
  <si>
    <t xml:space="preserve">Maxmudova Zuxra </t>
  </si>
  <si>
    <t xml:space="preserve">Musayev Omonboy </t>
  </si>
  <si>
    <t xml:space="preserve">Sotimov Sanjar </t>
  </si>
  <si>
    <t xml:space="preserve">Metan Jac </t>
  </si>
  <si>
    <t xml:space="preserve">Fayzulla </t>
  </si>
  <si>
    <t xml:space="preserve">Xudashukurov Ulug`bek </t>
  </si>
  <si>
    <t xml:space="preserve">Matti </t>
  </si>
  <si>
    <t xml:space="preserve">Xujaniyozov Bekpo`lat </t>
  </si>
  <si>
    <t>SAPAROVA GULNORA</t>
  </si>
  <si>
    <t xml:space="preserve">Vazira  </t>
  </si>
  <si>
    <t xml:space="preserve">qonun </t>
  </si>
  <si>
    <t>Dollar 800</t>
  </si>
  <si>
    <t xml:space="preserve">Qyrbondurdiyeva Kumush </t>
  </si>
  <si>
    <t xml:space="preserve">Akmulyator </t>
  </si>
  <si>
    <t xml:space="preserve">Bobojonov Azizbek </t>
  </si>
  <si>
    <t xml:space="preserve">Karimov G`ulomjon </t>
  </si>
  <si>
    <t xml:space="preserve">Davletov Baxtiyor </t>
  </si>
  <si>
    <t xml:space="preserve">Tikuvchi </t>
  </si>
  <si>
    <t xml:space="preserve">Abdullayeva Donoxon </t>
  </si>
  <si>
    <t xml:space="preserve">Raximov Shuxrat </t>
  </si>
  <si>
    <t xml:space="preserve">Qutimov Ollayor </t>
  </si>
  <si>
    <t xml:space="preserve">Orifjon </t>
  </si>
  <si>
    <t xml:space="preserve">abror </t>
  </si>
  <si>
    <t xml:space="preserve">Gaipov Ko`pal </t>
  </si>
  <si>
    <t>Eldor</t>
  </si>
  <si>
    <t xml:space="preserve">Xamid Mikra </t>
  </si>
  <si>
    <t xml:space="preserve">Rustam </t>
  </si>
  <si>
    <t xml:space="preserve">Sattorov Doniyor </t>
  </si>
  <si>
    <t xml:space="preserve">Aziz </t>
  </si>
  <si>
    <t xml:space="preserve">Abdullayev Baxodir </t>
  </si>
  <si>
    <t xml:space="preserve">Masharipov Toxir </t>
  </si>
  <si>
    <t xml:space="preserve">Babazbayev Gulshod </t>
  </si>
  <si>
    <t xml:space="preserve">Yusupov Bog`ibek </t>
  </si>
  <si>
    <t xml:space="preserve">Javlon Og`a </t>
  </si>
  <si>
    <t xml:space="preserve">Eldorda Qoldiq </t>
  </si>
  <si>
    <t xml:space="preserve">Quryozov Xamid </t>
  </si>
  <si>
    <t xml:space="preserve">Raximova Farida </t>
  </si>
  <si>
    <t xml:space="preserve">Saidov Qudrat </t>
  </si>
  <si>
    <t xml:space="preserve">Onnamurotov Farxod </t>
  </si>
  <si>
    <t xml:space="preserve">Nurafshon XY </t>
  </si>
  <si>
    <t xml:space="preserve">Nayman Panel Puli </t>
  </si>
  <si>
    <t xml:space="preserve">Matyazov Abror  </t>
  </si>
  <si>
    <t xml:space="preserve">Saotova Barno </t>
  </si>
  <si>
    <t xml:space="preserve">Urazmetova Salomat </t>
  </si>
  <si>
    <t xml:space="preserve">Samandarova Zulayxo </t>
  </si>
  <si>
    <t xml:space="preserve">Adambayeva Xafiza </t>
  </si>
  <si>
    <t xml:space="preserve">Satimova Umida </t>
  </si>
  <si>
    <t xml:space="preserve">Yo`ldasheva Shuxrat </t>
  </si>
  <si>
    <t xml:space="preserve">Abdullayeva Said </t>
  </si>
  <si>
    <t xml:space="preserve">Mardon Qarri </t>
  </si>
  <si>
    <t xml:space="preserve">Jumamurotova Zulxumor </t>
  </si>
  <si>
    <t xml:space="preserve">Kar a </t>
  </si>
  <si>
    <t xml:space="preserve">Qurbonboyeva Gulshanoyt </t>
  </si>
  <si>
    <t xml:space="preserve">Maxmudova Shahnoza </t>
  </si>
  <si>
    <t xml:space="preserve">Ollaberganova Charos </t>
  </si>
  <si>
    <t xml:space="preserve">Rahimova Moxigul </t>
  </si>
  <si>
    <t xml:space="preserve">Shakar </t>
  </si>
  <si>
    <t>Yashnar</t>
  </si>
  <si>
    <t xml:space="preserve">Sanat </t>
  </si>
  <si>
    <t xml:space="preserve">Gurlan Beko </t>
  </si>
  <si>
    <t xml:space="preserve">Raxmonberdiyev G`ulom </t>
  </si>
  <si>
    <t xml:space="preserve">Buxoro </t>
  </si>
  <si>
    <t xml:space="preserve">Pul </t>
  </si>
  <si>
    <t xml:space="preserve">Bekchonov Otabek </t>
  </si>
  <si>
    <t xml:space="preserve">Qo`shimcha </t>
  </si>
  <si>
    <t xml:space="preserve">Allaquliyev Xusinboy </t>
  </si>
  <si>
    <t xml:space="preserve">Qutliyeva Anorjonm </t>
  </si>
  <si>
    <t xml:space="preserve">Usta Fayzuklla </t>
  </si>
  <si>
    <t xml:space="preserve">Xudayberganova Qumri </t>
  </si>
  <si>
    <t xml:space="preserve">Yunus Og`a </t>
  </si>
  <si>
    <t xml:space="preserve">Babajonov Sherzod </t>
  </si>
  <si>
    <t xml:space="preserve">Zaripov Orifjon </t>
  </si>
  <si>
    <t xml:space="preserve">Yusupova Saida </t>
  </si>
  <si>
    <t xml:space="preserve">Yo`ldashev Akmal </t>
  </si>
  <si>
    <t xml:space="preserve">Qahramonova Xojarbibi </t>
  </si>
  <si>
    <t xml:space="preserve">Jumaniyozov Mardon </t>
  </si>
  <si>
    <t xml:space="preserve">Ismoilova Nargiza </t>
  </si>
  <si>
    <t xml:space="preserve">Sultonov Omon </t>
  </si>
  <si>
    <t xml:space="preserve">Sabirova Nigora </t>
  </si>
  <si>
    <t xml:space="preserve">Xo`jamurotova Kumush </t>
  </si>
  <si>
    <t xml:space="preserve">Iskandarov Jumanazar </t>
  </si>
  <si>
    <t xml:space="preserve">Matyaqubova Go`zal </t>
  </si>
  <si>
    <t xml:space="preserve">Allaberganova Sevara </t>
  </si>
  <si>
    <t xml:space="preserve">Abdikarimov Artiqboy </t>
  </si>
  <si>
    <t xml:space="preserve">Bekchanov Davron </t>
  </si>
  <si>
    <t xml:space="preserve">Abdullayeva Dilorom </t>
  </si>
  <si>
    <t xml:space="preserve">Artikov Jamshid </t>
  </si>
  <si>
    <t xml:space="preserve">Sobirov Umrbek </t>
  </si>
  <si>
    <t xml:space="preserve">Xayitov Nazarbek </t>
  </si>
  <si>
    <t xml:space="preserve">Oltinqum Xyor </t>
  </si>
  <si>
    <t xml:space="preserve">Ashxobod Chorvasi </t>
  </si>
  <si>
    <t xml:space="preserve">G`anijon  Usta </t>
  </si>
  <si>
    <t xml:space="preserve">plastikka </t>
  </si>
  <si>
    <t xml:space="preserve">Mikra </t>
  </si>
  <si>
    <t>Saxovat xyor</t>
  </si>
  <si>
    <t>Ilyos xy</t>
  </si>
  <si>
    <t xml:space="preserve">Salayev Sardor </t>
  </si>
  <si>
    <t xml:space="preserve">Asmadov </t>
  </si>
  <si>
    <t xml:space="preserve">Xo`janiyozov Umirbek </t>
  </si>
  <si>
    <t>Shoxrux</t>
  </si>
  <si>
    <t xml:space="preserve">Kamaladdinov Yo`ldashbay </t>
  </si>
  <si>
    <t xml:space="preserve">Batirova Nigora </t>
  </si>
  <si>
    <t xml:space="preserve">Ro`zmetova Zuhra </t>
  </si>
  <si>
    <t xml:space="preserve">Kenjayev Xamdambek </t>
  </si>
  <si>
    <t xml:space="preserve">Ro`zmetova Salomat </t>
  </si>
  <si>
    <t xml:space="preserve">Saidova Malohat </t>
  </si>
  <si>
    <t xml:space="preserve">Eshchanov Izzat </t>
  </si>
  <si>
    <t xml:space="preserve">Allaberganov Dilshod </t>
  </si>
  <si>
    <t xml:space="preserve">Masharipov Nodirbek </t>
  </si>
  <si>
    <t xml:space="preserve">Laqqachi </t>
  </si>
  <si>
    <t xml:space="preserve">Inventor </t>
  </si>
  <si>
    <t xml:space="preserve">Shakar urganch </t>
  </si>
  <si>
    <t xml:space="preserve">Jumaniyozova Nargiza </t>
  </si>
  <si>
    <t xml:space="preserve">Samandarov Bexruz </t>
  </si>
  <si>
    <t xml:space="preserve">Allaberganova Ro`za </t>
  </si>
  <si>
    <t xml:space="preserve">Uyga </t>
  </si>
  <si>
    <t xml:space="preserve">Raximberdiyev Toxir </t>
  </si>
  <si>
    <t xml:space="preserve">Aminov Muslimbek </t>
  </si>
  <si>
    <t xml:space="preserve">Maqsud buxgalter </t>
  </si>
  <si>
    <t xml:space="preserve">Xonqa Dilmurod </t>
  </si>
  <si>
    <t xml:space="preserve">Kenjayev Nodir </t>
  </si>
  <si>
    <t xml:space="preserve">Ramatjon </t>
  </si>
  <si>
    <t xml:space="preserve">Rozzaqov Zoxid </t>
  </si>
  <si>
    <t xml:space="preserve">Asad </t>
  </si>
  <si>
    <t xml:space="preserve">Iskandarova Yulduz </t>
  </si>
  <si>
    <t xml:space="preserve">Jiyamurotov Abboz </t>
  </si>
  <si>
    <t xml:space="preserve">Farxodov Kaxramon </t>
  </si>
  <si>
    <t xml:space="preserve">Ruzimova Nasiba </t>
  </si>
  <si>
    <t xml:space="preserve">Xujamurotova Shaxnoza </t>
  </si>
  <si>
    <t xml:space="preserve">Muxabbat opa </t>
  </si>
  <si>
    <t xml:space="preserve">Jumanazarov Bekzod </t>
  </si>
  <si>
    <t xml:space="preserve">Xujaniyozova Marziya </t>
  </si>
  <si>
    <t xml:space="preserve">Ibadullayev Atamurod </t>
  </si>
  <si>
    <t xml:space="preserve">Atajonov Ergash </t>
  </si>
  <si>
    <t xml:space="preserve">Yusupov Dilshod </t>
  </si>
  <si>
    <t xml:space="preserve">Quryozova Charosxon </t>
  </si>
  <si>
    <t xml:space="preserve">Quvonch og`a </t>
  </si>
  <si>
    <t xml:space="preserve">Asmadov Ko`pal </t>
  </si>
  <si>
    <t xml:space="preserve">Sadullayeva Zilola </t>
  </si>
  <si>
    <t xml:space="preserve">Telefon </t>
  </si>
  <si>
    <t xml:space="preserve">Allaberganova Anaxon </t>
  </si>
  <si>
    <t xml:space="preserve">Qulmetova Bibijon </t>
  </si>
  <si>
    <t xml:space="preserve">Abdirimov Tursunboy </t>
  </si>
  <si>
    <t xml:space="preserve">Dilshod Iqbol Laziz </t>
  </si>
  <si>
    <t xml:space="preserve">Usta Yashnar </t>
  </si>
  <si>
    <t xml:space="preserve">smartga </t>
  </si>
  <si>
    <t xml:space="preserve">Xo`janiyozova Intizor </t>
  </si>
  <si>
    <t xml:space="preserve">Otajonov Dilshod </t>
  </si>
  <si>
    <t xml:space="preserve">Qurbonboyev Toxir </t>
  </si>
  <si>
    <t xml:space="preserve">Saliyeva Rayxon </t>
  </si>
  <si>
    <t xml:space="preserve">Panayeva Guliston </t>
  </si>
  <si>
    <t>Zaripova Dilnoza</t>
  </si>
  <si>
    <t xml:space="preserve">Buxoro Safar </t>
  </si>
  <si>
    <t xml:space="preserve">Yusupov Mansur </t>
  </si>
  <si>
    <t xml:space="preserve">Otajonov Mashirip </t>
  </si>
  <si>
    <t xml:space="preserve">Latush </t>
  </si>
  <si>
    <t xml:space="preserve">Yusupova Anagul </t>
  </si>
  <si>
    <t xml:space="preserve">Mikra Kredit </t>
  </si>
  <si>
    <t xml:space="preserve">Jumaniyozov Dilshod </t>
  </si>
  <si>
    <t>Sahovat</t>
  </si>
  <si>
    <t xml:space="preserve">Kolya Shams </t>
  </si>
  <si>
    <t>ruslan</t>
  </si>
  <si>
    <t xml:space="preserve">Bektosh moto </t>
  </si>
  <si>
    <t xml:space="preserve">Kirob eshon </t>
  </si>
  <si>
    <t xml:space="preserve">moto </t>
  </si>
  <si>
    <t xml:space="preserve">Panel Yangiariq </t>
  </si>
  <si>
    <t xml:space="preserve">Akbar ish xaqi </t>
  </si>
  <si>
    <t xml:space="preserve">Ruslan </t>
  </si>
  <si>
    <t xml:space="preserve">Tajiyev Usmon </t>
  </si>
  <si>
    <t xml:space="preserve">Boltayev Hamdam </t>
  </si>
  <si>
    <t xml:space="preserve">Lelin </t>
  </si>
  <si>
    <t xml:space="preserve">Saburov Sanjar </t>
  </si>
  <si>
    <t xml:space="preserve">Paximov Raxim </t>
  </si>
  <si>
    <t xml:space="preserve">Avazmetova Feruza </t>
  </si>
  <si>
    <t xml:space="preserve">Bux sherzod </t>
  </si>
  <si>
    <t xml:space="preserve">Qutlimurotov Odil </t>
  </si>
  <si>
    <t xml:space="preserve">Opay </t>
  </si>
  <si>
    <t xml:space="preserve">Shoxrux Buxoro </t>
  </si>
  <si>
    <t xml:space="preserve">Fayzulla Manzura </t>
  </si>
  <si>
    <t xml:space="preserve">Moto </t>
  </si>
  <si>
    <t xml:space="preserve">Fozil qashqadaryo </t>
  </si>
  <si>
    <t xml:space="preserve">Babayev Jasur </t>
  </si>
  <si>
    <t xml:space="preserve">Matyaqubov Ollabergan </t>
  </si>
  <si>
    <t xml:space="preserve">Muzaffar </t>
  </si>
  <si>
    <t xml:space="preserve">Esma uchun </t>
  </si>
  <si>
    <t xml:space="preserve">Ishmetova Shirin </t>
  </si>
  <si>
    <t xml:space="preserve">Omonboyev Pasul </t>
  </si>
  <si>
    <t>Saidov Alisher</t>
  </si>
  <si>
    <t xml:space="preserve">Avazmetov Zoir </t>
  </si>
  <si>
    <t xml:space="preserve">Qaxramon og`a </t>
  </si>
  <si>
    <t xml:space="preserve">Jumaniyozov Diyor </t>
  </si>
  <si>
    <t>Imkoniyat Bogi</t>
  </si>
  <si>
    <t xml:space="preserve">Shaxzod </t>
  </si>
  <si>
    <t>Baliqchi</t>
  </si>
  <si>
    <t xml:space="preserve">Rasulbek bank </t>
  </si>
  <si>
    <t xml:space="preserve">Oltinqum Sherzod </t>
  </si>
  <si>
    <t xml:space="preserve">doolar </t>
  </si>
  <si>
    <t xml:space="preserve">Ataniyozov Quryozbek </t>
  </si>
  <si>
    <t xml:space="preserve">mayda </t>
  </si>
  <si>
    <t xml:space="preserve">Qurbonov Aziz </t>
  </si>
  <si>
    <t xml:space="preserve">Qo`shchanov O`tkir </t>
  </si>
  <si>
    <t xml:space="preserve">Babayev Siddiqov </t>
  </si>
  <si>
    <t>Koya shisha</t>
  </si>
  <si>
    <t xml:space="preserve">Abdullayeva Zuhra </t>
  </si>
  <si>
    <t>Xujamurotov B</t>
  </si>
  <si>
    <t xml:space="preserve">Tvalov  og`abek </t>
  </si>
  <si>
    <t xml:space="preserve">Allamova Zaynab </t>
  </si>
  <si>
    <t xml:space="preserve">Maxmudova Saida </t>
  </si>
  <si>
    <t xml:space="preserve">Qurbonov Javlon </t>
  </si>
  <si>
    <t xml:space="preserve">Otajonova Durdiposhsha </t>
  </si>
  <si>
    <t xml:space="preserve">Tillaev Sanat </t>
  </si>
  <si>
    <t xml:space="preserve">Xo`jayev Yodgor </t>
  </si>
  <si>
    <t xml:space="preserve">Davletova Anajon </t>
  </si>
  <si>
    <t xml:space="preserve">Botir doyim </t>
  </si>
  <si>
    <t xml:space="preserve">Raximov Alisher </t>
  </si>
  <si>
    <t xml:space="preserve">Egamova Nargiza </t>
  </si>
  <si>
    <t xml:space="preserve">Jumanazarova Dildora </t>
  </si>
  <si>
    <t xml:space="preserve">O`tkir </t>
  </si>
  <si>
    <t xml:space="preserve">Akbar </t>
  </si>
  <si>
    <t xml:space="preserve">Dadanazar </t>
  </si>
  <si>
    <t xml:space="preserve">Jumaniyozova Sevara </t>
  </si>
  <si>
    <t xml:space="preserve">Yusupov Jambul </t>
  </si>
  <si>
    <t xml:space="preserve">Jumaqova Maxbuba </t>
  </si>
  <si>
    <t xml:space="preserve">Yuldasheva Inobat </t>
  </si>
  <si>
    <t xml:space="preserve">Tajiddinov Dildor </t>
  </si>
  <si>
    <t xml:space="preserve">Lutfulla Usta </t>
  </si>
  <si>
    <t xml:space="preserve">Eshon buva </t>
  </si>
  <si>
    <t xml:space="preserve">Po`lat molya </t>
  </si>
  <si>
    <t>Raximov Alisher</t>
  </si>
  <si>
    <t xml:space="preserve">Artiqov Sanat </t>
  </si>
  <si>
    <t xml:space="preserve">Ariton </t>
  </si>
  <si>
    <t xml:space="preserve">Aysha Opa </t>
  </si>
  <si>
    <t xml:space="preserve">O`tkir Inventor </t>
  </si>
  <si>
    <t xml:space="preserve">Davletov Zokir </t>
  </si>
  <si>
    <t xml:space="preserve">Kamulov diyor </t>
  </si>
  <si>
    <t xml:space="preserve">Yashnar usta </t>
  </si>
  <si>
    <t xml:space="preserve">Ernazarova Baxtugul </t>
  </si>
  <si>
    <t xml:space="preserve">Xasanova Kamoloy </t>
  </si>
  <si>
    <t xml:space="preserve">Raximova Laylo </t>
  </si>
  <si>
    <t xml:space="preserve">Yuldashev Nizomjon </t>
  </si>
  <si>
    <t xml:space="preserve">Xojayev Po`lat </t>
  </si>
  <si>
    <t xml:space="preserve">Kolya Shisha </t>
  </si>
  <si>
    <t xml:space="preserve">Jumaniyozov Sanjar </t>
  </si>
  <si>
    <t xml:space="preserve">Egamberdiyev Dilshod </t>
  </si>
  <si>
    <t xml:space="preserve">Alisher aka </t>
  </si>
  <si>
    <t xml:space="preserve">Rahmatjon 30 kw xiva </t>
  </si>
  <si>
    <t xml:space="preserve">Audit </t>
  </si>
  <si>
    <t xml:space="preserve">Ro`zimboyeva Iroda </t>
  </si>
  <si>
    <t xml:space="preserve">Ibragimova Malohat </t>
  </si>
  <si>
    <t xml:space="preserve">Amirxon Malak </t>
  </si>
  <si>
    <t xml:space="preserve">300 dollar </t>
  </si>
  <si>
    <t xml:space="preserve">Ro`zmetov Dilshod </t>
  </si>
  <si>
    <t xml:space="preserve">Jumaboyeva Durdona </t>
  </si>
  <si>
    <t xml:space="preserve">Vaisov Rasul </t>
  </si>
  <si>
    <t xml:space="preserve">O`tkir og`a </t>
  </si>
  <si>
    <t>bunyod</t>
  </si>
  <si>
    <t xml:space="preserve">Allaberganov Dilmurod </t>
  </si>
  <si>
    <t xml:space="preserve">Kartaga </t>
  </si>
  <si>
    <t xml:space="preserve">To`rayev Quvonchbek </t>
  </si>
  <si>
    <t xml:space="preserve">Otajonov Rustam </t>
  </si>
  <si>
    <t xml:space="preserve">Jumaniyozov Doniyor </t>
  </si>
  <si>
    <t xml:space="preserve">Masharipova Chamangul </t>
  </si>
  <si>
    <t xml:space="preserve">Allaberganov Mansur </t>
  </si>
  <si>
    <t xml:space="preserve">Fayzulla ustya </t>
  </si>
  <si>
    <t>eldor</t>
  </si>
  <si>
    <t xml:space="preserve">Kabel </t>
  </si>
  <si>
    <t xml:space="preserve">Jumanazarov Sherzod </t>
  </si>
  <si>
    <t xml:space="preserve">Saidov Ko`pal </t>
  </si>
  <si>
    <t xml:space="preserve">Obod Sho`ra </t>
  </si>
  <si>
    <t xml:space="preserve">Xolmurod og`a </t>
  </si>
  <si>
    <t xml:space="preserve">Matmurotov Bunyod </t>
  </si>
  <si>
    <t xml:space="preserve">SSS Botir </t>
  </si>
  <si>
    <t xml:space="preserve">Yuldashev Sardor </t>
  </si>
  <si>
    <t>Davletov Xalilo</t>
  </si>
  <si>
    <t xml:space="preserve">Ibragimova Rayxon </t>
  </si>
  <si>
    <t xml:space="preserve">Sanat sho`ra </t>
  </si>
  <si>
    <t xml:space="preserve">Xumoyun Oylik </t>
  </si>
  <si>
    <t xml:space="preserve">Yarmaqov Karimboy </t>
  </si>
  <si>
    <t xml:space="preserve">Qo`chqorov To`lqinbek </t>
  </si>
  <si>
    <t xml:space="preserve">YTT Aytboyev Anvar </t>
  </si>
  <si>
    <t xml:space="preserve">Sobirova Nilufar </t>
  </si>
  <si>
    <t xml:space="preserve">Sharipov Sarvar </t>
  </si>
  <si>
    <t xml:space="preserve">To`liyev Rahmatjon </t>
  </si>
  <si>
    <t xml:space="preserve">Komil botvoy </t>
  </si>
  <si>
    <t xml:space="preserve">Xonqali </t>
  </si>
  <si>
    <t>Rahimov Alisher</t>
  </si>
  <si>
    <t xml:space="preserve">Qalandarov O`tkir </t>
  </si>
  <si>
    <t xml:space="preserve">Usta Sanat </t>
  </si>
  <si>
    <t>Usta Yashnar</t>
  </si>
  <si>
    <t xml:space="preserve">Alisher og`a Lelin </t>
  </si>
  <si>
    <t xml:space="preserve">Bobojonova Zulxumor </t>
  </si>
  <si>
    <t xml:space="preserve">Karriyeva Umida </t>
  </si>
  <si>
    <t xml:space="preserve">Kuromboyeva Gulyor </t>
  </si>
  <si>
    <t xml:space="preserve">Labo </t>
  </si>
  <si>
    <t xml:space="preserve">YTT Otajonov Zumrad </t>
  </si>
  <si>
    <t xml:space="preserve">Tamara bolasi </t>
  </si>
  <si>
    <t xml:space="preserve">Bekchanova Dildora </t>
  </si>
  <si>
    <t xml:space="preserve">Ytt Allanazarova Nargiza </t>
  </si>
  <si>
    <t xml:space="preserve">Bog`ot mash kimyo </t>
  </si>
  <si>
    <t xml:space="preserve">Alisher Uz Building </t>
  </si>
  <si>
    <t xml:space="preserve">Mamatov Ilyos </t>
  </si>
  <si>
    <t xml:space="preserve">Ismoilov Xamibullo </t>
  </si>
  <si>
    <t xml:space="preserve">Rahmatjon </t>
  </si>
  <si>
    <t xml:space="preserve">Sadullayeva Gulzoda </t>
  </si>
  <si>
    <t xml:space="preserve">Mavlonova G`anisher </t>
  </si>
  <si>
    <t xml:space="preserve">Erniyozova Oysha </t>
  </si>
  <si>
    <t xml:space="preserve">Ismoilov Yusupjon </t>
  </si>
  <si>
    <t xml:space="preserve">Ytt Atamurotova Nafisa </t>
  </si>
  <si>
    <t xml:space="preserve">Boltayeva Qunduz </t>
  </si>
  <si>
    <t xml:space="preserve">Kazaqov Xikmatjon </t>
  </si>
  <si>
    <t xml:space="preserve">Urazbayev Bagabdik </t>
  </si>
  <si>
    <t xml:space="preserve">Saparova Gulnora </t>
  </si>
  <si>
    <t xml:space="preserve">Sultonov Muxtor </t>
  </si>
  <si>
    <t xml:space="preserve">audit </t>
  </si>
  <si>
    <t xml:space="preserve">Nurmetov Sobit </t>
  </si>
  <si>
    <t xml:space="preserve">Bekchanova Dilfuza </t>
  </si>
  <si>
    <t xml:space="preserve">Kutliboyeva Iroda </t>
  </si>
  <si>
    <t xml:space="preserve">Rejepova Laylo </t>
  </si>
  <si>
    <t xml:space="preserve">Tanbayev Doutbak </t>
  </si>
  <si>
    <t xml:space="preserve">Kaytnazarov Seregul </t>
  </si>
  <si>
    <t xml:space="preserve">Matniyozova Gulsara </t>
  </si>
  <si>
    <t xml:space="preserve">Saparbayeva Navbaxor </t>
  </si>
  <si>
    <t xml:space="preserve">Babajonov Xamro </t>
  </si>
  <si>
    <t xml:space="preserve">Allamova Matluba </t>
  </si>
  <si>
    <t xml:space="preserve">Matsapayev Jaloladdin </t>
  </si>
  <si>
    <t xml:space="preserve">Achilova Shaxnoza </t>
  </si>
  <si>
    <t xml:space="preserve">Qurbonova Zebo </t>
  </si>
  <si>
    <t xml:space="preserve">Rajabova Navbaxor </t>
  </si>
  <si>
    <t xml:space="preserve">Allaberganov Aslbek </t>
  </si>
  <si>
    <t xml:space="preserve">schotdan </t>
  </si>
  <si>
    <t xml:space="preserve">Og`aboyev Ogaboy </t>
  </si>
  <si>
    <t xml:space="preserve">Xorazm Shams Building </t>
  </si>
  <si>
    <t xml:space="preserve">Quranboyeva Surayyo </t>
  </si>
  <si>
    <t xml:space="preserve">Sapayeva Zamira </t>
  </si>
  <si>
    <t>Audit</t>
  </si>
  <si>
    <t xml:space="preserve">Xo`jam </t>
  </si>
  <si>
    <t xml:space="preserve">Schorchik </t>
  </si>
  <si>
    <t xml:space="preserve">Sapayev Sardor </t>
  </si>
  <si>
    <t xml:space="preserve">Mo`lla buva </t>
  </si>
  <si>
    <t xml:space="preserve">Sherzod Bux  </t>
  </si>
  <si>
    <t xml:space="preserve">Madalboyev Mardon </t>
  </si>
  <si>
    <t xml:space="preserve">600 dollar </t>
  </si>
  <si>
    <t xml:space="preserve">Otaxonov Dadaxon </t>
  </si>
  <si>
    <t xml:space="preserve">Azizbek </t>
  </si>
  <si>
    <t xml:space="preserve">Arenda Eldor </t>
  </si>
  <si>
    <t xml:space="preserve">Rasulbek Shakar </t>
  </si>
  <si>
    <t xml:space="preserve">Eshimbetova Xurshida </t>
  </si>
  <si>
    <t xml:space="preserve">Sapayev Javlonbek </t>
  </si>
  <si>
    <t xml:space="preserve">Bazirbayev Maqsud </t>
  </si>
  <si>
    <t xml:space="preserve">Sapayeva Gulnoza </t>
  </si>
  <si>
    <t xml:space="preserve">Raximboyeva Luiza </t>
  </si>
  <si>
    <t xml:space="preserve">YTT Bekchanova O`g`iljon </t>
  </si>
  <si>
    <t xml:space="preserve">Avazova Fazilat </t>
  </si>
  <si>
    <t xml:space="preserve">Nurafshon Xokim yordamchi </t>
  </si>
  <si>
    <t xml:space="preserve">Subsidiya </t>
  </si>
  <si>
    <t>Sanat sho`ra a</t>
  </si>
  <si>
    <t xml:space="preserve">Shokir o`ga </t>
  </si>
  <si>
    <t xml:space="preserve">Allaberganova Gulmira </t>
  </si>
  <si>
    <t xml:space="preserve">Matyaqubov Jo`rabek </t>
  </si>
  <si>
    <t xml:space="preserve">Durdiyeva Qunduzoy </t>
  </si>
  <si>
    <t xml:space="preserve">Egamov Tojiboy </t>
  </si>
  <si>
    <t xml:space="preserve">Bekzod Nolog </t>
  </si>
  <si>
    <t xml:space="preserve">Shoxrux Mayda </t>
  </si>
  <si>
    <t xml:space="preserve">Ollayorova Ulbo`lsin </t>
  </si>
  <si>
    <t xml:space="preserve">Jalekev Bisenboy </t>
  </si>
  <si>
    <t xml:space="preserve">Abdug`aniyeva Suyulma </t>
  </si>
  <si>
    <t xml:space="preserve">Paxmonova Oyimjon </t>
  </si>
  <si>
    <t xml:space="preserve">Yuldasheva Shoxista </t>
  </si>
  <si>
    <t xml:space="preserve">Otabekov Jaxongir </t>
  </si>
  <si>
    <t xml:space="preserve">Karimova Shaxodat </t>
  </si>
  <si>
    <t xml:space="preserve">Kartadan </t>
  </si>
  <si>
    <t xml:space="preserve">Satimov Ruslanbek </t>
  </si>
  <si>
    <t xml:space="preserve">O`rinboyev Javoxir </t>
  </si>
  <si>
    <t xml:space="preserve">Sabirova Mavluda </t>
  </si>
  <si>
    <t xml:space="preserve">Nurafshon xy </t>
  </si>
  <si>
    <t xml:space="preserve">Temir fura </t>
  </si>
  <si>
    <t xml:space="preserve">Ibadullayeva Malohat </t>
  </si>
  <si>
    <t xml:space="preserve">Matyaqubov Sarvar </t>
  </si>
  <si>
    <t xml:space="preserve">Boltayev Ulug`bek </t>
  </si>
  <si>
    <t xml:space="preserve">Babaddinov Qarz </t>
  </si>
  <si>
    <t xml:space="preserve">Yusupova Bonu </t>
  </si>
  <si>
    <t xml:space="preserve">Xudashukurov Sherali </t>
  </si>
  <si>
    <t xml:space="preserve">Jumanazarova Fotima </t>
  </si>
  <si>
    <t xml:space="preserve">Saburov To`lqinbek </t>
  </si>
  <si>
    <t xml:space="preserve">Yusupova Oliyajon </t>
  </si>
  <si>
    <t xml:space="preserve">Baxtiyorova Anajon </t>
  </si>
  <si>
    <t xml:space="preserve">Akrom Advakat </t>
  </si>
  <si>
    <t xml:space="preserve">Xalbayev Gabit </t>
  </si>
  <si>
    <t xml:space="preserve">Ro`zmetova Sanobar </t>
  </si>
  <si>
    <t xml:space="preserve">Jumaboyev Anvar </t>
  </si>
  <si>
    <t xml:space="preserve">Ismoilov Islomboy </t>
  </si>
  <si>
    <t xml:space="preserve">Xudayquov Matyoqub </t>
  </si>
  <si>
    <t xml:space="preserve">Qo`chqorov Sarvar </t>
  </si>
  <si>
    <t xml:space="preserve">Jumaniyozov Fayzulla </t>
  </si>
  <si>
    <t xml:space="preserve">Berdiyeva Asalxon </t>
  </si>
  <si>
    <t>Saidmametova Nargiz a</t>
  </si>
  <si>
    <t xml:space="preserve">Berdiyeva Zulfiya </t>
  </si>
  <si>
    <t xml:space="preserve">Eshmurotova Zebo </t>
  </si>
  <si>
    <t xml:space="preserve">Saparova Aziza </t>
  </si>
  <si>
    <t>Oqtepa XE</t>
  </si>
  <si>
    <t xml:space="preserve">Raximov Rajabboy </t>
  </si>
  <si>
    <t xml:space="preserve">Matnazarova Gulsara </t>
  </si>
  <si>
    <t>Oltinqum XE</t>
  </si>
  <si>
    <t xml:space="preserve">Quchqarov Sarvar </t>
  </si>
  <si>
    <t xml:space="preserve">Qadirov Nuraddin </t>
  </si>
  <si>
    <t xml:space="preserve">Ro`zmetova Iqbol </t>
  </si>
  <si>
    <t xml:space="preserve">Allaberganov Jaxongir </t>
  </si>
  <si>
    <t xml:space="preserve">Qadirova Xalima </t>
  </si>
  <si>
    <t xml:space="preserve">To`pchi xokim yordamchi </t>
  </si>
  <si>
    <t xml:space="preserve">Saidov Temur </t>
  </si>
  <si>
    <t xml:space="preserve">eldor naqdlagan </t>
  </si>
  <si>
    <t>Bekzod Gurlan</t>
  </si>
  <si>
    <t xml:space="preserve">Sharipov Alisher </t>
  </si>
  <si>
    <t xml:space="preserve">Bekmurotov Mansurbek </t>
  </si>
  <si>
    <t xml:space="preserve">Skuter </t>
  </si>
  <si>
    <t xml:space="preserve">Urazmetov Sultanboy </t>
  </si>
  <si>
    <t xml:space="preserve">Madrimov Jamol </t>
  </si>
  <si>
    <t xml:space="preserve">Otajonova Matluba </t>
  </si>
  <si>
    <t xml:space="preserve">jo`rabek </t>
  </si>
  <si>
    <t xml:space="preserve">Jumanazarov Shoxnur </t>
  </si>
  <si>
    <t xml:space="preserve">Saparov Xasanboy </t>
  </si>
  <si>
    <t xml:space="preserve">Paxriddin og`a </t>
  </si>
  <si>
    <t xml:space="preserve">Bog`ot nasl chorva 111 </t>
  </si>
  <si>
    <t xml:space="preserve">Rasulbek </t>
  </si>
  <si>
    <t xml:space="preserve">Shoxrux Saidjonov </t>
  </si>
  <si>
    <t>Rasulbek</t>
  </si>
  <si>
    <t xml:space="preserve">opam </t>
  </si>
  <si>
    <t xml:space="preserve">Do`schanova Kamolat </t>
  </si>
  <si>
    <t xml:space="preserve">Lutfulla usta ko`l uchun </t>
  </si>
  <si>
    <t xml:space="preserve">Xo`jayeva Manzura </t>
  </si>
  <si>
    <t xml:space="preserve">O`tegenova Jamila </t>
  </si>
  <si>
    <t xml:space="preserve">Abilov Ruslan </t>
  </si>
  <si>
    <t xml:space="preserve">Xudayberganova Soxiba </t>
  </si>
  <si>
    <t>Nurafshon Xo</t>
  </si>
  <si>
    <t xml:space="preserve">Izzatbek Anvarbek </t>
  </si>
  <si>
    <t xml:space="preserve">Fozil Agrabank </t>
  </si>
  <si>
    <t xml:space="preserve">Ko`rbonboyev G`ayrat </t>
  </si>
  <si>
    <t xml:space="preserve">Umar og`a XY </t>
  </si>
  <si>
    <t xml:space="preserve">Tajiboyeva Gulzoda </t>
  </si>
  <si>
    <t xml:space="preserve">Bogot oil Sentr </t>
  </si>
  <si>
    <t xml:space="preserve">Rahmatjon Inventor 20 lik </t>
  </si>
  <si>
    <t xml:space="preserve">Ro`zmetov Baxodir </t>
  </si>
  <si>
    <t xml:space="preserve">O`ktamboy Xurshida </t>
  </si>
  <si>
    <t xml:space="preserve">YTT Abdullayeva Umida </t>
  </si>
  <si>
    <t>Jaxongir BRB</t>
  </si>
  <si>
    <t xml:space="preserve">Qilichev Boboxon </t>
  </si>
  <si>
    <t xml:space="preserve">qarzga Siroj </t>
  </si>
  <si>
    <t xml:space="preserve">AT Xalq Banki </t>
  </si>
  <si>
    <t xml:space="preserve">Xamkorbank Kredit </t>
  </si>
  <si>
    <t xml:space="preserve">Asadbek Oylik </t>
  </si>
  <si>
    <t xml:space="preserve">Rahimov Olimboy </t>
  </si>
  <si>
    <t xml:space="preserve">Jamila Salon </t>
  </si>
  <si>
    <t xml:space="preserve">Akromjon Xojiakbek </t>
  </si>
  <si>
    <t xml:space="preserve">Abdullayev Umidjon </t>
  </si>
  <si>
    <t xml:space="preserve">Jumamurotov Sanjar </t>
  </si>
  <si>
    <t xml:space="preserve">Artiqova Nasiba </t>
  </si>
  <si>
    <t xml:space="preserve">Yusupova Nilufar </t>
  </si>
  <si>
    <t xml:space="preserve">Usmonova Nilufar </t>
  </si>
  <si>
    <t xml:space="preserve">Shoxrux Oylik </t>
  </si>
  <si>
    <t xml:space="preserve">Ro`ziboyeva Adolat </t>
  </si>
  <si>
    <t xml:space="preserve">Gold kraft </t>
  </si>
  <si>
    <t xml:space="preserve">Ro`zmetov Baxtiyor </t>
  </si>
  <si>
    <t xml:space="preserve">Xursand og`a </t>
  </si>
  <si>
    <t xml:space="preserve">Xamid mikra </t>
  </si>
  <si>
    <t xml:space="preserve">YTT Umirbekov Nurniyoz </t>
  </si>
  <si>
    <t xml:space="preserve">Rustamova Maxbuba </t>
  </si>
  <si>
    <t xml:space="preserve">Shermetov Shoxrux </t>
  </si>
  <si>
    <t xml:space="preserve">Davletov Jonibek </t>
  </si>
  <si>
    <t xml:space="preserve">Shermetov Maxmud </t>
  </si>
  <si>
    <t xml:space="preserve">G`ofurov Elmurod </t>
  </si>
  <si>
    <t xml:space="preserve">G`opurov Elmurod </t>
  </si>
  <si>
    <t xml:space="preserve">Qadamboyev Muhammadjon </t>
  </si>
  <si>
    <t>Plastiika</t>
  </si>
  <si>
    <t xml:space="preserve">Rajabboyev Murod </t>
  </si>
  <si>
    <t xml:space="preserve">Rajabov Mudod </t>
  </si>
  <si>
    <t xml:space="preserve">Abdullayeva Zulfizar </t>
  </si>
  <si>
    <t xml:space="preserve">Madiyorov Dilshod </t>
  </si>
  <si>
    <t xml:space="preserve">kolya SSS botir </t>
  </si>
  <si>
    <t xml:space="preserve">Ro`zmetov Zarip </t>
  </si>
  <si>
    <t xml:space="preserve">Suxrob Xalq Banki Agent </t>
  </si>
  <si>
    <t>04-05.04.2026</t>
  </si>
  <si>
    <t xml:space="preserve">Po`lat Moliya </t>
  </si>
  <si>
    <t xml:space="preserve">Mayda  </t>
  </si>
  <si>
    <t xml:space="preserve">Allaberganov Sulaymon </t>
  </si>
  <si>
    <t xml:space="preserve">Axmedov Javlon </t>
  </si>
  <si>
    <t xml:space="preserve">Moniy </t>
  </si>
  <si>
    <t xml:space="preserve">Kabina </t>
  </si>
  <si>
    <t xml:space="preserve">Ishonch </t>
  </si>
  <si>
    <t xml:space="preserve">Akbar Yangariq </t>
  </si>
  <si>
    <t xml:space="preserve">Bunyod  </t>
  </si>
  <si>
    <t xml:space="preserve">Uragan Farxod </t>
  </si>
  <si>
    <t xml:space="preserve">Qalajiqala Doktor </t>
  </si>
  <si>
    <t xml:space="preserve">Valiyev Radik </t>
  </si>
  <si>
    <t xml:space="preserve">Mattiyev Xursand </t>
  </si>
  <si>
    <t xml:space="preserve">Bog`ot Saxovat Gulshani </t>
  </si>
  <si>
    <t xml:space="preserve">Qilicheva Gavhar </t>
  </si>
  <si>
    <t xml:space="preserve">Olimov Ravshanbek </t>
  </si>
  <si>
    <t xml:space="preserve">Xalimetov Jenisbek </t>
  </si>
  <si>
    <t xml:space="preserve">Bobojonov Madadbek </t>
  </si>
  <si>
    <t xml:space="preserve">Axmedov Akmal </t>
  </si>
  <si>
    <t xml:space="preserve">Yo`ldasheva Moxira </t>
  </si>
  <si>
    <t xml:space="preserve">Xo`janazarova Tursunoy </t>
  </si>
  <si>
    <t xml:space="preserve">Dilafruz Beruniy Lutfulla </t>
  </si>
  <si>
    <t xml:space="preserve">Alibek Beruniy Lutfulla </t>
  </si>
  <si>
    <t>Xolmurod Usta</t>
  </si>
  <si>
    <t xml:space="preserve">Oxunjon Kpi Javlon og`a </t>
  </si>
  <si>
    <t xml:space="preserve">Javlon og`a </t>
  </si>
  <si>
    <t xml:space="preserve">Shoxrux Kolya </t>
  </si>
  <si>
    <t xml:space="preserve">Tojiyeva Rohat </t>
  </si>
  <si>
    <t xml:space="preserve">32000 dollar </t>
  </si>
  <si>
    <t xml:space="preserve">1600 dollar </t>
  </si>
  <si>
    <t xml:space="preserve">390 mln </t>
  </si>
  <si>
    <t xml:space="preserve">19,4 Baxriddin </t>
  </si>
  <si>
    <t>Tangriberganova N</t>
  </si>
  <si>
    <t xml:space="preserve">Saidova Manzura </t>
  </si>
  <si>
    <t xml:space="preserve">Ro`zmetov Zaripboy </t>
  </si>
  <si>
    <t xml:space="preserve">Jabborov Askad </t>
  </si>
  <si>
    <t xml:space="preserve">Alimov Sardor </t>
  </si>
  <si>
    <t xml:space="preserve">Usenov Nursulton </t>
  </si>
  <si>
    <t xml:space="preserve">Bekiyeva akmaral </t>
  </si>
  <si>
    <t xml:space="preserve">Xudayberganov Shaxzod </t>
  </si>
  <si>
    <t xml:space="preserve">Usta lutfulla </t>
  </si>
  <si>
    <t xml:space="preserve">Jabborov Xushnud </t>
  </si>
  <si>
    <t xml:space="preserve">Yusupov Azamat </t>
  </si>
  <si>
    <t xml:space="preserve">Shomurotov Po`lat </t>
  </si>
  <si>
    <t xml:space="preserve">Qutimov Azat </t>
  </si>
  <si>
    <t xml:space="preserve">Sultonov Abbos </t>
  </si>
  <si>
    <t xml:space="preserve">Xujaqov Sultonboy </t>
  </si>
  <si>
    <t xml:space="preserve">Roxatova Shaxnoza </t>
  </si>
  <si>
    <t xml:space="preserve">Otajonova Feruza </t>
  </si>
  <si>
    <t xml:space="preserve">Matyoqubov Nodir </t>
  </si>
  <si>
    <t xml:space="preserve">Ro`zimov Qurmonnazir </t>
  </si>
  <si>
    <t xml:space="preserve">Quramboyev Mardonbek </t>
  </si>
  <si>
    <t xml:space="preserve">Sabirova Shaxnoza </t>
  </si>
  <si>
    <t xml:space="preserve">Sadullayeva Lobar </t>
  </si>
  <si>
    <t xml:space="preserve">Yusupova Nigora </t>
  </si>
  <si>
    <t xml:space="preserve">Matsapayeva Zaynab </t>
  </si>
  <si>
    <t xml:space="preserve">Qahramon aka </t>
  </si>
  <si>
    <t xml:space="preserve">Rajabov Oybek </t>
  </si>
  <si>
    <t xml:space="preserve">Iskandarova Feruza </t>
  </si>
  <si>
    <t xml:space="preserve">Yuldashev G`ofurjon </t>
  </si>
  <si>
    <t>Saparbayev Alisher</t>
  </si>
  <si>
    <t xml:space="preserve">O`tkazilgan Summa </t>
  </si>
  <si>
    <t xml:space="preserve">Qo`lga Tegadigani </t>
  </si>
  <si>
    <t xml:space="preserve">Olindi </t>
  </si>
  <si>
    <t xml:space="preserve">Qoldiq </t>
  </si>
  <si>
    <t>18,03,2026</t>
  </si>
  <si>
    <t>21,03,2026</t>
  </si>
  <si>
    <t>24,03,2026</t>
  </si>
  <si>
    <t>25,03,2026</t>
  </si>
  <si>
    <t>26,03,2026</t>
  </si>
  <si>
    <t>27,03,2026</t>
  </si>
  <si>
    <t>29,03,2026</t>
  </si>
  <si>
    <t>31,03,2026</t>
  </si>
  <si>
    <t>01,04,2026</t>
  </si>
  <si>
    <t>02,04,2026</t>
  </si>
  <si>
    <t>03,04,2026</t>
  </si>
  <si>
    <t>05,04,2026</t>
  </si>
  <si>
    <t>08,04,2026</t>
  </si>
  <si>
    <t>09,04,2026</t>
  </si>
  <si>
    <t xml:space="preserve">Matkarimova Fazilat </t>
  </si>
  <si>
    <t xml:space="preserve">Matniyozov Abdug`affor </t>
  </si>
  <si>
    <t xml:space="preserve">Deye 30 lik </t>
  </si>
  <si>
    <t xml:space="preserve">Tajimurotov Dilshod </t>
  </si>
  <si>
    <t xml:space="preserve">Tursunboy Xudayor </t>
  </si>
  <si>
    <t xml:space="preserve">Qurbonboyev Jaloladdin </t>
  </si>
  <si>
    <t xml:space="preserve">Sapayev Jo`shqin </t>
  </si>
  <si>
    <t xml:space="preserve">Sattarberdiyeva Muyassar </t>
  </si>
  <si>
    <t xml:space="preserve">Bardiyeva Madina </t>
  </si>
  <si>
    <t xml:space="preserve">Achilbaev Urazimbet </t>
  </si>
  <si>
    <t xml:space="preserve">Sadekoya Rayxon </t>
  </si>
  <si>
    <t xml:space="preserve">Ataniyozova Gullola </t>
  </si>
  <si>
    <t xml:space="preserve">Madraimov Diyor </t>
  </si>
  <si>
    <t xml:space="preserve">Otajonov Furqat </t>
  </si>
  <si>
    <t xml:space="preserve">Alisher Ashxobod </t>
  </si>
  <si>
    <t xml:space="preserve">Bobojonov Sunnatillo </t>
  </si>
  <si>
    <t>10,04,2026</t>
  </si>
  <si>
    <t xml:space="preserve">Saodat </t>
  </si>
  <si>
    <t xml:space="preserve">Ibadullayeva Zarifa </t>
  </si>
  <si>
    <t xml:space="preserve">Jumaboyeva Zamira </t>
  </si>
  <si>
    <t xml:space="preserve">Jabborova Roxila </t>
  </si>
  <si>
    <t xml:space="preserve">Atajonov Shuxrat </t>
  </si>
  <si>
    <t xml:space="preserve">Palastik </t>
  </si>
  <si>
    <t xml:space="preserve">Razzaqov Otajon </t>
  </si>
  <si>
    <t xml:space="preserve">Eldor karta </t>
  </si>
  <si>
    <t xml:space="preserve">Abdullayev Zamonali </t>
  </si>
  <si>
    <t xml:space="preserve">Ollaberganov Anvar </t>
  </si>
  <si>
    <t xml:space="preserve">2000 dollar uchun </t>
  </si>
  <si>
    <t xml:space="preserve">Sapayeva Muxayyo </t>
  </si>
  <si>
    <t xml:space="preserve">Quryozov Jo`rabek </t>
  </si>
  <si>
    <t>Saparov Jaoladdin</t>
  </si>
  <si>
    <t xml:space="preserve">Olimov Oxunjon </t>
  </si>
  <si>
    <t xml:space="preserve">Murod xokim yordamchi </t>
  </si>
  <si>
    <t xml:space="preserve">Raximov Sanjar </t>
  </si>
  <si>
    <t xml:space="preserve">Komilov Valijon </t>
  </si>
  <si>
    <t xml:space="preserve">lutfulla </t>
  </si>
  <si>
    <t xml:space="preserve">Genjebayev Quanshbay </t>
  </si>
  <si>
    <t xml:space="preserve">Adilbay Janaboy </t>
  </si>
  <si>
    <t xml:space="preserve">Ollaberganov Ilxom </t>
  </si>
  <si>
    <t xml:space="preserve">plastik </t>
  </si>
  <si>
    <t xml:space="preserve">dollar </t>
  </si>
  <si>
    <t xml:space="preserve">Boltayev Jusabek </t>
  </si>
  <si>
    <t xml:space="preserve">Xolmurod </t>
  </si>
  <si>
    <t xml:space="preserve">Boltayeva Sanobar </t>
  </si>
  <si>
    <t>11,04,2026</t>
  </si>
  <si>
    <t>12,04,2026</t>
  </si>
  <si>
    <t xml:space="preserve">Inventor Uchun </t>
  </si>
  <si>
    <t xml:space="preserve">O`tkir og`a inventor </t>
  </si>
  <si>
    <t xml:space="preserve">Shovot kolya </t>
  </si>
  <si>
    <t xml:space="preserve">Egamberdiyeva Maqsuda </t>
  </si>
  <si>
    <t xml:space="preserve">Komilova Rayxon </t>
  </si>
  <si>
    <t xml:space="preserve">Ali Ashxobod </t>
  </si>
  <si>
    <t xml:space="preserve">Atajonova Nigora </t>
  </si>
  <si>
    <t xml:space="preserve">Murod Navbaxor </t>
  </si>
  <si>
    <t xml:space="preserve">Murod Yangiqadam </t>
  </si>
  <si>
    <t xml:space="preserve">Allaberganov Matluba </t>
  </si>
  <si>
    <t xml:space="preserve">Quryozova Nasiba </t>
  </si>
  <si>
    <t xml:space="preserve">Qurbonova Sabohat </t>
  </si>
  <si>
    <t xml:space="preserve">Narimonov Daston </t>
  </si>
  <si>
    <t xml:space="preserve">Madaniyat Jurat </t>
  </si>
  <si>
    <t xml:space="preserve">Kamera </t>
  </si>
  <si>
    <t>Shonazarov Quvonch</t>
  </si>
  <si>
    <t xml:space="preserve">Eshniyozov Xamdambek </t>
  </si>
  <si>
    <t xml:space="preserve">Ro`zimboyev Og`abek </t>
  </si>
  <si>
    <t xml:space="preserve">Aziz Uzgarish </t>
  </si>
  <si>
    <t xml:space="preserve">Mavlonov Norgul </t>
  </si>
  <si>
    <t xml:space="preserve">Abdullayeva Mexribon </t>
  </si>
  <si>
    <t xml:space="preserve">Raximberganova Muxlisa </t>
  </si>
  <si>
    <t xml:space="preserve">Xayitboyeva Xosiyat </t>
  </si>
  <si>
    <t xml:space="preserve">Sadullayev Abdulla </t>
  </si>
  <si>
    <t xml:space="preserve">Jabborov Doniyor </t>
  </si>
  <si>
    <t xml:space="preserve">Karimova Nigora </t>
  </si>
  <si>
    <t xml:space="preserve">      </t>
  </si>
  <si>
    <t xml:space="preserve">Madrimov Abdulla </t>
  </si>
  <si>
    <t>14,04,2026</t>
  </si>
  <si>
    <t xml:space="preserve">Matniyozov Mansur </t>
  </si>
  <si>
    <t xml:space="preserve">Sapayev Jubatboy </t>
  </si>
  <si>
    <t xml:space="preserve">Tagayev Go`zal </t>
  </si>
  <si>
    <t xml:space="preserve">Nurullayev Diyor </t>
  </si>
  <si>
    <t>15,04,2026</t>
  </si>
  <si>
    <t xml:space="preserve">Alimbayev Jaxongir </t>
  </si>
  <si>
    <t xml:space="preserve">Saparbayev Javlon </t>
  </si>
  <si>
    <t xml:space="preserve">Yuldasheva Mavluda </t>
  </si>
  <si>
    <t xml:space="preserve">Yo`ldashev Sardor </t>
  </si>
  <si>
    <t xml:space="preserve">Urazbayev Baxrom </t>
  </si>
  <si>
    <t xml:space="preserve">Po`latova Ulbo`lsin </t>
  </si>
  <si>
    <t>Xayitboyev orif</t>
  </si>
  <si>
    <t>Sapayeva Adolat</t>
  </si>
  <si>
    <t xml:space="preserve">Bazarov Bunyod </t>
  </si>
  <si>
    <t xml:space="preserve">Allamov Sanat </t>
  </si>
  <si>
    <t xml:space="preserve">Yuldasheva Mutabar </t>
  </si>
  <si>
    <t xml:space="preserve">Elbek </t>
  </si>
  <si>
    <t xml:space="preserve">Raxmonov Axmed </t>
  </si>
  <si>
    <t xml:space="preserve">Ibragimova Mariya </t>
  </si>
  <si>
    <t xml:space="preserve">Nurbek </t>
  </si>
  <si>
    <t xml:space="preserve">Shonazarov Otajon </t>
  </si>
  <si>
    <t xml:space="preserve">Ochilov Izzat </t>
  </si>
  <si>
    <t xml:space="preserve">Lutfullaga xarajatga </t>
  </si>
  <si>
    <t xml:space="preserve">Otaboyeva So`g`diyona </t>
  </si>
  <si>
    <t xml:space="preserve">dori </t>
  </si>
  <si>
    <t>16,04,2026</t>
  </si>
  <si>
    <t xml:space="preserve">Otajonov Jaxongir </t>
  </si>
  <si>
    <t xml:space="preserve">Akbar Yangiariq </t>
  </si>
  <si>
    <t xml:space="preserve">Sabirov Odilbay </t>
  </si>
  <si>
    <t xml:space="preserve">Yunus Usta </t>
  </si>
  <si>
    <t xml:space="preserve">Matyaqubiv Umrbek </t>
  </si>
  <si>
    <t xml:space="preserve">Ro`zmetova Dilafruz </t>
  </si>
  <si>
    <t xml:space="preserve">Raximberganov Suxrob </t>
  </si>
  <si>
    <t xml:space="preserve">Elyor Arenda </t>
  </si>
  <si>
    <t xml:space="preserve">Avazova Ro`za </t>
  </si>
  <si>
    <t xml:space="preserve">Yarliqov Ibrahim </t>
  </si>
  <si>
    <t xml:space="preserve">Axmedov Bobur </t>
  </si>
  <si>
    <t xml:space="preserve">Shamurotova Ro`za </t>
  </si>
  <si>
    <t>17,04,2026</t>
  </si>
  <si>
    <t xml:space="preserve">Qurbonboyeva Adolat </t>
  </si>
  <si>
    <t xml:space="preserve">To`labayeva O`ringul </t>
  </si>
  <si>
    <t xml:space="preserve">Qurbonov Zaripboy </t>
  </si>
  <si>
    <t xml:space="preserve">Matyaqubov Ro`zimmat </t>
  </si>
  <si>
    <t xml:space="preserve">Xo`janiyozova Zaynab </t>
  </si>
  <si>
    <t xml:space="preserve">Matyaqubov Azamat </t>
  </si>
  <si>
    <t xml:space="preserve">Urazbayev Xasanboy </t>
  </si>
  <si>
    <t xml:space="preserve">Atajonov Po`lat </t>
  </si>
  <si>
    <t xml:space="preserve">Saparov Azimboy </t>
  </si>
  <si>
    <t xml:space="preserve">Saparov Shixmurod </t>
  </si>
  <si>
    <t xml:space="preserve">Baxtiyorov Asadbek </t>
  </si>
  <si>
    <t xml:space="preserve">Jumanazarov Muxiddin </t>
  </si>
  <si>
    <t xml:space="preserve">Raximov Sardon </t>
  </si>
  <si>
    <t xml:space="preserve">Umar </t>
  </si>
  <si>
    <t xml:space="preserve">Avezov Shakar </t>
  </si>
  <si>
    <t xml:space="preserve">Eshchanova Shaxnoza </t>
  </si>
  <si>
    <t xml:space="preserve">Boltayeva Mashxura </t>
  </si>
  <si>
    <t xml:space="preserve">Xo`sinova Dilfuza </t>
  </si>
  <si>
    <t xml:space="preserve">Xudayberganova Maxliyo </t>
  </si>
  <si>
    <t xml:space="preserve">Otajonov Zafar </t>
  </si>
  <si>
    <t xml:space="preserve">Qabulov Sarvar </t>
  </si>
  <si>
    <t xml:space="preserve">Ozadov Diyorbek </t>
  </si>
  <si>
    <t xml:space="preserve">Reyimova Zumrad </t>
  </si>
  <si>
    <t xml:space="preserve">Qutlimurotov Izzat </t>
  </si>
  <si>
    <t xml:space="preserve">Janabayev Guljahon </t>
  </si>
  <si>
    <t xml:space="preserve">Ro`zimov Madiyor </t>
  </si>
  <si>
    <t xml:space="preserve">Nolog </t>
  </si>
  <si>
    <t xml:space="preserve">Utemurotov Rustam </t>
  </si>
  <si>
    <t xml:space="preserve">Raxmonov Xayrulla </t>
  </si>
  <si>
    <t xml:space="preserve">Tangriberganov Sarvar </t>
  </si>
  <si>
    <t xml:space="preserve">Xabibulla Shuxrat </t>
  </si>
  <si>
    <t xml:space="preserve">Erkaboyev Farxod </t>
  </si>
  <si>
    <t xml:space="preserve">Ollaberganov Quvondiq </t>
  </si>
  <si>
    <t xml:space="preserve">Avazov Ziyodulla </t>
  </si>
  <si>
    <t xml:space="preserve">Maqsuda Apka Xalq banki </t>
  </si>
  <si>
    <t xml:space="preserve">Uragan Moto </t>
  </si>
  <si>
    <t xml:space="preserve">Abdikarimova Muxabbat </t>
  </si>
  <si>
    <t>20,04,2026</t>
  </si>
  <si>
    <t xml:space="preserve">Mayda Fayzulla </t>
  </si>
  <si>
    <t xml:space="preserve">esma </t>
  </si>
  <si>
    <t xml:space="preserve">Shit </t>
  </si>
  <si>
    <t xml:space="preserve">Raxmonova Baxor </t>
  </si>
  <si>
    <t xml:space="preserve">tashqari </t>
  </si>
  <si>
    <t xml:space="preserve">Masharipova Mexribon </t>
  </si>
  <si>
    <t xml:space="preserve">Ro`zmetov Ergash </t>
  </si>
  <si>
    <t xml:space="preserve">1620 dollar </t>
  </si>
  <si>
    <t xml:space="preserve">Maydalandi </t>
  </si>
  <si>
    <t xml:space="preserve">Avazov Farxod </t>
  </si>
  <si>
    <t xml:space="preserve">Nurmetova Gulnora </t>
  </si>
  <si>
    <t xml:space="preserve">Bekmurotov Adilbek </t>
  </si>
  <si>
    <t xml:space="preserve">Eko Texno light </t>
  </si>
  <si>
    <t>21,04,2026</t>
  </si>
  <si>
    <t xml:space="preserve">Sotimbayeva Gulnora </t>
  </si>
  <si>
    <t xml:space="preserve">Boltayeva Moxira </t>
  </si>
  <si>
    <t xml:space="preserve">Qutimova Moxira </t>
  </si>
  <si>
    <t xml:space="preserve">Xudikova Dilbar </t>
  </si>
  <si>
    <t xml:space="preserve">isuzu </t>
  </si>
  <si>
    <t xml:space="preserve">Sahovat xokim yordamchi </t>
  </si>
  <si>
    <t xml:space="preserve">G`apporova Durdona </t>
  </si>
  <si>
    <t xml:space="preserve">O`tkir og`a Qo`shko`pir </t>
  </si>
  <si>
    <t xml:space="preserve">Yo`ldashev Rahmatjon </t>
  </si>
  <si>
    <t xml:space="preserve">Aitov Bog`ibek </t>
  </si>
  <si>
    <t xml:space="preserve">Jumamurotov Bazarbay </t>
  </si>
  <si>
    <t xml:space="preserve">Qalandarov Javlon </t>
  </si>
  <si>
    <t xml:space="preserve">Otajonova Zeboxon </t>
  </si>
  <si>
    <t xml:space="preserve">Do`schanova Manzura </t>
  </si>
  <si>
    <t>Mo`minova Imomaddin</t>
  </si>
  <si>
    <t xml:space="preserve">Tursunova Go`zal </t>
  </si>
  <si>
    <t xml:space="preserve">Xaydarov Ro`zimboy </t>
  </si>
  <si>
    <t>22,04,2026</t>
  </si>
  <si>
    <t xml:space="preserve">Ramat og`a Nurafshon </t>
  </si>
  <si>
    <t xml:space="preserve">Urazbeyev Ulug`bek </t>
  </si>
  <si>
    <t xml:space="preserve">Panel </t>
  </si>
  <si>
    <t xml:space="preserve">Tajiyev Yodgor </t>
  </si>
  <si>
    <t xml:space="preserve">50 dollarga </t>
  </si>
  <si>
    <t xml:space="preserve">Rustamboyev Nurbek </t>
  </si>
  <si>
    <t xml:space="preserve">Xudayberganova Muyassar </t>
  </si>
  <si>
    <t xml:space="preserve">Xasanov Xayrulla </t>
  </si>
  <si>
    <t xml:space="preserve">Xudayberganova Dilfuza </t>
  </si>
  <si>
    <t xml:space="preserve">Gulimov Xurshid </t>
  </si>
  <si>
    <t xml:space="preserve">Raximov Ilhom </t>
  </si>
  <si>
    <t>Qo`ziboyev Umid</t>
  </si>
  <si>
    <t xml:space="preserve">Matyazova Asal </t>
  </si>
  <si>
    <t xml:space="preserve">Qurbonov Ergash </t>
  </si>
  <si>
    <t xml:space="preserve">Ziynatov Baxtiyor </t>
  </si>
  <si>
    <t xml:space="preserve">Ro`zmetova Marg`uba </t>
  </si>
  <si>
    <t xml:space="preserve">O`rinboyev Izzat </t>
  </si>
  <si>
    <t xml:space="preserve">Bekturdiyev Rashid </t>
  </si>
  <si>
    <t xml:space="preserve">Kamronbek Oylik </t>
  </si>
  <si>
    <t xml:space="preserve">Qahamon </t>
  </si>
  <si>
    <t xml:space="preserve">Esmaga </t>
  </si>
  <si>
    <t xml:space="preserve">doyimga </t>
  </si>
  <si>
    <t xml:space="preserve">Ashxobod Mulla </t>
  </si>
  <si>
    <t xml:space="preserve">Ametov Nuraddin </t>
  </si>
  <si>
    <t xml:space="preserve">Qurbonova Barchinoy </t>
  </si>
  <si>
    <t xml:space="preserve">Uragan  farxod </t>
  </si>
  <si>
    <t xml:space="preserve">Masharipova Dildor </t>
  </si>
  <si>
    <t xml:space="preserve">Saidova Gulchexra </t>
  </si>
  <si>
    <t xml:space="preserve">Botirbayev Ravshanbek </t>
  </si>
  <si>
    <t xml:space="preserve">Jumaniyozov Maxmud </t>
  </si>
  <si>
    <t xml:space="preserve">Alimbayeva Farangiz </t>
  </si>
  <si>
    <t xml:space="preserve">Ashxobod Noturar </t>
  </si>
  <si>
    <t xml:space="preserve">Madad </t>
  </si>
  <si>
    <t xml:space="preserve">Yusupova Iroda </t>
  </si>
  <si>
    <t xml:space="preserve">Asad oylik </t>
  </si>
  <si>
    <t xml:space="preserve">Dollar uchun </t>
  </si>
  <si>
    <t xml:space="preserve">olindi </t>
  </si>
  <si>
    <t xml:space="preserve">Ataniyozov Rasulbek </t>
  </si>
  <si>
    <t xml:space="preserve">Xo`janiyozova Boltabika </t>
  </si>
  <si>
    <t xml:space="preserve">Abiyeva Sanobar </t>
  </si>
  <si>
    <t xml:space="preserve">Toriniyozva Zulfiya </t>
  </si>
  <si>
    <t xml:space="preserve">Yaqubova Qunduz </t>
  </si>
  <si>
    <t xml:space="preserve">Jumaniyozov Yulduz </t>
  </si>
  <si>
    <t xml:space="preserve">Xudayberganova Nilufar </t>
  </si>
  <si>
    <t xml:space="preserve">Koya </t>
  </si>
  <si>
    <t xml:space="preserve">Xudayberganov Jumanazar </t>
  </si>
  <si>
    <t xml:space="preserve">Saparbayev Daston </t>
  </si>
  <si>
    <t xml:space="preserve">Yusupov Alisher </t>
  </si>
  <si>
    <t xml:space="preserve">Atajonova Zarafshon </t>
  </si>
  <si>
    <t xml:space="preserve">Bekmatov Shavkat </t>
  </si>
  <si>
    <t xml:space="preserve">Inventorga </t>
  </si>
  <si>
    <t xml:space="preserve">Rustam durgadik </t>
  </si>
  <si>
    <t xml:space="preserve">Bogot sahovat gulshani </t>
  </si>
  <si>
    <t xml:space="preserve">Xasanboy Sahovat </t>
  </si>
  <si>
    <t xml:space="preserve">skuter </t>
  </si>
  <si>
    <t xml:space="preserve">Sapayeva Navbaxor </t>
  </si>
  <si>
    <t xml:space="preserve">Eldor oylik </t>
  </si>
  <si>
    <t xml:space="preserve">Xashimov Adil </t>
  </si>
  <si>
    <t xml:space="preserve">Avezov Akmal </t>
  </si>
  <si>
    <t>24,04,2026</t>
  </si>
  <si>
    <t xml:space="preserve">Opam </t>
  </si>
  <si>
    <t>23,04,2026</t>
  </si>
  <si>
    <t xml:space="preserve">esma Vazvrat </t>
  </si>
  <si>
    <t xml:space="preserve">Turdiyev O`ktam </t>
  </si>
  <si>
    <t xml:space="preserve">Masharipov Abdulla </t>
  </si>
  <si>
    <t xml:space="preserve">Jumazar quloq </t>
  </si>
  <si>
    <t>27,04,2026</t>
  </si>
  <si>
    <t xml:space="preserve">Samandarov Farrux </t>
  </si>
  <si>
    <t xml:space="preserve">Uydan Xumoyun </t>
  </si>
  <si>
    <t xml:space="preserve">Olimbayeva Chorvasi </t>
  </si>
  <si>
    <t xml:space="preserve">Bekchanova Ruxshona </t>
  </si>
  <si>
    <t xml:space="preserve">Po`ltov Bobur </t>
  </si>
  <si>
    <t xml:space="preserve">Yusupova Dilnoza </t>
  </si>
  <si>
    <t xml:space="preserve">Namuna Xushnud </t>
  </si>
  <si>
    <t xml:space="preserve">Info farm </t>
  </si>
  <si>
    <t xml:space="preserve">Tangriberganova Gulnora </t>
  </si>
  <si>
    <t xml:space="preserve">Jahongir </t>
  </si>
  <si>
    <t xml:space="preserve">Matyaqubov Mo`min </t>
  </si>
  <si>
    <t xml:space="preserve">O`ktam og`a  </t>
  </si>
  <si>
    <t xml:space="preserve">Qurbon sodiq </t>
  </si>
  <si>
    <t>29,04,2026</t>
  </si>
  <si>
    <t>28,04,2026</t>
  </si>
  <si>
    <t xml:space="preserve">AT Xalq banki </t>
  </si>
  <si>
    <t xml:space="preserve">Saxobat  Xokim yordamchi </t>
  </si>
  <si>
    <t xml:space="preserve">Agrabank </t>
  </si>
  <si>
    <t xml:space="preserve">100 dollar </t>
  </si>
  <si>
    <t xml:space="preserve">Moto olindi </t>
  </si>
  <si>
    <t xml:space="preserve">Davletov Muzaffar </t>
  </si>
  <si>
    <t xml:space="preserve">Bekmetov Sapaboy </t>
  </si>
  <si>
    <t>Usta Fayzulla (yetim yesir )</t>
  </si>
  <si>
    <t>Yashnar (Bekmetov Sapaboy )</t>
  </si>
  <si>
    <t xml:space="preserve">Narbayev Jo`rabek </t>
  </si>
  <si>
    <t xml:space="preserve">Niyozmetov Davlatyor </t>
  </si>
  <si>
    <t xml:space="preserve">Akbar Yangiariq ishchi </t>
  </si>
  <si>
    <t xml:space="preserve">Ibadullayeva Farida </t>
  </si>
  <si>
    <t>30,04,2026</t>
  </si>
  <si>
    <t xml:space="preserve">Nargiza </t>
  </si>
  <si>
    <t xml:space="preserve">Beruniy Javlon </t>
  </si>
  <si>
    <t xml:space="preserve">Beruniy Xokim yordamchi </t>
  </si>
  <si>
    <t xml:space="preserve">Bayramov Xurmat </t>
  </si>
  <si>
    <t xml:space="preserve">O`razmetova Moxira </t>
  </si>
  <si>
    <t xml:space="preserve">kredit Xamkorbank </t>
  </si>
  <si>
    <t xml:space="preserve">Xashimov Odil Xajiyev Odilboy Abduraxmonov Baxtiyor </t>
  </si>
  <si>
    <t xml:space="preserve">Asad usta </t>
  </si>
  <si>
    <t xml:space="preserve">Komiljonov Kuanishbay </t>
  </si>
  <si>
    <t xml:space="preserve">Saodat Xalq banki </t>
  </si>
  <si>
    <t xml:space="preserve">Shoxrux oylik </t>
  </si>
  <si>
    <t xml:space="preserve">Bazarbayeva Iroda </t>
  </si>
  <si>
    <t xml:space="preserve">Sultanov farrux </t>
  </si>
  <si>
    <t xml:space="preserve">Narimov Shokir </t>
  </si>
  <si>
    <t xml:space="preserve">Nazimjon domla </t>
  </si>
  <si>
    <t>01,05,2026</t>
  </si>
  <si>
    <t xml:space="preserve">zays </t>
  </si>
  <si>
    <t xml:space="preserve">Qutimov Davron </t>
  </si>
  <si>
    <t xml:space="preserve">Usta Javlon </t>
  </si>
  <si>
    <t xml:space="preserve">Bobojonov Sanat </t>
  </si>
  <si>
    <t>04,05,2026</t>
  </si>
  <si>
    <t xml:space="preserve">Saidmetov Davron </t>
  </si>
  <si>
    <t xml:space="preserve">O`rinboyeva Damira </t>
  </si>
  <si>
    <t xml:space="preserve">Bekmurotov Xurshid </t>
  </si>
  <si>
    <t xml:space="preserve">Aminova Manzura </t>
  </si>
  <si>
    <t xml:space="preserve">Rasul </t>
  </si>
  <si>
    <t>05,05,2026</t>
  </si>
  <si>
    <t xml:space="preserve">rasulbek </t>
  </si>
  <si>
    <t xml:space="preserve">Shamurotov Qoplon </t>
  </si>
  <si>
    <t xml:space="preserve">Po`lat moliya </t>
  </si>
  <si>
    <t xml:space="preserve">Allaberganov Giyos </t>
  </si>
  <si>
    <t xml:space="preserve">Ibragimov sardor </t>
  </si>
  <si>
    <t xml:space="preserve">YTT Raximova Mamura </t>
  </si>
  <si>
    <t xml:space="preserve">Durdiyev Umirbek </t>
  </si>
  <si>
    <t xml:space="preserve">Masharipova Azim </t>
  </si>
  <si>
    <t xml:space="preserve">Raximova Dilobar </t>
  </si>
  <si>
    <t xml:space="preserve">Avazemetova Lola </t>
  </si>
  <si>
    <t xml:space="preserve">Xabibullayeva Guljahon </t>
  </si>
  <si>
    <t xml:space="preserve">Madaminov Eldor </t>
  </si>
  <si>
    <t xml:space="preserve">Baltabayeva Muqaddas </t>
  </si>
  <si>
    <t xml:space="preserve">Madaminov Mansur </t>
  </si>
  <si>
    <t xml:space="preserve">Yusupov Oybek </t>
  </si>
  <si>
    <t xml:space="preserve">Aminov Umid </t>
  </si>
  <si>
    <t xml:space="preserve">Urganch yo`l 3 etaj </t>
  </si>
  <si>
    <t xml:space="preserve">Yo`ldoshev Yo`ldosh </t>
  </si>
  <si>
    <t xml:space="preserve">Iskandarova Vazira </t>
  </si>
  <si>
    <t xml:space="preserve">Qutimova Dilorom </t>
  </si>
  <si>
    <t xml:space="preserve">Ro`zmetova Sadoqat </t>
  </si>
  <si>
    <t>06,05,2026</t>
  </si>
  <si>
    <t xml:space="preserve">Egamov Egamberdi </t>
  </si>
  <si>
    <t xml:space="preserve">Milliy bank </t>
  </si>
  <si>
    <t xml:space="preserve">Raximov Shermat </t>
  </si>
  <si>
    <t xml:space="preserve">Matyazov Abror </t>
  </si>
  <si>
    <t>Sharipov Farxod</t>
  </si>
  <si>
    <t>07,05,2026</t>
  </si>
  <si>
    <t xml:space="preserve">Ergasheva Muxabbat </t>
  </si>
  <si>
    <t xml:space="preserve">Quramboyeva Shaydo </t>
  </si>
  <si>
    <t xml:space="preserve">Sapayev Ruslan </t>
  </si>
  <si>
    <t xml:space="preserve">Allaberganov Anvar </t>
  </si>
  <si>
    <t xml:space="preserve">Xudayberganov Yunus </t>
  </si>
  <si>
    <t xml:space="preserve">Balteyev Davron </t>
  </si>
  <si>
    <t xml:space="preserve">Jalilova Dilfuza </t>
  </si>
  <si>
    <t xml:space="preserve">Qurbonboyeva Dilfuza </t>
  </si>
  <si>
    <t xml:space="preserve">Jumaqov Zafar </t>
  </si>
  <si>
    <t xml:space="preserve">Maribayeva Munisa </t>
  </si>
  <si>
    <t xml:space="preserve">Jumaniyozov Nurulla </t>
  </si>
  <si>
    <t xml:space="preserve">Quvonch Ati </t>
  </si>
  <si>
    <t xml:space="preserve">Yunus Traktor </t>
  </si>
  <si>
    <t xml:space="preserve">Arebda Yangiariq </t>
  </si>
  <si>
    <t xml:space="preserve">Rajabova Xilola </t>
  </si>
  <si>
    <t xml:space="preserve">Xudayberganov Akmal </t>
  </si>
  <si>
    <t xml:space="preserve">Dilimbetova Juangul </t>
  </si>
  <si>
    <t xml:space="preserve">Davletova Zaynab </t>
  </si>
  <si>
    <t xml:space="preserve">Rajabova Shaxnoza </t>
  </si>
  <si>
    <t xml:space="preserve">Saburova Shirin </t>
  </si>
  <si>
    <t xml:space="preserve">Urazmat mayda </t>
  </si>
  <si>
    <t xml:space="preserve">Babaddinova Fotima </t>
  </si>
  <si>
    <t xml:space="preserve">Qurambayev Ravshan </t>
  </si>
  <si>
    <t xml:space="preserve">Oltinqum Xy </t>
  </si>
  <si>
    <t xml:space="preserve">Bazarov Azim </t>
  </si>
  <si>
    <t xml:space="preserve">Alisher Ashxonod </t>
  </si>
  <si>
    <t xml:space="preserve">Saxovat xokim </t>
  </si>
  <si>
    <t xml:space="preserve">Xo`janiyozova Zubayda </t>
  </si>
  <si>
    <t xml:space="preserve">Yunus og`am story </t>
  </si>
  <si>
    <t xml:space="preserve">Qo`chqorova Go`zal </t>
  </si>
  <si>
    <t xml:space="preserve">Otajonova Muxayyo </t>
  </si>
  <si>
    <t xml:space="preserve">esmaga </t>
  </si>
  <si>
    <t xml:space="preserve">Madaminova Dilbar </t>
  </si>
  <si>
    <t xml:space="preserve">Quramboyeva Dilbar </t>
  </si>
  <si>
    <t xml:space="preserve">Qutlimurotov O`tkir </t>
  </si>
  <si>
    <t xml:space="preserve">Eshmetov qaxramon </t>
  </si>
  <si>
    <t xml:space="preserve">Olma opa </t>
  </si>
  <si>
    <t>08,05,2026</t>
  </si>
  <si>
    <t xml:space="preserve">Milliy </t>
  </si>
  <si>
    <t xml:space="preserve">Abullayev Shavkat </t>
  </si>
  <si>
    <t xml:space="preserve">Axmedov Ibodulla </t>
  </si>
  <si>
    <t xml:space="preserve">Davletov davron </t>
  </si>
  <si>
    <t xml:space="preserve">Matnazarov  Quvondiq </t>
  </si>
  <si>
    <t xml:space="preserve">Matniyozov Muxriddin </t>
  </si>
  <si>
    <t xml:space="preserve">Abdullayev Akmal </t>
  </si>
  <si>
    <t xml:space="preserve">Murodov Bekmurod </t>
  </si>
  <si>
    <t xml:space="preserve">To`rayev Otabek </t>
  </si>
  <si>
    <t xml:space="preserve">Yuldasheva Maftuna </t>
  </si>
  <si>
    <t xml:space="preserve">Qilichbayev Xusniddin </t>
  </si>
  <si>
    <t xml:space="preserve">Komilova Go`zal </t>
  </si>
  <si>
    <t xml:space="preserve">nurafshon Xokim yordamchi </t>
  </si>
  <si>
    <t xml:space="preserve">Xo`jayeva Dilfuza </t>
  </si>
  <si>
    <t xml:space="preserve">Xo`jayeva Nargiza </t>
  </si>
  <si>
    <t xml:space="preserve">Xiva Xasanboy </t>
  </si>
  <si>
    <t xml:space="preserve">Narimov Fayzulla </t>
  </si>
  <si>
    <t xml:space="preserve">Kattibayev Abdibek </t>
  </si>
  <si>
    <t xml:space="preserve">Allaberganov Aydo`s </t>
  </si>
  <si>
    <t xml:space="preserve">16,04,2026 Lutfulla olib ketdi </t>
  </si>
  <si>
    <t xml:space="preserve">Ramazvon Avezov </t>
  </si>
  <si>
    <t xml:space="preserve">10 Berz subsidiya </t>
  </si>
  <si>
    <t xml:space="preserve">Panel 3 dona </t>
  </si>
  <si>
    <t xml:space="preserve">Ramzon Mayda </t>
  </si>
  <si>
    <t xml:space="preserve">Panel 18 dona </t>
  </si>
  <si>
    <t xml:space="preserve">Shamiyev Orif </t>
  </si>
  <si>
    <t xml:space="preserve">10 kw 39 niki </t>
  </si>
  <si>
    <t xml:space="preserve">Shafyor </t>
  </si>
  <si>
    <t xml:space="preserve">Ollamov Anvar </t>
  </si>
  <si>
    <t xml:space="preserve">Raxmonov Xamro </t>
  </si>
  <si>
    <t>SHOMIRZAYEV SHERALI QODIROVICH</t>
  </si>
  <si>
    <t>SHOMIRZAYEV SHERALI</t>
  </si>
  <si>
    <t>Ergashov Toxir</t>
  </si>
  <si>
    <t>HOLIQOVA MUXABBAT XAMROYEVNA</t>
  </si>
  <si>
    <t xml:space="preserve">Ilyos doyim </t>
  </si>
  <si>
    <t xml:space="preserve">dollar 8600 </t>
  </si>
  <si>
    <t xml:space="preserve">Yakkabog` Doyim topgan odam </t>
  </si>
  <si>
    <t>MAMATKOSIMOV UMIDJON XASANJONOVICH</t>
  </si>
  <si>
    <t>SATTAROV RAVSHAN ABDAZIMOVICH</t>
  </si>
  <si>
    <t xml:space="preserve">furaga </t>
  </si>
  <si>
    <t xml:space="preserve">Ilyos doyim 1000 dollar </t>
  </si>
  <si>
    <t>OCHILOV SHERZOD SHERALIYEVICH</t>
  </si>
  <si>
    <t>KAMALOV MUHAMMADBEK ILHOM-O‘G‘LI</t>
  </si>
  <si>
    <t xml:space="preserve">47 14 mayda </t>
  </si>
  <si>
    <t xml:space="preserve">Buxoro Romiton 50 kw </t>
  </si>
  <si>
    <t xml:space="preserve">Panel arendada </t>
  </si>
  <si>
    <t xml:space="preserve">lutfulla usta </t>
  </si>
  <si>
    <t xml:space="preserve">ustalarga </t>
  </si>
  <si>
    <t xml:space="preserve">Behzodga berildi </t>
  </si>
  <si>
    <t xml:space="preserve">Lutfulla Xayrulla </t>
  </si>
  <si>
    <t xml:space="preserve">Ashobod 30 kw </t>
  </si>
  <si>
    <t xml:space="preserve">Raximova Nodira </t>
  </si>
  <si>
    <t xml:space="preserve">Matmurotov Tolibjon </t>
  </si>
  <si>
    <t xml:space="preserve">Xudaynazarova Nazokat </t>
  </si>
  <si>
    <t>11,05,2026</t>
  </si>
  <si>
    <t xml:space="preserve">1400 dollar </t>
  </si>
  <si>
    <t xml:space="preserve">Shoxrux Qarz </t>
  </si>
  <si>
    <t xml:space="preserve">Quronboyeva Ro`za </t>
  </si>
  <si>
    <t xml:space="preserve">Karimova Komila </t>
  </si>
  <si>
    <t xml:space="preserve">Mamatov Jasur </t>
  </si>
  <si>
    <t xml:space="preserve">Qo`shayev Og`abek </t>
  </si>
  <si>
    <t xml:space="preserve">sotildi </t>
  </si>
  <si>
    <t xml:space="preserve">Xamroyev Lazizbek </t>
  </si>
  <si>
    <t xml:space="preserve">Qurbonniyozov Usmon </t>
  </si>
  <si>
    <t xml:space="preserve">Avezov Ulug`bek </t>
  </si>
  <si>
    <t xml:space="preserve">Kalandarov Olim </t>
  </si>
  <si>
    <t xml:space="preserve">Dollar puli </t>
  </si>
  <si>
    <t xml:space="preserve">asad </t>
  </si>
  <si>
    <t xml:space="preserve">Adamboyeva Zarifa </t>
  </si>
  <si>
    <t xml:space="preserve">Jumamurotov Zafar </t>
  </si>
  <si>
    <t xml:space="preserve">Masharipov Xurshid </t>
  </si>
  <si>
    <t xml:space="preserve">Xamrayev Yarash </t>
  </si>
  <si>
    <t xml:space="preserve">Madrimova Shoira </t>
  </si>
  <si>
    <t xml:space="preserve">Allaberganov Rustam </t>
  </si>
  <si>
    <t xml:space="preserve">Sabirov Quramboy </t>
  </si>
  <si>
    <t xml:space="preserve">Bekchanov </t>
  </si>
  <si>
    <t xml:space="preserve">fayzulla </t>
  </si>
  <si>
    <t xml:space="preserve">Asad inventor uchun </t>
  </si>
  <si>
    <t>Yo`ldashev Baxtiyor +</t>
  </si>
  <si>
    <t xml:space="preserve">Jumarbaek Qarabayeva Oydin </t>
  </si>
  <si>
    <t xml:space="preserve">YTT Yakubova Muxayyo </t>
  </si>
  <si>
    <t xml:space="preserve">Ij Avtotex Xurriyat </t>
  </si>
  <si>
    <t xml:space="preserve">jumanazarova Gulyora </t>
  </si>
  <si>
    <t xml:space="preserve">Allaberganov Jamshid </t>
  </si>
  <si>
    <t xml:space="preserve">Yusupova Gulnoza </t>
  </si>
  <si>
    <t xml:space="preserve">Shukurullayev Rahmonberdi </t>
  </si>
  <si>
    <t xml:space="preserve">Babajonova Shoxista </t>
  </si>
  <si>
    <t xml:space="preserve">Nazarov Mardonbek </t>
  </si>
  <si>
    <t xml:space="preserve">Jaxongir </t>
  </si>
  <si>
    <t xml:space="preserve">Beruniy Tinchlik MFY </t>
  </si>
  <si>
    <t xml:space="preserve">Jumatayev Inoyat </t>
  </si>
  <si>
    <t xml:space="preserve">Samandarov Sherxon </t>
  </si>
  <si>
    <t xml:space="preserve">Qurbonova Zulxumor </t>
  </si>
  <si>
    <t>Sanat (Raximov Farxod )</t>
  </si>
  <si>
    <t xml:space="preserve">Oripov Umid </t>
  </si>
  <si>
    <t xml:space="preserve">Axaxanova Zebiniso </t>
  </si>
  <si>
    <t xml:space="preserve">Sharipova Marxabo </t>
  </si>
  <si>
    <t>14,05,2026</t>
  </si>
  <si>
    <t xml:space="preserve">Sarvar og`a </t>
  </si>
  <si>
    <t xml:space="preserve">Tajiyev Davron </t>
  </si>
  <si>
    <t xml:space="preserve">Ergashev Ilhom </t>
  </si>
  <si>
    <t xml:space="preserve">Artikova Gulnoz </t>
  </si>
  <si>
    <t xml:space="preserve">O`razmetov Alisher </t>
  </si>
  <si>
    <t xml:space="preserve">Allayarova Nafiza </t>
  </si>
  <si>
    <t xml:space="preserve">Madrimova Xosiyat </t>
  </si>
  <si>
    <t xml:space="preserve">Dasap G`iyos </t>
  </si>
  <si>
    <t xml:space="preserve">Bog`ot atov </t>
  </si>
  <si>
    <t xml:space="preserve">1300 dollar </t>
  </si>
  <si>
    <t xml:space="preserve">Sanat usta Atov Bezsubsidiya </t>
  </si>
  <si>
    <t xml:space="preserve">Masharipova Munisa </t>
  </si>
  <si>
    <t xml:space="preserve">Xajiyev Adil </t>
  </si>
  <si>
    <t xml:space="preserve">Muxammedova Nazokat </t>
  </si>
  <si>
    <t xml:space="preserve">Armada Bekmurod </t>
  </si>
  <si>
    <t xml:space="preserve">Usta lutfulla Qurolbek gibrid </t>
  </si>
  <si>
    <t xml:space="preserve">Sultonov Shoxrux </t>
  </si>
  <si>
    <t xml:space="preserve">Ko`ziboyev Baxram </t>
  </si>
  <si>
    <t xml:space="preserve">Xushnud og`a namuna </t>
  </si>
  <si>
    <t xml:space="preserve">Yo`ldashev sardor </t>
  </si>
  <si>
    <t xml:space="preserve">Maxmud Soxibkor </t>
  </si>
  <si>
    <t xml:space="preserve">Abdullayeva Shirin </t>
  </si>
  <si>
    <t xml:space="preserve">Quramboyev Bekzod </t>
  </si>
  <si>
    <t xml:space="preserve">Zafar og`a Sug`urta </t>
  </si>
  <si>
    <t xml:space="preserve">Madiyorov Umid </t>
  </si>
  <si>
    <t xml:space="preserve">Reyimov Qodir </t>
  </si>
  <si>
    <t xml:space="preserve">Davletov Ruslan Lelin paxtaobod </t>
  </si>
  <si>
    <t xml:space="preserve">Fayzulla Usta Qaxramon doirachi </t>
  </si>
  <si>
    <t xml:space="preserve">Jumanazarov Yusupboy </t>
  </si>
  <si>
    <t xml:space="preserve">Xursand qashqa dukon </t>
  </si>
  <si>
    <t xml:space="preserve">Jumaniyozov Qadamboy </t>
  </si>
  <si>
    <t xml:space="preserve">Eshniyozov Qurolbek </t>
  </si>
  <si>
    <t xml:space="preserve">Quramboyev Po`latjon </t>
  </si>
  <si>
    <t>Ramat doml a</t>
  </si>
  <si>
    <t xml:space="preserve">Mavlonov Daston </t>
  </si>
  <si>
    <t xml:space="preserve">Soliq </t>
  </si>
  <si>
    <t xml:space="preserve">Yusupov Muxammadjon </t>
  </si>
  <si>
    <t xml:space="preserve">Xo`jayev Arslon </t>
  </si>
  <si>
    <t xml:space="preserve">Asadbek </t>
  </si>
  <si>
    <t xml:space="preserve">Safarbayeva Shaxnoza </t>
  </si>
  <si>
    <t xml:space="preserve">Davletmurotova Nargiza </t>
  </si>
  <si>
    <t xml:space="preserve">Abdurahmonov Maxmud </t>
  </si>
  <si>
    <t xml:space="preserve">Rajabov Mansur </t>
  </si>
  <si>
    <t xml:space="preserve">Gulzor xy </t>
  </si>
  <si>
    <t xml:space="preserve">Panayev Qalanadr </t>
  </si>
  <si>
    <t>Usta fayzulla ( Jumamurotov Azat Vaisov jasur )</t>
  </si>
  <si>
    <t>Raxmonov Usmon Oltinqum Siroj yetakchini akasi 50 109 41 61  91 431 96 11</t>
  </si>
  <si>
    <t xml:space="preserve">Madrimov Diyorbek </t>
  </si>
  <si>
    <t>Usta Sanat ( Jumanazarov Yusup Madiyorov Umid )</t>
  </si>
  <si>
    <t>15,05,2026</t>
  </si>
  <si>
    <t xml:space="preserve">Qutimov Odil </t>
  </si>
  <si>
    <t xml:space="preserve">Mamatov jasur </t>
  </si>
  <si>
    <t>18,05,2026</t>
  </si>
  <si>
    <t xml:space="preserve">Atajonova Shaxnoza </t>
  </si>
  <si>
    <t xml:space="preserve">Nadirova Mavluda </t>
  </si>
  <si>
    <t xml:space="preserve">Jumamurotov Qaratash </t>
  </si>
  <si>
    <t xml:space="preserve">Kuronbayev Og`abek </t>
  </si>
  <si>
    <t xml:space="preserve">Aminov Xamdambek </t>
  </si>
  <si>
    <t xml:space="preserve">Bechanova Ozada </t>
  </si>
  <si>
    <t xml:space="preserve">Atabayev Baxrom Xaji buva </t>
  </si>
  <si>
    <t xml:space="preserve"> Usta Lutfulla   Atabayev Baxrom Xaji buva </t>
  </si>
  <si>
    <t xml:space="preserve">Quvvatov Shozamon </t>
  </si>
  <si>
    <t xml:space="preserve">Usta Lutfulla  olimboy </t>
  </si>
  <si>
    <t xml:space="preserve">Mirzabek </t>
  </si>
  <si>
    <t xml:space="preserve">Elmurod tenkik ko`rik </t>
  </si>
  <si>
    <t xml:space="preserve">Lutfulla Mayda </t>
  </si>
  <si>
    <t xml:space="preserve">Dori </t>
  </si>
  <si>
    <t xml:space="preserve">Saidova Firuza </t>
  </si>
  <si>
    <t xml:space="preserve">Qurbonova Munira </t>
  </si>
  <si>
    <t xml:space="preserve">Batirbayeva Maxfuza </t>
  </si>
  <si>
    <t xml:space="preserve">Raxmonov Usmon </t>
  </si>
  <si>
    <t xml:space="preserve">ozod Givf </t>
  </si>
  <si>
    <t xml:space="preserve">Yusupov Xamdam </t>
  </si>
  <si>
    <t xml:space="preserve">Do`simova Dilnoza </t>
  </si>
  <si>
    <t xml:space="preserve">Ibadullayev sardor </t>
  </si>
  <si>
    <t xml:space="preserve">Tashkent Trade </t>
  </si>
  <si>
    <t xml:space="preserve">Jabborova Maxliyo </t>
  </si>
  <si>
    <t>Qarriyeva Dilfuz a</t>
  </si>
  <si>
    <t xml:space="preserve">Xudayberganova Nafisa </t>
  </si>
  <si>
    <t xml:space="preserve">Yo`ldasheva Maftuna </t>
  </si>
  <si>
    <t xml:space="preserve">Ibadullayeva Mavluda </t>
  </si>
  <si>
    <t xml:space="preserve">Aminova Sevinchoy </t>
  </si>
  <si>
    <t xml:space="preserve">Xonqa Xokim yordamchi </t>
  </si>
  <si>
    <t>Abdrimov Ruslan</t>
  </si>
  <si>
    <t xml:space="preserve">Taxirov Murod </t>
  </si>
  <si>
    <t xml:space="preserve">Ibragimov Azizbek </t>
  </si>
  <si>
    <t xml:space="preserve">Qalandarov Olim </t>
  </si>
  <si>
    <t xml:space="preserve">Qurbonova Surayyo </t>
  </si>
  <si>
    <t xml:space="preserve">Xonqali brat 00 22 </t>
  </si>
  <si>
    <t xml:space="preserve">Mavlonov Beknazar </t>
  </si>
  <si>
    <t xml:space="preserve">Qurbonov Ravshanbek </t>
  </si>
  <si>
    <t xml:space="preserve">Sultonov Gulomboy </t>
  </si>
  <si>
    <t xml:space="preserve">Rustamov Asadbek </t>
  </si>
  <si>
    <t xml:space="preserve">Reyimberdiyev Baxriddin </t>
  </si>
  <si>
    <t xml:space="preserve">Masharipova Ozoda </t>
  </si>
  <si>
    <t xml:space="preserve">Bekturdiyeva Shaxodat </t>
  </si>
  <si>
    <t xml:space="preserve">Ganjayev Javohir </t>
  </si>
  <si>
    <t xml:space="preserve">Kuryozova Gulsara </t>
  </si>
  <si>
    <t>BEGMANOV MERDON ALLANAZAROVICH</t>
  </si>
  <si>
    <t xml:space="preserve">Erkinboyev Xayitboy </t>
  </si>
  <si>
    <t xml:space="preserve">Usta Yashnar  Mamatov Jasur </t>
  </si>
  <si>
    <t xml:space="preserve">Farxod O`g`iljon </t>
  </si>
  <si>
    <t xml:space="preserve">Xo`janiyozova Firuza </t>
  </si>
  <si>
    <t xml:space="preserve">Ro`zmetova Laylo </t>
  </si>
  <si>
    <t>Usta Fayzulla (Kurbonyoz usmon Fayzulla Mo`lla )</t>
  </si>
  <si>
    <t xml:space="preserve">Babajonov Ravshan </t>
  </si>
  <si>
    <t xml:space="preserve">Oltinqum Yordamchi </t>
  </si>
  <si>
    <t>22,05,2026</t>
  </si>
  <si>
    <t>19,05,2026</t>
  </si>
  <si>
    <t xml:space="preserve">smart </t>
  </si>
  <si>
    <t>esma</t>
  </si>
  <si>
    <t xml:space="preserve">Temir </t>
  </si>
  <si>
    <t xml:space="preserve">Farxod uragan </t>
  </si>
  <si>
    <t xml:space="preserve">Xudayqulov Maxmud </t>
  </si>
  <si>
    <t>Sherzod Bux</t>
  </si>
  <si>
    <t xml:space="preserve">Babajonov Otabek </t>
  </si>
  <si>
    <t xml:space="preserve">Romonov Og`abek </t>
  </si>
  <si>
    <t xml:space="preserve">Fotih Sulton </t>
  </si>
  <si>
    <t xml:space="preserve">Yusupov Sardor </t>
  </si>
  <si>
    <t xml:space="preserve">Sapayeva Iroda </t>
  </si>
  <si>
    <t xml:space="preserve">Nurjanov Nurlanbay </t>
  </si>
  <si>
    <t xml:space="preserve">Saparbayev Erkin </t>
  </si>
  <si>
    <t xml:space="preserve">Ro`zmetova Nasiba </t>
  </si>
  <si>
    <t xml:space="preserve">Matyaqubova Adolat </t>
  </si>
  <si>
    <t xml:space="preserve">O`ktamboy Xurshid </t>
  </si>
  <si>
    <t xml:space="preserve">Yusupov Azimboy </t>
  </si>
  <si>
    <t xml:space="preserve">Konditsionner </t>
  </si>
  <si>
    <t xml:space="preserve">Kalandarov Olim aka </t>
  </si>
  <si>
    <t xml:space="preserve">Babajonova Sayyora </t>
  </si>
  <si>
    <t xml:space="preserve">Ulug`bekov Sardorbek </t>
  </si>
  <si>
    <t xml:space="preserve">Saidnazarov Asadbek </t>
  </si>
  <si>
    <t xml:space="preserve">To`xtaboyeva Layloxon </t>
  </si>
  <si>
    <t xml:space="preserve">Achilov G`ayratboy </t>
  </si>
  <si>
    <t xml:space="preserve">Inomjon Nurafshon </t>
  </si>
  <si>
    <t>Milliy bank</t>
  </si>
  <si>
    <t xml:space="preserve">YTT Raximova Gulnora </t>
  </si>
  <si>
    <t xml:space="preserve">USMANOVA NILUFAR BAHROM QIZI </t>
  </si>
  <si>
    <t xml:space="preserve">Madraximov Abror </t>
  </si>
  <si>
    <t>Buxorbayeva Bagila</t>
  </si>
  <si>
    <t xml:space="preserve">Xamkorbank </t>
  </si>
  <si>
    <t xml:space="preserve">Otabekov Suxrob </t>
  </si>
  <si>
    <t xml:space="preserve">Bektemirov Abror </t>
  </si>
  <si>
    <t xml:space="preserve">Clever Soft </t>
  </si>
  <si>
    <t xml:space="preserve">Xayitboyev Ro`zmat </t>
  </si>
  <si>
    <t xml:space="preserve">Boyxon Baliqlari </t>
  </si>
  <si>
    <t xml:space="preserve">javlon oga Usmon va G`ayrat Xisoblashildi </t>
  </si>
  <si>
    <t xml:space="preserve">Matyaqubov Zokir </t>
  </si>
  <si>
    <t xml:space="preserve">Raxmonova Madina </t>
  </si>
  <si>
    <t xml:space="preserve">Annamurotov Temur </t>
  </si>
  <si>
    <t xml:space="preserve">shoxrux </t>
  </si>
  <si>
    <t xml:space="preserve">Karta Xumoyun </t>
  </si>
  <si>
    <t xml:space="preserve">Yaqubova Zaynab </t>
  </si>
  <si>
    <t xml:space="preserve">Fayzulla Mo`lla </t>
  </si>
  <si>
    <t xml:space="preserve">Abdullayev Olimboy </t>
  </si>
  <si>
    <t xml:space="preserve">Dushamov Sanjar </t>
  </si>
  <si>
    <t xml:space="preserve">Usmonov Muzaffar </t>
  </si>
  <si>
    <t xml:space="preserve">Akbar Ishchi </t>
  </si>
  <si>
    <t xml:space="preserve">Xonqalilar </t>
  </si>
  <si>
    <t>Shoxrux Uyga Qarz</t>
  </si>
  <si>
    <t xml:space="preserve">Abdrimova Malohat </t>
  </si>
  <si>
    <t>Fayzulla usta (Davletov Muzaffar )</t>
  </si>
  <si>
    <t xml:space="preserve">To`raev Abbosbek </t>
  </si>
  <si>
    <t xml:space="preserve">Sotimboyeva Shaxnoza </t>
  </si>
  <si>
    <t xml:space="preserve">Yusupov Murodjon </t>
  </si>
  <si>
    <t xml:space="preserve">Qarirova Nodira </t>
  </si>
  <si>
    <t xml:space="preserve">To`pchi Xokim yordamchi </t>
  </si>
  <si>
    <t xml:space="preserve">Milliybank </t>
  </si>
  <si>
    <t xml:space="preserve">AtajonovUmid Subsidiya </t>
  </si>
  <si>
    <t xml:space="preserve">Asad Xayrulla subsidiya </t>
  </si>
  <si>
    <t xml:space="preserve">Esma qaxramon og`a </t>
  </si>
  <si>
    <t xml:space="preserve">Jabborov Jamol </t>
  </si>
  <si>
    <t xml:space="preserve">ismoilov farrux </t>
  </si>
  <si>
    <t xml:space="preserve">Ibragimova Zulfiya </t>
  </si>
  <si>
    <t xml:space="preserve">O`ktam og`am </t>
  </si>
  <si>
    <t xml:space="preserve">Jumaniyozov Javlon </t>
  </si>
  <si>
    <t xml:space="preserve">Matkarimova Gulzira </t>
  </si>
  <si>
    <t xml:space="preserve">Atanazarova Mexrinoz </t>
  </si>
  <si>
    <t xml:space="preserve">Egamberdiyeva Sabohat </t>
  </si>
  <si>
    <t xml:space="preserve">Matsakil </t>
  </si>
  <si>
    <t xml:space="preserve">Adamboyev Og`abek </t>
  </si>
  <si>
    <t xml:space="preserve">Oltinqum Xokim yordamchi </t>
  </si>
  <si>
    <t xml:space="preserve">Atamurotov Maqsadbek </t>
  </si>
  <si>
    <t xml:space="preserve">Saidov Mansurbek </t>
  </si>
  <si>
    <t xml:space="preserve">Otajonov Anvar </t>
  </si>
  <si>
    <t xml:space="preserve">Sog`lom Avlod </t>
  </si>
  <si>
    <t xml:space="preserve">Asadbek Oyilik </t>
  </si>
  <si>
    <t xml:space="preserve">Raxmonova Maftuna </t>
  </si>
  <si>
    <t xml:space="preserve">Qadamboyev Jalolbek </t>
  </si>
  <si>
    <t xml:space="preserve">Rajabova Maqsuda </t>
  </si>
  <si>
    <t xml:space="preserve">Ibadullayev Xamid </t>
  </si>
  <si>
    <t xml:space="preserve">Egamberdiyev Rashid </t>
  </si>
  <si>
    <t xml:space="preserve">Axmedov Ziyodulla </t>
  </si>
  <si>
    <t xml:space="preserve"> Usta Fayzulla  Davletov Muzaffar </t>
  </si>
  <si>
    <t xml:space="preserve">Baltayeva Zebo </t>
  </si>
  <si>
    <t xml:space="preserve">Sultonova Tozagul </t>
  </si>
  <si>
    <t>03,06,2026</t>
  </si>
  <si>
    <t xml:space="preserve">Egamberdiyeva Surayyo </t>
  </si>
  <si>
    <t xml:space="preserve">Davletova Manzura </t>
  </si>
  <si>
    <t xml:space="preserve">Xokim yordamchi Bonus 2 mln odil </t>
  </si>
  <si>
    <t xml:space="preserve">Boltayev Bobur </t>
  </si>
  <si>
    <t xml:space="preserve">Raximov Ruslan </t>
  </si>
  <si>
    <t xml:space="preserve">Ozod bo`s  KPI </t>
  </si>
  <si>
    <t xml:space="preserve">Ro`zmetov Xamidjon </t>
  </si>
  <si>
    <t xml:space="preserve">Sapayeva Barno </t>
  </si>
  <si>
    <t xml:space="preserve">Baxtiyorova Onaxon </t>
  </si>
  <si>
    <t xml:space="preserve">Egamberdiyev Egamberdi </t>
  </si>
  <si>
    <t xml:space="preserve">Xajiyev Azizbek </t>
  </si>
  <si>
    <t xml:space="preserve">Muzaffar Eshon </t>
  </si>
  <si>
    <t xml:space="preserve">Muzaffar eshon </t>
  </si>
  <si>
    <t xml:space="preserve">Matchanov Abror </t>
  </si>
  <si>
    <t xml:space="preserve">Atajonov Axmed </t>
  </si>
  <si>
    <t xml:space="preserve">Milliy Bank </t>
  </si>
  <si>
    <t xml:space="preserve">Javlon Usta </t>
  </si>
  <si>
    <t xml:space="preserve">Bilet </t>
  </si>
  <si>
    <t xml:space="preserve">Qaxramon Og`a </t>
  </si>
  <si>
    <t xml:space="preserve">Ko`chkoroba Indira </t>
  </si>
  <si>
    <t xml:space="preserve">Abdullayev Dilmurod </t>
  </si>
  <si>
    <t xml:space="preserve">Abdrimova Muqaddas </t>
  </si>
  <si>
    <t xml:space="preserve">Abdullayeva Surayyo </t>
  </si>
  <si>
    <t xml:space="preserve">Kuramboyeva Jumagul </t>
  </si>
  <si>
    <t xml:space="preserve">Matnazarova Dilnura </t>
  </si>
  <si>
    <t xml:space="preserve">Xu,oyun </t>
  </si>
  <si>
    <t xml:space="preserve">Otamurotova Madina </t>
  </si>
  <si>
    <t xml:space="preserve">Axmedova Sanobar </t>
  </si>
  <si>
    <t xml:space="preserve">Jumasheva Rohat </t>
  </si>
  <si>
    <t xml:space="preserve">Qurbonova Shoxista </t>
  </si>
  <si>
    <t xml:space="preserve">Ko`chkorov Muxiddin </t>
  </si>
  <si>
    <t xml:space="preserve">Quryozov Farxod </t>
  </si>
  <si>
    <t xml:space="preserve">Qurbondurdiyev Suxrob </t>
  </si>
  <si>
    <t xml:space="preserve">YTT Yaxshimurotova Ilmira </t>
  </si>
  <si>
    <t xml:space="preserve">umar Falaba </t>
  </si>
  <si>
    <t xml:space="preserve">Ergash chulchul </t>
  </si>
  <si>
    <t xml:space="preserve">Bobojonova Intizor </t>
  </si>
  <si>
    <t xml:space="preserve">Usta Fayzulla ( Yusupov G`ayrat Davletov Rasul Saparov Erkin )  4 mln qarzindan qaytildi </t>
  </si>
  <si>
    <t xml:space="preserve">Urazmatov Sultanboy </t>
  </si>
  <si>
    <t xml:space="preserve">Eshmetov Qaxramon </t>
  </si>
  <si>
    <t xml:space="preserve">Javlon KPI Beruniy </t>
  </si>
  <si>
    <t xml:space="preserve">Niyozullayev quanishbay </t>
  </si>
  <si>
    <t xml:space="preserve">Matchanova Zebo </t>
  </si>
  <si>
    <t xml:space="preserve">Ko`chkorov Faxriddin </t>
  </si>
  <si>
    <t xml:space="preserve">Baxrom doyim </t>
  </si>
  <si>
    <t xml:space="preserve">Misha stat </t>
  </si>
  <si>
    <t>Atajonov Xasanboy</t>
  </si>
  <si>
    <t xml:space="preserve">Yaqubova Zaynabjon </t>
  </si>
  <si>
    <t xml:space="preserve">Maxmudova Rano </t>
  </si>
  <si>
    <t xml:space="preserve">Saburova Malika </t>
  </si>
  <si>
    <t xml:space="preserve">Xasanov Orifjon </t>
  </si>
  <si>
    <t xml:space="preserve">Abdullayeva Shoxista </t>
  </si>
  <si>
    <t xml:space="preserve">Sadullayev Zoir </t>
  </si>
  <si>
    <t xml:space="preserve">Tajiyev Nurbek </t>
  </si>
  <si>
    <t>Shomurotova Zuxrajon</t>
  </si>
  <si>
    <t xml:space="preserve">Usmonov Shuxratjon </t>
  </si>
  <si>
    <t>Xo`jayev Davrug`</t>
  </si>
  <si>
    <t xml:space="preserve">Xo`sinova Kizlargul </t>
  </si>
  <si>
    <t xml:space="preserve">Elamonova Oydinoy </t>
  </si>
  <si>
    <t xml:space="preserve">Safayeva Mavluda </t>
  </si>
  <si>
    <t xml:space="preserve">Niyozmetov Ro`zmamat </t>
  </si>
  <si>
    <t xml:space="preserve">Toxirova Zulfiya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</si>
</sst>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1" formatCode="_-* #,##0\ _₽_-;\-* #,##0\ _₽_-;_-* &quot;-&quot;\ _₽_-;_-@_-"/>
    <numFmt numFmtId="43" formatCode="_-* #,##0.00\ _₽_-;\-* #,##0.00\ _₽_-;_-* &quot;-&quot;??\ _₽_-;_-@_-"/>
    <numFmt numFmtId="164" formatCode="_-* #,##0\ _₽_-;\-* #,##0\ _₽_-;_-* &quot;-&quot;??\ _₽_-;_-@_-"/>
    <numFmt numFmtId="165" formatCode="#,##0_ ;\-#,##0\ "/>
  </numFmts>
  <fonts count="34">
    <font>
      <sz val="11"/>
      <color theme="1"/>
      <name val="Calibri"/>
      <charset val="13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indexed="8"/>
      <name val="Calibri"/>
      <family val="2"/>
      <charset val="204"/>
    </font>
    <font>
      <sz val="11"/>
      <color indexed="10"/>
      <name val="Calibri"/>
      <family val="2"/>
      <charset val="204"/>
    </font>
    <font>
      <b/>
      <sz val="9"/>
      <color indexed="81"/>
      <name val="Tahoma"/>
      <family val="2"/>
      <charset val="204"/>
    </font>
    <font>
      <sz val="9"/>
      <color indexed="81"/>
      <name val="Tahoma"/>
      <family val="2"/>
      <charset val="204"/>
    </font>
    <font>
      <sz val="11"/>
      <color theme="1"/>
      <name val="Calibri"/>
      <family val="2"/>
      <charset val="204"/>
      <scheme val="minor"/>
    </font>
    <font>
      <sz val="11"/>
      <color theme="1"/>
      <name val="Calibri"/>
      <family val="2"/>
      <charset val="204"/>
      <scheme val="minor"/>
    </font>
    <font>
      <sz val="12"/>
      <color rgb="FF000000"/>
      <name val="Arial"/>
      <family val="2"/>
      <charset val="204"/>
    </font>
    <font>
      <sz val="12"/>
      <color rgb="FF002F34"/>
      <name val="Arial"/>
      <family val="2"/>
      <charset val="204"/>
    </font>
    <font>
      <sz val="10"/>
      <color rgb="FF292929"/>
      <name val="Arial"/>
      <family val="2"/>
      <charset val="204"/>
    </font>
    <font>
      <sz val="12"/>
      <color rgb="FF222222"/>
      <name val="Arial"/>
      <family val="2"/>
      <charset val="204"/>
    </font>
    <font>
      <i/>
      <sz val="11"/>
      <color theme="1"/>
      <name val="Calibri"/>
      <family val="2"/>
      <charset val="204"/>
      <scheme val="minor"/>
    </font>
    <font>
      <sz val="11"/>
      <color rgb="FFFF0000"/>
      <name val="Calibri"/>
      <family val="2"/>
      <charset val="204"/>
      <scheme val="minor"/>
    </font>
    <font>
      <b/>
      <sz val="8"/>
      <color rgb="FF56678F"/>
      <name val="Arial"/>
      <family val="2"/>
      <charset val="204"/>
    </font>
    <font>
      <sz val="8"/>
      <color rgb="FF56678F"/>
      <name val="Arial"/>
      <family val="2"/>
      <charset val="204"/>
    </font>
    <font>
      <sz val="10"/>
      <color rgb="FF56678F"/>
      <name val="Arial"/>
      <family val="2"/>
      <charset val="204"/>
    </font>
    <font>
      <sz val="10"/>
      <color theme="1"/>
      <name val="Calibri"/>
      <family val="2"/>
      <charset val="204"/>
      <scheme val="minor"/>
    </font>
    <font>
      <sz val="9"/>
      <color theme="1"/>
      <name val="Calibri"/>
      <family val="2"/>
      <charset val="204"/>
      <scheme val="minor"/>
    </font>
    <font>
      <sz val="11"/>
      <name val="Calibri"/>
      <family val="2"/>
      <charset val="204"/>
      <scheme val="minor"/>
    </font>
    <font>
      <b/>
      <sz val="11"/>
      <color theme="1"/>
      <name val="Calibri"/>
      <family val="2"/>
      <charset val="204"/>
      <scheme val="minor"/>
    </font>
    <font>
      <sz val="10"/>
      <color rgb="FFFF0000"/>
      <name val="Calibri"/>
      <family val="2"/>
      <charset val="204"/>
      <scheme val="minor"/>
    </font>
    <font>
      <sz val="10"/>
      <name val="Calibri"/>
      <family val="2"/>
      <charset val="204"/>
      <scheme val="minor"/>
    </font>
    <font>
      <sz val="11"/>
      <color rgb="FF000000"/>
      <name val="Calibri"/>
      <family val="2"/>
      <charset val="204"/>
    </font>
    <font>
      <sz val="11"/>
      <color rgb="FF000000"/>
      <name val="BalticaUzbek"/>
    </font>
    <font>
      <sz val="11"/>
      <color rgb="FF002060"/>
      <name val="Calibri"/>
      <family val="2"/>
      <charset val="204"/>
      <scheme val="minor"/>
    </font>
    <font>
      <sz val="9"/>
      <name val="Calibri"/>
      <family val="2"/>
      <charset val="204"/>
      <scheme val="minor"/>
    </font>
    <font>
      <sz val="9"/>
      <color rgb="FFFFFF00"/>
      <name val="Calibri"/>
      <family val="2"/>
      <charset val="204"/>
      <scheme val="minor"/>
    </font>
    <font>
      <u val="singleAccounting"/>
      <sz val="11"/>
      <color theme="1"/>
      <name val="Calibri"/>
      <family val="2"/>
      <charset val="204"/>
      <scheme val="minor"/>
    </font>
  </fonts>
  <fills count="27">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5" tint="0.79998168889431442"/>
        <bgColor indexed="64"/>
      </patternFill>
    </fill>
    <fill>
      <patternFill patternType="solid">
        <fgColor rgb="FF00B050"/>
        <bgColor indexed="64"/>
      </patternFill>
    </fill>
    <fill>
      <patternFill patternType="solid">
        <fgColor rgb="FF7030A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249977111117893"/>
        <bgColor indexed="64"/>
      </patternFill>
    </fill>
    <fill>
      <patternFill patternType="solid">
        <fgColor theme="9"/>
        <bgColor indexed="64"/>
      </patternFill>
    </fill>
    <fill>
      <patternFill patternType="solid">
        <fgColor theme="0"/>
        <bgColor indexed="64"/>
      </patternFill>
    </fill>
    <fill>
      <patternFill patternType="solid">
        <fgColor rgb="FF00B0F0"/>
        <bgColor indexed="64"/>
      </patternFill>
    </fill>
    <fill>
      <patternFill patternType="solid">
        <fgColor theme="3" tint="0.59999389629810485"/>
        <bgColor indexed="64"/>
      </patternFill>
    </fill>
    <fill>
      <patternFill patternType="solid">
        <fgColor theme="4"/>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7" fillId="0" borderId="0"/>
    <xf numFmtId="43" fontId="12" fillId="0" borderId="0" applyFont="0" applyFill="0" applyBorder="0" applyAlignment="0" applyProtection="0"/>
  </cellStyleXfs>
  <cellXfs count="1592">
    <xf numFmtId="0" fontId="0" fillId="0" borderId="0" xfId="0"/>
    <xf numFmtId="0" fontId="0" fillId="2" borderId="0" xfId="0" applyFill="1"/>
    <xf numFmtId="0" fontId="0" fillId="3" borderId="0" xfId="0" applyFill="1"/>
    <xf numFmtId="43" fontId="11" fillId="0" borderId="0" xfId="2" applyFont="1"/>
    <xf numFmtId="164" fontId="11" fillId="0" borderId="0" xfId="2" applyNumberFormat="1" applyFont="1"/>
    <xf numFmtId="0" fontId="0" fillId="4" borderId="0" xfId="0" applyFill="1"/>
    <xf numFmtId="0" fontId="0" fillId="0" borderId="0" xfId="0" applyFill="1"/>
    <xf numFmtId="0" fontId="0" fillId="0" borderId="1" xfId="0" applyBorder="1" applyAlignment="1">
      <alignment horizontal="center" vertical="center"/>
    </xf>
    <xf numFmtId="0" fontId="12" fillId="0" borderId="0" xfId="0" applyFont="1" applyAlignment="1"/>
    <xf numFmtId="49" fontId="12" fillId="0" borderId="0" xfId="2" applyNumberFormat="1" applyFont="1" applyBorder="1"/>
    <xf numFmtId="0" fontId="12" fillId="0" borderId="1" xfId="0" applyFont="1" applyBorder="1"/>
    <xf numFmtId="0" fontId="13" fillId="0" borderId="0" xfId="0" applyFont="1"/>
    <xf numFmtId="0" fontId="13" fillId="0" borderId="0" xfId="0" applyFont="1" applyAlignment="1"/>
    <xf numFmtId="0" fontId="14" fillId="0" borderId="0" xfId="0" applyFont="1"/>
    <xf numFmtId="164" fontId="12" fillId="0" borderId="0" xfId="2" applyNumberFormat="1" applyFont="1"/>
    <xf numFmtId="49" fontId="11" fillId="4" borderId="0" xfId="2" applyNumberFormat="1" applyFont="1" applyFill="1" applyBorder="1"/>
    <xf numFmtId="0" fontId="0" fillId="4" borderId="0" xfId="0" applyFill="1" applyAlignment="1"/>
    <xf numFmtId="0" fontId="12" fillId="4" borderId="0" xfId="0" applyFont="1" applyFill="1" applyAlignment="1"/>
    <xf numFmtId="49" fontId="12" fillId="4" borderId="0" xfId="2" applyNumberFormat="1" applyFont="1" applyFill="1" applyBorder="1"/>
    <xf numFmtId="0" fontId="15" fillId="4" borderId="0" xfId="0" applyFont="1" applyFill="1"/>
    <xf numFmtId="0" fontId="0" fillId="0" borderId="0" xfId="0" applyAlignment="1"/>
    <xf numFmtId="49" fontId="0" fillId="4" borderId="0" xfId="0" applyNumberFormat="1" applyFill="1"/>
    <xf numFmtId="0" fontId="12" fillId="0" borderId="1" xfId="0" applyFont="1" applyBorder="1"/>
    <xf numFmtId="0" fontId="0" fillId="5" borderId="0" xfId="0" applyFill="1"/>
    <xf numFmtId="0" fontId="12" fillId="0" borderId="0" xfId="0" applyFont="1" applyAlignment="1"/>
    <xf numFmtId="0" fontId="16" fillId="0" borderId="0" xfId="0" applyFont="1"/>
    <xf numFmtId="164" fontId="12" fillId="0" borderId="0" xfId="2" applyNumberFormat="1" applyFont="1"/>
    <xf numFmtId="0" fontId="12" fillId="4" borderId="1" xfId="0" applyFont="1" applyFill="1" applyBorder="1"/>
    <xf numFmtId="0" fontId="12" fillId="0" borderId="0" xfId="0" applyFont="1"/>
    <xf numFmtId="0" fontId="12" fillId="4" borderId="0" xfId="0" applyFont="1" applyFill="1"/>
    <xf numFmtId="0" fontId="12" fillId="4" borderId="0" xfId="0" applyFont="1" applyFill="1" applyAlignment="1">
      <alignment vertical="center" wrapText="1"/>
    </xf>
    <xf numFmtId="0" fontId="12" fillId="6" borderId="0" xfId="0" applyFont="1" applyFill="1"/>
    <xf numFmtId="0" fontId="0" fillId="4" borderId="0" xfId="0" applyFill="1" applyAlignment="1">
      <alignment horizontal="center" vertical="center"/>
    </xf>
    <xf numFmtId="0" fontId="12" fillId="7" borderId="0" xfId="0" applyFont="1" applyFill="1"/>
    <xf numFmtId="0" fontId="0" fillId="7" borderId="0" xfId="0" applyFill="1"/>
    <xf numFmtId="9" fontId="0" fillId="0" borderId="0" xfId="0" applyNumberFormat="1"/>
    <xf numFmtId="0" fontId="0" fillId="4" borderId="0" xfId="0" applyFill="1" applyAlignment="1">
      <alignment horizontal="left"/>
    </xf>
    <xf numFmtId="0" fontId="17" fillId="4" borderId="0" xfId="0" applyFont="1" applyFill="1"/>
    <xf numFmtId="0" fontId="12" fillId="4" borderId="0" xfId="0" applyFont="1" applyFill="1" applyAlignment="1">
      <alignment horizontal="left"/>
    </xf>
    <xf numFmtId="0" fontId="12" fillId="4" borderId="0" xfId="0" applyFont="1" applyFill="1"/>
    <xf numFmtId="0" fontId="12" fillId="4" borderId="0" xfId="0" applyFont="1" applyFill="1"/>
    <xf numFmtId="49" fontId="12" fillId="4" borderId="0" xfId="0" applyNumberFormat="1" applyFont="1" applyFill="1"/>
    <xf numFmtId="0" fontId="12" fillId="0" borderId="0" xfId="0" applyFont="1"/>
    <xf numFmtId="0" fontId="0" fillId="4" borderId="0" xfId="0" applyNumberFormat="1" applyFill="1"/>
    <xf numFmtId="43" fontId="11" fillId="4" borderId="0" xfId="2" applyFont="1" applyFill="1"/>
    <xf numFmtId="43" fontId="0" fillId="4" borderId="0" xfId="0" applyNumberFormat="1" applyFill="1"/>
    <xf numFmtId="0" fontId="12" fillId="4" borderId="0" xfId="0" applyFont="1" applyFill="1"/>
    <xf numFmtId="43" fontId="12" fillId="4" borderId="0" xfId="2" applyFont="1" applyFill="1"/>
    <xf numFmtId="0" fontId="0" fillId="0" borderId="1" xfId="0" applyBorder="1"/>
    <xf numFmtId="43" fontId="11" fillId="0" borderId="1" xfId="2" applyFont="1" applyBorder="1"/>
    <xf numFmtId="0" fontId="0" fillId="0" borderId="0" xfId="0" applyAlignment="1">
      <alignment horizontal="center"/>
    </xf>
    <xf numFmtId="0" fontId="0" fillId="0" borderId="1" xfId="0" applyBorder="1" applyAlignment="1">
      <alignment horizontal="center"/>
    </xf>
    <xf numFmtId="0" fontId="0" fillId="4" borderId="0" xfId="0" applyFill="1" applyAlignment="1">
      <alignment horizontal="center"/>
    </xf>
    <xf numFmtId="0" fontId="0" fillId="8" borderId="0" xfId="0" applyFill="1"/>
    <xf numFmtId="0" fontId="12" fillId="4" borderId="0" xfId="0" applyFont="1" applyFill="1"/>
    <xf numFmtId="0" fontId="12" fillId="0" borderId="0" xfId="0" applyFont="1"/>
    <xf numFmtId="0" fontId="12" fillId="4" borderId="0" xfId="0" applyFont="1" applyFill="1"/>
    <xf numFmtId="0" fontId="12" fillId="4" borderId="0" xfId="0" applyFont="1" applyFill="1"/>
    <xf numFmtId="0" fontId="12" fillId="0" borderId="0" xfId="0" applyFont="1"/>
    <xf numFmtId="0" fontId="0" fillId="9" borderId="0" xfId="0" applyFill="1"/>
    <xf numFmtId="0" fontId="12" fillId="9" borderId="0" xfId="0" applyFont="1" applyFill="1"/>
    <xf numFmtId="0" fontId="12" fillId="9" borderId="0" xfId="0" applyFont="1" applyFill="1"/>
    <xf numFmtId="0" fontId="12" fillId="9" borderId="0" xfId="0" applyFont="1" applyFill="1"/>
    <xf numFmtId="0" fontId="12" fillId="0" borderId="0" xfId="0" applyFont="1" applyFill="1"/>
    <xf numFmtId="0" fontId="12" fillId="9" borderId="0" xfId="0" applyFont="1" applyFill="1"/>
    <xf numFmtId="0" fontId="12" fillId="9" borderId="0" xfId="0" applyFont="1" applyFill="1"/>
    <xf numFmtId="0" fontId="0" fillId="9" borderId="0" xfId="0" applyFill="1" applyAlignment="1">
      <alignment wrapText="1"/>
    </xf>
    <xf numFmtId="0" fontId="12" fillId="4" borderId="0" xfId="0" applyFont="1" applyFill="1"/>
    <xf numFmtId="0" fontId="12" fillId="0" borderId="0" xfId="0" applyFont="1" applyFill="1" applyBorder="1"/>
    <xf numFmtId="0" fontId="12" fillId="4" borderId="0" xfId="0" applyFont="1" applyFill="1"/>
    <xf numFmtId="0" fontId="12" fillId="4" borderId="0" xfId="0" applyFont="1" applyFill="1"/>
    <xf numFmtId="0" fontId="12" fillId="4" borderId="0" xfId="0" applyFont="1" applyFill="1"/>
    <xf numFmtId="0" fontId="12" fillId="9" borderId="0" xfId="0" applyFont="1" applyFill="1"/>
    <xf numFmtId="0" fontId="12" fillId="4" borderId="0" xfId="0" applyFont="1" applyFill="1"/>
    <xf numFmtId="0" fontId="12" fillId="0" borderId="0" xfId="0" applyFont="1" applyFill="1"/>
    <xf numFmtId="0" fontId="0" fillId="10" borderId="0" xfId="0" applyFill="1"/>
    <xf numFmtId="0" fontId="0" fillId="8" borderId="0" xfId="0" applyFill="1" applyAlignment="1">
      <alignment wrapText="1"/>
    </xf>
    <xf numFmtId="0" fontId="12" fillId="0" borderId="0" xfId="0" applyFont="1"/>
    <xf numFmtId="0" fontId="12" fillId="11" borderId="0" xfId="0" applyFont="1" applyFill="1"/>
    <xf numFmtId="0" fontId="12" fillId="9" borderId="0" xfId="0" applyFont="1" applyFill="1"/>
    <xf numFmtId="0" fontId="12" fillId="0" borderId="0" xfId="0" applyFont="1" applyFill="1"/>
    <xf numFmtId="0" fontId="12" fillId="4" borderId="0" xfId="0" applyFont="1" applyFill="1"/>
    <xf numFmtId="0" fontId="12" fillId="0" borderId="0" xfId="0" applyFont="1" applyFill="1"/>
    <xf numFmtId="0" fontId="12" fillId="4" borderId="0" xfId="0" applyFont="1" applyFill="1"/>
    <xf numFmtId="0" fontId="18" fillId="9" borderId="0" xfId="0" applyFont="1" applyFill="1"/>
    <xf numFmtId="0" fontId="12" fillId="4" borderId="0" xfId="0" applyFont="1" applyFill="1"/>
    <xf numFmtId="0" fontId="12" fillId="4" borderId="1" xfId="0" applyFont="1" applyFill="1" applyBorder="1"/>
    <xf numFmtId="0" fontId="12" fillId="4" borderId="0" xfId="0" applyFont="1" applyFill="1"/>
    <xf numFmtId="0" fontId="12" fillId="0" borderId="0" xfId="0" applyFont="1" applyFill="1"/>
    <xf numFmtId="0" fontId="0" fillId="12" borderId="0" xfId="0" applyFill="1"/>
    <xf numFmtId="0" fontId="12" fillId="12" borderId="0" xfId="0" applyFont="1" applyFill="1"/>
    <xf numFmtId="0" fontId="12" fillId="12" borderId="0" xfId="0" applyFont="1" applyFill="1"/>
    <xf numFmtId="0" fontId="12" fillId="10" borderId="0" xfId="0" applyFont="1" applyFill="1"/>
    <xf numFmtId="0" fontId="12" fillId="10" borderId="0" xfId="0" applyFont="1" applyFill="1"/>
    <xf numFmtId="0" fontId="12" fillId="10" borderId="0" xfId="0" applyFont="1" applyFill="1"/>
    <xf numFmtId="0" fontId="12" fillId="4" borderId="0" xfId="0" applyFont="1" applyFill="1"/>
    <xf numFmtId="0" fontId="12" fillId="4" borderId="0" xfId="0" applyFont="1" applyFill="1" applyBorder="1"/>
    <xf numFmtId="0" fontId="0" fillId="4" borderId="0" xfId="0" applyFill="1" applyBorder="1"/>
    <xf numFmtId="0" fontId="12" fillId="4" borderId="0" xfId="0" applyFont="1" applyFill="1" applyBorder="1"/>
    <xf numFmtId="0" fontId="12" fillId="10" borderId="0" xfId="0" applyFont="1" applyFill="1"/>
    <xf numFmtId="0" fontId="12" fillId="10" borderId="0" xfId="0" applyFont="1" applyFill="1"/>
    <xf numFmtId="0" fontId="19" fillId="10" borderId="0" xfId="0" applyFont="1" applyFill="1"/>
    <xf numFmtId="0" fontId="0" fillId="13" borderId="0" xfId="0" applyFill="1"/>
    <xf numFmtId="0" fontId="12" fillId="4" borderId="0" xfId="0" applyFont="1" applyFill="1"/>
    <xf numFmtId="0" fontId="12" fillId="0" borderId="0" xfId="0" applyFont="1" applyFill="1"/>
    <xf numFmtId="0" fontId="12" fillId="0" borderId="1" xfId="0" applyFont="1" applyBorder="1"/>
    <xf numFmtId="0" fontId="12" fillId="0" borderId="0" xfId="0" applyFont="1"/>
    <xf numFmtId="0" fontId="12" fillId="0" borderId="0" xfId="0" applyFont="1" applyFill="1"/>
    <xf numFmtId="0" fontId="12" fillId="4" borderId="0" xfId="0" applyFont="1" applyFill="1"/>
    <xf numFmtId="0" fontId="20" fillId="10" borderId="0" xfId="0" applyFont="1" applyFill="1"/>
    <xf numFmtId="0" fontId="12" fillId="9" borderId="0" xfId="0" applyFont="1" applyFill="1"/>
    <xf numFmtId="0" fontId="12" fillId="9" borderId="0" xfId="0" applyFont="1" applyFill="1"/>
    <xf numFmtId="0" fontId="12" fillId="0" borderId="0" xfId="0" applyFont="1" applyFill="1"/>
    <xf numFmtId="0" fontId="12" fillId="4" borderId="0" xfId="0" applyFont="1" applyFill="1"/>
    <xf numFmtId="0" fontId="12" fillId="0" borderId="0" xfId="0" applyFont="1"/>
    <xf numFmtId="0" fontId="12" fillId="4" borderId="0" xfId="0" applyFont="1" applyFill="1"/>
    <xf numFmtId="0" fontId="12" fillId="9" borderId="0" xfId="0" applyFont="1" applyFill="1"/>
    <xf numFmtId="0" fontId="12" fillId="9" borderId="0" xfId="0" applyFont="1" applyFill="1"/>
    <xf numFmtId="0" fontId="12" fillId="4" borderId="0" xfId="0" applyFont="1" applyFill="1"/>
    <xf numFmtId="0" fontId="12" fillId="0" borderId="0" xfId="0" applyFont="1" applyFill="1"/>
    <xf numFmtId="0" fontId="12" fillId="4" borderId="0" xfId="0" applyFont="1" applyFill="1"/>
    <xf numFmtId="0" fontId="12" fillId="0" borderId="0" xfId="0" applyFont="1" applyFill="1"/>
    <xf numFmtId="0" fontId="12" fillId="4" borderId="0" xfId="0" applyFont="1" applyFill="1"/>
    <xf numFmtId="0" fontId="12" fillId="0" borderId="0" xfId="0" applyFont="1" applyFill="1"/>
    <xf numFmtId="0" fontId="12" fillId="4" borderId="0" xfId="0" applyFont="1" applyFill="1"/>
    <xf numFmtId="0" fontId="12" fillId="0" borderId="0" xfId="0" applyFont="1" applyFill="1"/>
    <xf numFmtId="0" fontId="12" fillId="0" borderId="0" xfId="0" applyFont="1" applyFill="1"/>
    <xf numFmtId="0" fontId="12" fillId="0" borderId="0" xfId="0" applyFont="1" applyFill="1"/>
    <xf numFmtId="0" fontId="12" fillId="8" borderId="0" xfId="0" applyFont="1" applyFill="1"/>
    <xf numFmtId="0" fontId="12" fillId="4" borderId="0" xfId="0" applyFont="1" applyFill="1"/>
    <xf numFmtId="0" fontId="12" fillId="9" borderId="0" xfId="0" applyFont="1" applyFill="1"/>
    <xf numFmtId="0" fontId="12" fillId="0" borderId="0" xfId="0" applyFont="1" applyFill="1"/>
    <xf numFmtId="0" fontId="12" fillId="4" borderId="0" xfId="0" applyFont="1" applyFill="1"/>
    <xf numFmtId="0" fontId="12" fillId="3" borderId="0" xfId="0" applyFont="1" applyFill="1"/>
    <xf numFmtId="0" fontId="12" fillId="0" borderId="0" xfId="0" applyFont="1" applyFill="1"/>
    <xf numFmtId="0" fontId="12" fillId="4" borderId="0" xfId="0" applyFont="1" applyFill="1"/>
    <xf numFmtId="0" fontId="12" fillId="0" borderId="0" xfId="0" applyFont="1" applyFill="1"/>
    <xf numFmtId="0" fontId="12" fillId="4" borderId="0" xfId="0" applyFont="1" applyFill="1"/>
    <xf numFmtId="0" fontId="12" fillId="4" borderId="0" xfId="0" applyFont="1" applyFill="1"/>
    <xf numFmtId="0" fontId="12" fillId="0" borderId="0" xfId="0" applyFont="1" applyFill="1"/>
    <xf numFmtId="43" fontId="11" fillId="0" borderId="0" xfId="2" applyFont="1" applyFill="1"/>
    <xf numFmtId="0" fontId="12" fillId="0" borderId="0" xfId="0" applyFont="1" applyFill="1"/>
    <xf numFmtId="0" fontId="12" fillId="4" borderId="0" xfId="0" applyFont="1" applyFill="1"/>
    <xf numFmtId="0" fontId="12" fillId="0" borderId="0" xfId="0" applyFont="1" applyFill="1"/>
    <xf numFmtId="0" fontId="12" fillId="4" borderId="0" xfId="0" applyFont="1" applyFill="1"/>
    <xf numFmtId="0" fontId="12" fillId="12" borderId="0" xfId="0" applyFont="1" applyFill="1"/>
    <xf numFmtId="0" fontId="12" fillId="10" borderId="0" xfId="0" applyFont="1" applyFill="1"/>
    <xf numFmtId="0" fontId="12" fillId="10" borderId="0" xfId="0" applyFont="1" applyFill="1"/>
    <xf numFmtId="0" fontId="18" fillId="10" borderId="0" xfId="0" applyFont="1" applyFill="1"/>
    <xf numFmtId="0" fontId="12" fillId="0" borderId="0" xfId="0" applyFont="1" applyFill="1"/>
    <xf numFmtId="0" fontId="12" fillId="4" borderId="0" xfId="0" applyFont="1" applyFill="1"/>
    <xf numFmtId="0" fontId="12" fillId="4" borderId="0" xfId="0" applyFont="1" applyFill="1"/>
    <xf numFmtId="0" fontId="12" fillId="0" borderId="0" xfId="0" applyFont="1" applyFill="1"/>
    <xf numFmtId="0" fontId="12" fillId="4" borderId="0" xfId="0" applyFont="1" applyFill="1"/>
    <xf numFmtId="0" fontId="12" fillId="0" borderId="0" xfId="0" applyFont="1" applyFill="1"/>
    <xf numFmtId="0" fontId="17" fillId="0" borderId="1" xfId="0" applyFont="1" applyBorder="1" applyAlignment="1">
      <alignment horizontal="center" vertical="center"/>
    </xf>
    <xf numFmtId="0" fontId="12" fillId="0" borderId="1" xfId="0" applyFont="1" applyBorder="1" applyAlignment="1">
      <alignment horizontal="center"/>
    </xf>
    <xf numFmtId="0" fontId="21" fillId="4" borderId="0" xfId="0" applyFont="1" applyFill="1" applyAlignment="1">
      <alignment horizontal="center" vertical="center" wrapText="1"/>
    </xf>
    <xf numFmtId="0" fontId="12" fillId="4" borderId="0" xfId="0" applyFont="1" applyFill="1"/>
    <xf numFmtId="0" fontId="12" fillId="0" borderId="0" xfId="0" applyFont="1" applyFill="1"/>
    <xf numFmtId="0" fontId="12" fillId="0" borderId="0" xfId="0" applyFont="1" applyFill="1"/>
    <xf numFmtId="0" fontId="12" fillId="4" borderId="0" xfId="0" applyFont="1" applyFill="1"/>
    <xf numFmtId="0" fontId="12" fillId="8" borderId="0" xfId="0" applyFont="1" applyFill="1"/>
    <xf numFmtId="0" fontId="12" fillId="0" borderId="0" xfId="0" applyFont="1" applyFill="1"/>
    <xf numFmtId="0" fontId="12" fillId="4" borderId="0" xfId="0" applyFont="1" applyFill="1"/>
    <xf numFmtId="0" fontId="12" fillId="4" borderId="0" xfId="0" applyFont="1" applyFill="1"/>
    <xf numFmtId="0" fontId="12" fillId="0" borderId="0" xfId="0" applyFont="1" applyFill="1"/>
    <xf numFmtId="0" fontId="12" fillId="4" borderId="0" xfId="0" applyFont="1" applyFill="1"/>
    <xf numFmtId="0" fontId="12" fillId="0" borderId="0" xfId="0" applyFont="1" applyFill="1"/>
    <xf numFmtId="0" fontId="12" fillId="4" borderId="0" xfId="0" applyFont="1" applyFill="1"/>
    <xf numFmtId="0" fontId="12" fillId="0" borderId="0" xfId="0" applyFont="1" applyFill="1"/>
    <xf numFmtId="0" fontId="12" fillId="4" borderId="0" xfId="0" applyFont="1" applyFill="1"/>
    <xf numFmtId="0" fontId="12" fillId="0" borderId="0" xfId="0" applyFont="1" applyFill="1"/>
    <xf numFmtId="0" fontId="12" fillId="0" borderId="0" xfId="0" applyFont="1" applyFill="1"/>
    <xf numFmtId="0" fontId="12" fillId="0" borderId="0" xfId="0" applyFont="1" applyFill="1"/>
    <xf numFmtId="0" fontId="12" fillId="0" borderId="0" xfId="0" applyFont="1" applyFill="1"/>
    <xf numFmtId="0" fontId="12" fillId="4" borderId="0" xfId="0" applyFont="1" applyFill="1"/>
    <xf numFmtId="0" fontId="12" fillId="4" borderId="0" xfId="0" applyFont="1" applyFill="1"/>
    <xf numFmtId="0" fontId="12" fillId="0" borderId="0" xfId="0" applyFont="1" applyFill="1"/>
    <xf numFmtId="0" fontId="12" fillId="4" borderId="0" xfId="0" applyFont="1" applyFill="1"/>
    <xf numFmtId="0" fontId="12" fillId="0" borderId="0" xfId="0" applyFont="1" applyFill="1"/>
    <xf numFmtId="0" fontId="12" fillId="12" borderId="0" xfId="0" applyFont="1" applyFill="1"/>
    <xf numFmtId="0" fontId="12" fillId="4" borderId="0" xfId="0" applyFont="1" applyFill="1"/>
    <xf numFmtId="0" fontId="12" fillId="0" borderId="0" xfId="0" applyFont="1" applyFill="1"/>
    <xf numFmtId="0" fontId="12" fillId="9" borderId="0" xfId="0" applyFont="1" applyFill="1"/>
    <xf numFmtId="0" fontId="12" fillId="0" borderId="0" xfId="0" applyFont="1"/>
    <xf numFmtId="0" fontId="12" fillId="0" borderId="0" xfId="0" applyFont="1" applyFill="1" applyBorder="1"/>
    <xf numFmtId="0" fontId="12" fillId="9" borderId="0" xfId="0" applyFont="1" applyFill="1"/>
    <xf numFmtId="0" fontId="12" fillId="10" borderId="0" xfId="0" applyFont="1" applyFill="1"/>
    <xf numFmtId="0" fontId="12" fillId="4" borderId="0" xfId="0" applyFont="1" applyFill="1"/>
    <xf numFmtId="0" fontId="0" fillId="10" borderId="0" xfId="0" applyFill="1" applyAlignment="1">
      <alignment wrapText="1"/>
    </xf>
    <xf numFmtId="0" fontId="12" fillId="0" borderId="0" xfId="0" applyFont="1" applyFill="1"/>
    <xf numFmtId="0" fontId="12" fillId="4" borderId="0" xfId="0" applyFont="1" applyFill="1"/>
    <xf numFmtId="0" fontId="12" fillId="0" borderId="0" xfId="0" applyFont="1" applyFill="1"/>
    <xf numFmtId="0" fontId="12" fillId="4" borderId="0" xfId="0" applyFont="1" applyFill="1"/>
    <xf numFmtId="0" fontId="12" fillId="0" borderId="0" xfId="0" applyFont="1"/>
    <xf numFmtId="43" fontId="12" fillId="0" borderId="0" xfId="2" applyFont="1"/>
    <xf numFmtId="0" fontId="12" fillId="0" borderId="0" xfId="0" applyFont="1" applyFill="1"/>
    <xf numFmtId="0" fontId="12" fillId="4" borderId="0" xfId="0" applyFont="1" applyFill="1"/>
    <xf numFmtId="0" fontId="12" fillId="10" borderId="0" xfId="0" applyFont="1" applyFill="1"/>
    <xf numFmtId="0" fontId="12" fillId="0" borderId="0" xfId="0" applyFont="1" applyFill="1"/>
    <xf numFmtId="0" fontId="12" fillId="4" borderId="0" xfId="0" applyFont="1" applyFill="1"/>
    <xf numFmtId="3" fontId="0" fillId="4" borderId="0" xfId="0" applyNumberFormat="1" applyFill="1"/>
    <xf numFmtId="0" fontId="12" fillId="0" borderId="0" xfId="0" applyFont="1" applyFill="1"/>
    <xf numFmtId="0" fontId="12" fillId="13" borderId="0" xfId="0" applyFont="1" applyFill="1"/>
    <xf numFmtId="0" fontId="12" fillId="4" borderId="0" xfId="0" applyFont="1" applyFill="1"/>
    <xf numFmtId="0" fontId="12" fillId="0" borderId="0" xfId="0" applyFont="1" applyFill="1"/>
    <xf numFmtId="0" fontId="12" fillId="4" borderId="0" xfId="0" applyFont="1" applyFill="1"/>
    <xf numFmtId="0" fontId="12" fillId="13" borderId="0" xfId="0" applyFont="1" applyFill="1"/>
    <xf numFmtId="0" fontId="12" fillId="3" borderId="0" xfId="0" applyFont="1" applyFill="1"/>
    <xf numFmtId="0" fontId="12" fillId="3" borderId="0" xfId="0" applyFont="1" applyFill="1"/>
    <xf numFmtId="0" fontId="12" fillId="4" borderId="0" xfId="0" applyFont="1" applyFill="1"/>
    <xf numFmtId="0" fontId="12" fillId="0" borderId="0" xfId="0" applyFont="1" applyFill="1"/>
    <xf numFmtId="0" fontId="21" fillId="13" borderId="0" xfId="0" applyFont="1" applyFill="1" applyAlignment="1">
      <alignment horizontal="center" vertical="center" wrapText="1"/>
    </xf>
    <xf numFmtId="0" fontId="12" fillId="4" borderId="0" xfId="0" applyFont="1" applyFill="1" applyAlignment="1">
      <alignment wrapText="1"/>
    </xf>
    <xf numFmtId="49" fontId="12" fillId="0" borderId="0" xfId="0" applyNumberFormat="1" applyFont="1" applyFill="1"/>
    <xf numFmtId="0" fontId="12" fillId="4" borderId="0" xfId="0" applyFont="1" applyFill="1"/>
    <xf numFmtId="0" fontId="12" fillId="0" borderId="0" xfId="0" applyFont="1" applyFill="1"/>
    <xf numFmtId="0" fontId="12" fillId="4" borderId="0" xfId="0" applyFont="1" applyFill="1"/>
    <xf numFmtId="0" fontId="12" fillId="0" borderId="0" xfId="0" applyFont="1" applyFill="1"/>
    <xf numFmtId="0" fontId="12" fillId="4" borderId="0" xfId="0" applyFont="1" applyFill="1"/>
    <xf numFmtId="0" fontId="12" fillId="0" borderId="0" xfId="0" applyFont="1" applyFill="1"/>
    <xf numFmtId="43" fontId="12" fillId="0" borderId="0" xfId="2" applyFont="1" applyFill="1"/>
    <xf numFmtId="0" fontId="12" fillId="0" borderId="0" xfId="0" applyFont="1" applyFill="1"/>
    <xf numFmtId="0" fontId="12" fillId="4" borderId="0" xfId="0" applyFont="1" applyFill="1"/>
    <xf numFmtId="0" fontId="12" fillId="4" borderId="0" xfId="0" applyFont="1" applyFill="1"/>
    <xf numFmtId="0" fontId="0" fillId="0" borderId="0" xfId="0" applyBorder="1" applyAlignment="1">
      <alignment horizontal="center" vertical="center"/>
    </xf>
    <xf numFmtId="0" fontId="12" fillId="0" borderId="0" xfId="0" applyFont="1" applyFill="1"/>
    <xf numFmtId="0" fontId="12" fillId="4" borderId="0" xfId="0" applyFont="1" applyFill="1"/>
    <xf numFmtId="0" fontId="12" fillId="4" borderId="0" xfId="0" applyFont="1" applyFill="1" applyAlignment="1">
      <alignment wrapText="1"/>
    </xf>
    <xf numFmtId="0" fontId="12" fillId="0" borderId="0" xfId="0" applyFont="1" applyFill="1"/>
    <xf numFmtId="0" fontId="12" fillId="4" borderId="0" xfId="0" applyFont="1" applyFill="1"/>
    <xf numFmtId="0" fontId="12" fillId="0" borderId="0" xfId="0" applyFont="1" applyFill="1"/>
    <xf numFmtId="0" fontId="12" fillId="4" borderId="0" xfId="0" applyFont="1" applyFill="1"/>
    <xf numFmtId="0" fontId="12" fillId="0" borderId="0" xfId="0" applyFont="1" applyFill="1"/>
    <xf numFmtId="0" fontId="12" fillId="2" borderId="0" xfId="0" applyFont="1" applyFill="1"/>
    <xf numFmtId="0" fontId="12" fillId="4" borderId="0" xfId="0" applyFont="1" applyFill="1"/>
    <xf numFmtId="0" fontId="12" fillId="3" borderId="0" xfId="0" applyFont="1" applyFill="1"/>
    <xf numFmtId="0" fontId="0" fillId="0" borderId="2" xfId="0" applyFill="1" applyBorder="1" applyAlignment="1">
      <alignment horizontal="center"/>
    </xf>
    <xf numFmtId="0" fontId="0" fillId="0" borderId="2" xfId="0" applyFill="1" applyBorder="1"/>
    <xf numFmtId="0" fontId="0" fillId="14" borderId="0" xfId="0" applyFill="1"/>
    <xf numFmtId="0" fontId="12" fillId="0" borderId="0" xfId="0" applyFont="1" applyFill="1"/>
    <xf numFmtId="0" fontId="12" fillId="4" borderId="0" xfId="0" applyFont="1" applyFill="1"/>
    <xf numFmtId="0" fontId="12" fillId="4" borderId="0" xfId="0" applyFont="1" applyFill="1" applyAlignment="1">
      <alignment wrapText="1"/>
    </xf>
    <xf numFmtId="0" fontId="12" fillId="0" borderId="0" xfId="0" applyFont="1" applyFill="1"/>
    <xf numFmtId="0" fontId="12" fillId="2" borderId="0" xfId="0" applyFont="1" applyFill="1"/>
    <xf numFmtId="0" fontId="12" fillId="13" borderId="0" xfId="0" applyFont="1" applyFill="1"/>
    <xf numFmtId="0" fontId="12" fillId="4" borderId="0" xfId="0" applyFont="1" applyFill="1"/>
    <xf numFmtId="0" fontId="12" fillId="4" borderId="0" xfId="0" applyFont="1" applyFill="1" applyAlignment="1">
      <alignment wrapText="1"/>
    </xf>
    <xf numFmtId="0" fontId="0" fillId="0" borderId="3" xfId="0" applyFill="1" applyBorder="1"/>
    <xf numFmtId="0" fontId="0" fillId="0" borderId="0" xfId="0" applyAlignment="1">
      <alignment horizontal="center" vertical="center" wrapText="1"/>
    </xf>
    <xf numFmtId="0" fontId="12" fillId="4" borderId="0" xfId="0" applyFont="1" applyFill="1"/>
    <xf numFmtId="0" fontId="12" fillId="0" borderId="0" xfId="0" applyFont="1" applyFill="1"/>
    <xf numFmtId="0" fontId="12" fillId="9" borderId="0" xfId="0" applyFont="1" applyFill="1"/>
    <xf numFmtId="0" fontId="12" fillId="2" borderId="0" xfId="0" applyFont="1" applyFill="1"/>
    <xf numFmtId="0" fontId="12" fillId="0" borderId="0" xfId="0" applyFont="1" applyFill="1"/>
    <xf numFmtId="0" fontId="12" fillId="4" borderId="0" xfId="0" applyFont="1" applyFill="1"/>
    <xf numFmtId="43" fontId="12" fillId="0" borderId="0" xfId="2" applyFont="1" applyFill="1"/>
    <xf numFmtId="0" fontId="12" fillId="0" borderId="0" xfId="0" applyFont="1" applyFill="1"/>
    <xf numFmtId="0" fontId="12" fillId="4" borderId="0" xfId="0" applyFont="1" applyFill="1"/>
    <xf numFmtId="0" fontId="12" fillId="8" borderId="0" xfId="0" applyFont="1" applyFill="1"/>
    <xf numFmtId="0" fontId="12" fillId="0" borderId="0" xfId="0" applyFont="1" applyFill="1"/>
    <xf numFmtId="0" fontId="12" fillId="4" borderId="0" xfId="0" applyFont="1" applyFill="1"/>
    <xf numFmtId="0" fontId="12" fillId="4" borderId="0" xfId="0" applyFont="1" applyFill="1" applyAlignment="1">
      <alignment wrapText="1"/>
    </xf>
    <xf numFmtId="0" fontId="0" fillId="0" borderId="0" xfId="0" applyBorder="1" applyAlignment="1">
      <alignment horizontal="center"/>
    </xf>
    <xf numFmtId="0" fontId="0" fillId="0" borderId="2" xfId="0" applyBorder="1" applyAlignment="1">
      <alignment horizontal="center"/>
    </xf>
    <xf numFmtId="0" fontId="0" fillId="0" borderId="2" xfId="0" applyBorder="1"/>
    <xf numFmtId="0" fontId="0" fillId="0" borderId="0" xfId="0" applyBorder="1"/>
    <xf numFmtId="0" fontId="0" fillId="0" borderId="3" xfId="0" applyBorder="1"/>
    <xf numFmtId="0" fontId="12" fillId="0" borderId="0" xfId="0" applyFont="1" applyFill="1"/>
    <xf numFmtId="0" fontId="12" fillId="0" borderId="0" xfId="0" applyFont="1" applyFill="1"/>
    <xf numFmtId="0" fontId="0" fillId="0" borderId="0" xfId="0" applyFill="1" applyBorder="1" applyAlignment="1">
      <alignment horizontal="center"/>
    </xf>
    <xf numFmtId="0" fontId="0" fillId="0" borderId="0" xfId="0" applyFill="1" applyBorder="1"/>
    <xf numFmtId="0" fontId="12" fillId="4" borderId="0" xfId="0" applyFont="1" applyFill="1"/>
    <xf numFmtId="0" fontId="12" fillId="4" borderId="0" xfId="0" applyFont="1" applyFill="1"/>
    <xf numFmtId="0" fontId="12" fillId="0" borderId="0" xfId="0" applyFont="1" applyFill="1"/>
    <xf numFmtId="0" fontId="12" fillId="4" borderId="0" xfId="0" applyFont="1" applyFill="1"/>
    <xf numFmtId="0" fontId="12" fillId="0" borderId="0" xfId="0" applyFont="1" applyFill="1"/>
    <xf numFmtId="0" fontId="12" fillId="4" borderId="0" xfId="0" applyFont="1" applyFill="1"/>
    <xf numFmtId="0" fontId="12" fillId="4" borderId="0" xfId="0" applyFont="1" applyFill="1"/>
    <xf numFmtId="0" fontId="12" fillId="3" borderId="0" xfId="0" applyFont="1" applyFill="1"/>
    <xf numFmtId="0" fontId="12" fillId="5" borderId="0" xfId="0" applyFont="1" applyFill="1"/>
    <xf numFmtId="0" fontId="0" fillId="2" borderId="2" xfId="0" applyFill="1" applyBorder="1" applyAlignment="1">
      <alignment horizontal="center"/>
    </xf>
    <xf numFmtId="0" fontId="0" fillId="2" borderId="2" xfId="0" applyFill="1" applyBorder="1"/>
    <xf numFmtId="0" fontId="0" fillId="2" borderId="3" xfId="0" applyFill="1" applyBorder="1"/>
    <xf numFmtId="0" fontId="12" fillId="0" borderId="0" xfId="0" applyFont="1" applyFill="1"/>
    <xf numFmtId="0" fontId="12" fillId="4" borderId="0" xfId="0" applyFont="1" applyFill="1"/>
    <xf numFmtId="0" fontId="12" fillId="4" borderId="0" xfId="0" applyFont="1" applyFill="1"/>
    <xf numFmtId="0" fontId="12" fillId="0" borderId="0" xfId="0" applyFont="1" applyFill="1"/>
    <xf numFmtId="0" fontId="12" fillId="13" borderId="0" xfId="0" applyFont="1" applyFill="1"/>
    <xf numFmtId="0" fontId="12" fillId="0" borderId="0" xfId="0" applyFont="1" applyFill="1"/>
    <xf numFmtId="0" fontId="12" fillId="4" borderId="0" xfId="0" applyFont="1" applyFill="1"/>
    <xf numFmtId="0" fontId="12" fillId="4" borderId="0" xfId="0" applyFont="1" applyFill="1"/>
    <xf numFmtId="0" fontId="12" fillId="0" borderId="0" xfId="0" applyFont="1" applyFill="1"/>
    <xf numFmtId="0" fontId="12" fillId="4" borderId="0" xfId="0" applyFont="1" applyFill="1"/>
    <xf numFmtId="0" fontId="12" fillId="5" borderId="0" xfId="0" applyFont="1" applyFill="1"/>
    <xf numFmtId="0" fontId="12" fillId="5" borderId="0" xfId="0" applyFont="1" applyFill="1"/>
    <xf numFmtId="0" fontId="12" fillId="2" borderId="0" xfId="0" applyFont="1" applyFill="1"/>
    <xf numFmtId="0" fontId="12" fillId="4" borderId="0" xfId="0" applyFont="1" applyFill="1"/>
    <xf numFmtId="0" fontId="12" fillId="0" borderId="0" xfId="0" applyFont="1" applyFill="1"/>
    <xf numFmtId="0" fontId="12" fillId="5" borderId="0" xfId="0" applyFont="1" applyFill="1"/>
    <xf numFmtId="0" fontId="12" fillId="0" borderId="0" xfId="0" applyFont="1" applyFill="1"/>
    <xf numFmtId="0" fontId="12" fillId="4" borderId="0" xfId="0" applyFont="1" applyFill="1"/>
    <xf numFmtId="0" fontId="12" fillId="13" borderId="0" xfId="0" applyFont="1" applyFill="1"/>
    <xf numFmtId="0" fontId="12" fillId="8" borderId="0" xfId="0" applyFont="1" applyFill="1"/>
    <xf numFmtId="0" fontId="12" fillId="5" borderId="0" xfId="0" applyFont="1" applyFill="1"/>
    <xf numFmtId="0" fontId="12" fillId="3" borderId="0" xfId="0" applyFont="1" applyFill="1"/>
    <xf numFmtId="0" fontId="12" fillId="4" borderId="0" xfId="0" applyFont="1" applyFill="1" applyAlignment="1">
      <alignment wrapText="1"/>
    </xf>
    <xf numFmtId="0" fontId="12" fillId="5" borderId="0" xfId="0" applyFont="1" applyFill="1"/>
    <xf numFmtId="0" fontId="12" fillId="4" borderId="0" xfId="0" applyFont="1" applyFill="1"/>
    <xf numFmtId="0" fontId="12" fillId="0" borderId="0" xfId="0" applyFont="1" applyFill="1"/>
    <xf numFmtId="0" fontId="12" fillId="4" borderId="0" xfId="0" applyFont="1" applyFill="1" applyAlignment="1">
      <alignment wrapText="1"/>
    </xf>
    <xf numFmtId="0" fontId="12" fillId="13" borderId="0" xfId="0" applyFont="1" applyFill="1"/>
    <xf numFmtId="0" fontId="12" fillId="0" borderId="0" xfId="0" applyFont="1" applyFill="1"/>
    <xf numFmtId="0" fontId="12" fillId="4" borderId="0" xfId="0" applyFont="1" applyFill="1"/>
    <xf numFmtId="0" fontId="12" fillId="2" borderId="0" xfId="0" applyFont="1" applyFill="1"/>
    <xf numFmtId="0" fontId="12" fillId="4" borderId="0" xfId="0" applyFont="1" applyFill="1"/>
    <xf numFmtId="0" fontId="12" fillId="0" borderId="0" xfId="0" applyFont="1" applyFill="1"/>
    <xf numFmtId="0" fontId="12" fillId="5" borderId="0" xfId="0" applyFont="1" applyFill="1"/>
    <xf numFmtId="0" fontId="12" fillId="0" borderId="0" xfId="0" applyFont="1" applyFill="1"/>
    <xf numFmtId="0" fontId="12" fillId="4" borderId="0" xfId="0" applyFont="1" applyFill="1"/>
    <xf numFmtId="0" fontId="12" fillId="5" borderId="0" xfId="0" applyFont="1" applyFill="1"/>
    <xf numFmtId="0" fontId="12" fillId="0" borderId="0" xfId="0" applyFont="1"/>
    <xf numFmtId="0" fontId="12" fillId="0" borderId="0" xfId="0" applyFont="1" applyFill="1"/>
    <xf numFmtId="0" fontId="12" fillId="3" borderId="0" xfId="0" applyFont="1" applyFill="1"/>
    <xf numFmtId="0" fontId="12" fillId="4" borderId="0" xfId="0" applyFont="1" applyFill="1"/>
    <xf numFmtId="0" fontId="12" fillId="0" borderId="0" xfId="0" applyFont="1" applyFill="1"/>
    <xf numFmtId="0" fontId="12" fillId="0" borderId="0" xfId="0" applyFont="1" applyFill="1"/>
    <xf numFmtId="0" fontId="12" fillId="0" borderId="0" xfId="0" applyFont="1" applyFill="1"/>
    <xf numFmtId="0" fontId="12" fillId="4" borderId="0" xfId="0" applyFont="1" applyFill="1"/>
    <xf numFmtId="0" fontId="12" fillId="0" borderId="0" xfId="0" applyFont="1"/>
    <xf numFmtId="0" fontId="12" fillId="0" borderId="0" xfId="0" applyFont="1" applyFill="1"/>
    <xf numFmtId="0" fontId="12" fillId="4" borderId="0" xfId="0" applyFont="1" applyFill="1"/>
    <xf numFmtId="0" fontId="12" fillId="0" borderId="0" xfId="0" applyFont="1" applyFill="1"/>
    <xf numFmtId="0" fontId="12" fillId="4" borderId="0" xfId="0" applyFont="1" applyFill="1"/>
    <xf numFmtId="0" fontId="12" fillId="4" borderId="0" xfId="0" applyFont="1" applyFill="1"/>
    <xf numFmtId="0" fontId="12" fillId="0" borderId="0" xfId="0" applyFont="1" applyFill="1"/>
    <xf numFmtId="0" fontId="12" fillId="0" borderId="0" xfId="0" applyFont="1" applyFill="1"/>
    <xf numFmtId="0" fontId="12" fillId="5" borderId="0" xfId="0" applyFont="1" applyFill="1"/>
    <xf numFmtId="0" fontId="12" fillId="0" borderId="0" xfId="0" applyFont="1" applyFill="1"/>
    <xf numFmtId="0" fontId="12" fillId="4" borderId="0" xfId="0" applyFont="1" applyFill="1"/>
    <xf numFmtId="0" fontId="12" fillId="0" borderId="0" xfId="0" applyFont="1" applyFill="1"/>
    <xf numFmtId="0" fontId="12" fillId="0" borderId="0" xfId="0" applyFont="1" applyFill="1"/>
    <xf numFmtId="0" fontId="12" fillId="4" borderId="0" xfId="0" applyFont="1" applyFill="1"/>
    <xf numFmtId="0" fontId="12" fillId="0" borderId="0" xfId="0" applyFont="1" applyFill="1"/>
    <xf numFmtId="0" fontId="12" fillId="4" borderId="0" xfId="0" applyFont="1" applyFill="1"/>
    <xf numFmtId="0" fontId="12" fillId="15" borderId="0" xfId="0" applyFont="1" applyFill="1"/>
    <xf numFmtId="0" fontId="0" fillId="15" borderId="0" xfId="0" applyFill="1"/>
    <xf numFmtId="0" fontId="12" fillId="15" borderId="0" xfId="0" applyFont="1" applyFill="1"/>
    <xf numFmtId="0" fontId="12" fillId="0" borderId="0" xfId="0" applyFont="1" applyFill="1"/>
    <xf numFmtId="0" fontId="12" fillId="2" borderId="0" xfId="0" applyFont="1" applyFill="1"/>
    <xf numFmtId="0" fontId="12" fillId="4" borderId="0" xfId="0" applyFont="1" applyFill="1"/>
    <xf numFmtId="43" fontId="12" fillId="0" borderId="0" xfId="2" applyFont="1" applyFill="1"/>
    <xf numFmtId="0" fontId="12" fillId="15" borderId="0" xfId="0" applyFont="1" applyFill="1"/>
    <xf numFmtId="0" fontId="12" fillId="0" borderId="0" xfId="0" applyFont="1" applyFill="1"/>
    <xf numFmtId="0" fontId="12" fillId="4" borderId="0" xfId="0" applyFont="1" applyFill="1"/>
    <xf numFmtId="43" fontId="12" fillId="0" borderId="0" xfId="2" applyFont="1" applyFill="1"/>
    <xf numFmtId="0" fontId="12" fillId="4" borderId="0" xfId="0" applyFont="1" applyFill="1"/>
    <xf numFmtId="0" fontId="12" fillId="0" borderId="0" xfId="0" applyFont="1" applyFill="1"/>
    <xf numFmtId="0" fontId="12" fillId="13" borderId="0" xfId="0" applyFont="1" applyFill="1"/>
    <xf numFmtId="0" fontId="12" fillId="5" borderId="0" xfId="0" applyFont="1" applyFill="1"/>
    <xf numFmtId="0" fontId="12" fillId="2" borderId="0" xfId="0" applyFont="1" applyFill="1"/>
    <xf numFmtId="0" fontId="12" fillId="0" borderId="0" xfId="0" applyFont="1" applyFill="1"/>
    <xf numFmtId="0" fontId="12" fillId="4" borderId="0" xfId="0" applyFont="1" applyFill="1"/>
    <xf numFmtId="0" fontId="12" fillId="0" borderId="0" xfId="0" applyFont="1" applyFill="1"/>
    <xf numFmtId="0" fontId="12" fillId="4" borderId="0" xfId="0" applyFont="1" applyFill="1"/>
    <xf numFmtId="49" fontId="0" fillId="0" borderId="0" xfId="0" applyNumberFormat="1"/>
    <xf numFmtId="0" fontId="12" fillId="16" borderId="0" xfId="0" applyFont="1" applyFill="1" applyBorder="1"/>
    <xf numFmtId="0" fontId="12" fillId="0" borderId="0" xfId="0" applyFont="1" applyFill="1" applyBorder="1"/>
    <xf numFmtId="0" fontId="12" fillId="0" borderId="0" xfId="0" applyFont="1" applyFill="1" applyBorder="1"/>
    <xf numFmtId="0" fontId="12" fillId="0" borderId="0" xfId="0" applyFont="1" applyFill="1"/>
    <xf numFmtId="0" fontId="12" fillId="4" borderId="0" xfId="0" applyFont="1" applyFill="1"/>
    <xf numFmtId="0" fontId="12" fillId="4" borderId="0" xfId="0" applyFont="1" applyFill="1"/>
    <xf numFmtId="0" fontId="12" fillId="0" borderId="0" xfId="0" applyFont="1" applyFill="1"/>
    <xf numFmtId="0" fontId="12" fillId="16" borderId="0" xfId="0" applyFont="1" applyFill="1" applyBorder="1"/>
    <xf numFmtId="0" fontId="12" fillId="0" borderId="0" xfId="0" applyFont="1" applyFill="1" applyBorder="1"/>
    <xf numFmtId="0" fontId="12" fillId="3" borderId="0" xfId="0" applyFont="1" applyFill="1"/>
    <xf numFmtId="0" fontId="12" fillId="0" borderId="1" xfId="0" applyFont="1" applyBorder="1"/>
    <xf numFmtId="0" fontId="12" fillId="4" borderId="0" xfId="0" applyFont="1" applyFill="1" applyBorder="1"/>
    <xf numFmtId="0" fontId="12" fillId="4" borderId="0" xfId="0" applyFont="1" applyFill="1" applyBorder="1"/>
    <xf numFmtId="0" fontId="12" fillId="0" borderId="0" xfId="0" applyFont="1" applyFill="1"/>
    <xf numFmtId="0" fontId="12" fillId="4" borderId="0" xfId="0" applyFont="1" applyFill="1"/>
    <xf numFmtId="0" fontId="12" fillId="4" borderId="0" xfId="0" applyFont="1" applyFill="1" applyBorder="1"/>
    <xf numFmtId="0" fontId="12" fillId="0" borderId="0" xfId="0" applyFont="1" applyFill="1" applyBorder="1"/>
    <xf numFmtId="0" fontId="12" fillId="0" borderId="0" xfId="0" applyFont="1" applyFill="1"/>
    <xf numFmtId="0" fontId="12" fillId="4" borderId="0" xfId="0" applyFont="1" applyFill="1" applyBorder="1"/>
    <xf numFmtId="43" fontId="11" fillId="8" borderId="0" xfId="2" applyFont="1" applyFill="1"/>
    <xf numFmtId="43" fontId="17" fillId="0" borderId="0" xfId="2" applyFont="1" applyFill="1"/>
    <xf numFmtId="43" fontId="12" fillId="0" borderId="0" xfId="2" applyFont="1" applyFill="1"/>
    <xf numFmtId="43" fontId="12" fillId="17" borderId="0" xfId="2" applyFont="1" applyFill="1"/>
    <xf numFmtId="0" fontId="12" fillId="4" borderId="0" xfId="0" applyFont="1" applyFill="1"/>
    <xf numFmtId="0" fontId="12" fillId="4" borderId="0" xfId="0" applyFont="1" applyFill="1" applyAlignment="1">
      <alignment wrapText="1"/>
    </xf>
    <xf numFmtId="0" fontId="12" fillId="0" borderId="0" xfId="0" applyFont="1" applyFill="1" applyBorder="1"/>
    <xf numFmtId="0" fontId="12" fillId="0" borderId="0" xfId="0" applyFont="1" applyFill="1"/>
    <xf numFmtId="0" fontId="12" fillId="0" borderId="0" xfId="0" applyFont="1" applyFill="1"/>
    <xf numFmtId="0" fontId="12" fillId="4" borderId="0" xfId="0" applyFont="1" applyFill="1"/>
    <xf numFmtId="0" fontId="12" fillId="0" borderId="0" xfId="0" applyFont="1" applyFill="1" applyBorder="1"/>
    <xf numFmtId="0" fontId="12" fillId="9" borderId="0" xfId="0" applyFont="1" applyFill="1"/>
    <xf numFmtId="0" fontId="12" fillId="0" borderId="0" xfId="0" applyFont="1" applyFill="1" applyBorder="1"/>
    <xf numFmtId="0" fontId="12" fillId="0" borderId="0" xfId="0" applyFont="1" applyFill="1"/>
    <xf numFmtId="0" fontId="12" fillId="4" borderId="0" xfId="0" applyFont="1" applyFill="1"/>
    <xf numFmtId="0" fontId="12" fillId="0" borderId="0" xfId="0" applyFont="1"/>
    <xf numFmtId="49" fontId="12" fillId="0" borderId="0" xfId="0" applyNumberFormat="1" applyFont="1"/>
    <xf numFmtId="0" fontId="12" fillId="0" borderId="0" xfId="0" applyFont="1" applyFill="1"/>
    <xf numFmtId="0" fontId="12" fillId="0" borderId="0" xfId="0" applyFont="1" applyFill="1" applyBorder="1"/>
    <xf numFmtId="0" fontId="12" fillId="3" borderId="0" xfId="0" applyFont="1" applyFill="1" applyBorder="1"/>
    <xf numFmtId="0" fontId="0" fillId="3" borderId="0" xfId="0" applyFill="1" applyBorder="1"/>
    <xf numFmtId="0" fontId="12" fillId="3" borderId="0" xfId="0" applyFont="1" applyFill="1" applyBorder="1"/>
    <xf numFmtId="0" fontId="12" fillId="0" borderId="0" xfId="0" applyFont="1" applyFill="1"/>
    <xf numFmtId="0" fontId="12" fillId="0" borderId="0" xfId="0" applyFont="1" applyFill="1" applyBorder="1"/>
    <xf numFmtId="0" fontId="12" fillId="4" borderId="0" xfId="0" applyFont="1" applyFill="1"/>
    <xf numFmtId="0" fontId="12" fillId="4" borderId="0" xfId="0" applyFont="1" applyFill="1"/>
    <xf numFmtId="0" fontId="12" fillId="4" borderId="0" xfId="0" applyFont="1" applyFill="1"/>
    <xf numFmtId="0" fontId="12" fillId="4" borderId="0" xfId="0" applyFont="1" applyFill="1" applyBorder="1"/>
    <xf numFmtId="0" fontId="12" fillId="4" borderId="0" xfId="0" applyFont="1" applyFill="1" applyBorder="1"/>
    <xf numFmtId="0" fontId="12" fillId="0" borderId="0" xfId="0" applyFont="1" applyFill="1"/>
    <xf numFmtId="0" fontId="12" fillId="0" borderId="0" xfId="0" applyFont="1" applyFill="1" applyBorder="1"/>
    <xf numFmtId="0" fontId="12" fillId="4" borderId="0" xfId="0" applyFont="1" applyFill="1" applyBorder="1"/>
    <xf numFmtId="43" fontId="12" fillId="0" borderId="0" xfId="2" applyFont="1" applyFill="1"/>
    <xf numFmtId="0" fontId="12" fillId="2" borderId="0" xfId="0" applyFont="1" applyFill="1" applyBorder="1"/>
    <xf numFmtId="0" fontId="12" fillId="0" borderId="0" xfId="0" applyFont="1" applyFill="1"/>
    <xf numFmtId="0" fontId="12" fillId="0" borderId="0" xfId="0" applyFont="1" applyFill="1" applyBorder="1"/>
    <xf numFmtId="0" fontId="12" fillId="0" borderId="0" xfId="0" applyFont="1" applyFill="1" applyBorder="1"/>
    <xf numFmtId="0" fontId="12" fillId="0" borderId="0" xfId="0" applyFont="1" applyFill="1"/>
    <xf numFmtId="0" fontId="12" fillId="4" borderId="0" xfId="0" applyFont="1" applyFill="1" applyBorder="1"/>
    <xf numFmtId="0" fontId="12" fillId="4" borderId="0" xfId="0" applyFont="1" applyFill="1" applyBorder="1"/>
    <xf numFmtId="0" fontId="12" fillId="0" borderId="0" xfId="0" applyFont="1" applyFill="1" applyBorder="1"/>
    <xf numFmtId="0" fontId="12" fillId="0" borderId="0" xfId="0" applyFont="1" applyFill="1"/>
    <xf numFmtId="0" fontId="12" fillId="4" borderId="0" xfId="0" applyFont="1" applyFill="1" applyBorder="1"/>
    <xf numFmtId="0" fontId="12" fillId="4" borderId="0" xfId="0" applyFont="1" applyFill="1"/>
    <xf numFmtId="0" fontId="12" fillId="4" borderId="0" xfId="0" applyFont="1" applyFill="1" applyBorder="1"/>
    <xf numFmtId="0" fontId="12" fillId="3" borderId="0" xfId="0" applyFont="1" applyFill="1"/>
    <xf numFmtId="0" fontId="12" fillId="4" borderId="0" xfId="0" applyFont="1" applyFill="1" applyAlignment="1">
      <alignment wrapText="1"/>
    </xf>
    <xf numFmtId="0" fontId="12" fillId="4" borderId="0" xfId="0" applyFont="1" applyFill="1"/>
    <xf numFmtId="0" fontId="12" fillId="0" borderId="0" xfId="0" applyFont="1" applyFill="1" applyBorder="1"/>
    <xf numFmtId="0" fontId="12" fillId="0" borderId="0" xfId="0" applyFont="1" applyFill="1"/>
    <xf numFmtId="0" fontId="12" fillId="4" borderId="0" xfId="0" applyFont="1" applyFill="1" applyBorder="1"/>
    <xf numFmtId="0" fontId="12" fillId="0" borderId="0" xfId="0" applyFont="1" applyFill="1"/>
    <xf numFmtId="0" fontId="12" fillId="0" borderId="0" xfId="0" applyFont="1" applyFill="1"/>
    <xf numFmtId="0" fontId="12" fillId="0" borderId="0" xfId="0" applyFont="1" applyFill="1" applyBorder="1"/>
    <xf numFmtId="43" fontId="12" fillId="0" borderId="0" xfId="2" applyFont="1" applyFill="1"/>
    <xf numFmtId="0" fontId="12" fillId="4" borderId="0" xfId="0" applyFont="1" applyFill="1"/>
    <xf numFmtId="0" fontId="12" fillId="4" borderId="0" xfId="0" applyFont="1" applyFill="1" applyBorder="1"/>
    <xf numFmtId="0" fontId="12" fillId="4" borderId="0" xfId="0" applyFont="1" applyFill="1"/>
    <xf numFmtId="0" fontId="12" fillId="0" borderId="1" xfId="0" applyFont="1" applyBorder="1"/>
    <xf numFmtId="0" fontId="12" fillId="9" borderId="0" xfId="0" applyFont="1" applyFill="1"/>
    <xf numFmtId="0" fontId="12" fillId="0" borderId="0" xfId="0" applyFont="1" applyFill="1"/>
    <xf numFmtId="0" fontId="12" fillId="0" borderId="0" xfId="0" applyFont="1" applyFill="1" applyBorder="1"/>
    <xf numFmtId="0" fontId="12" fillId="4" borderId="0" xfId="0" applyFont="1" applyFill="1"/>
    <xf numFmtId="0" fontId="12" fillId="2" borderId="0" xfId="0" applyFont="1" applyFill="1" applyBorder="1"/>
    <xf numFmtId="0" fontId="0" fillId="2" borderId="0" xfId="0" applyFill="1" applyBorder="1"/>
    <xf numFmtId="0" fontId="12" fillId="2" borderId="0" xfId="0" applyFont="1" applyFill="1" applyBorder="1"/>
    <xf numFmtId="0" fontId="12" fillId="4" borderId="0" xfId="0" applyFont="1" applyFill="1" applyBorder="1"/>
    <xf numFmtId="0" fontId="12" fillId="4" borderId="0" xfId="0" applyFont="1" applyFill="1" applyBorder="1"/>
    <xf numFmtId="0" fontId="12" fillId="3" borderId="0" xfId="0" applyFont="1" applyFill="1"/>
    <xf numFmtId="0" fontId="12" fillId="0" borderId="0" xfId="0" applyFont="1" applyFill="1" applyBorder="1"/>
    <xf numFmtId="0" fontId="12" fillId="0" borderId="0" xfId="0" applyFont="1" applyFill="1"/>
    <xf numFmtId="0" fontId="12" fillId="2" borderId="0" xfId="0" applyFont="1" applyFill="1" applyBorder="1"/>
    <xf numFmtId="0" fontId="12" fillId="4" borderId="0" xfId="0" applyFont="1" applyFill="1" applyBorder="1"/>
    <xf numFmtId="0" fontId="12" fillId="0" borderId="0" xfId="0" applyFont="1" applyFill="1"/>
    <xf numFmtId="0" fontId="12" fillId="0" borderId="0" xfId="0" applyFont="1" applyFill="1" applyBorder="1"/>
    <xf numFmtId="0" fontId="12" fillId="4" borderId="0" xfId="0" applyFont="1" applyFill="1" applyBorder="1"/>
    <xf numFmtId="0" fontId="12" fillId="18" borderId="0" xfId="0" applyFont="1" applyFill="1"/>
    <xf numFmtId="0" fontId="0" fillId="18" borderId="0" xfId="0" applyFill="1"/>
    <xf numFmtId="0" fontId="12" fillId="18" borderId="0" xfId="0" applyFont="1" applyFill="1"/>
    <xf numFmtId="0" fontId="12" fillId="18" borderId="0" xfId="0" applyFont="1" applyFill="1"/>
    <xf numFmtId="0" fontId="12" fillId="18" borderId="0" xfId="0" applyFont="1" applyFill="1"/>
    <xf numFmtId="0" fontId="12" fillId="18" borderId="0" xfId="0" applyFont="1" applyFill="1" applyBorder="1"/>
    <xf numFmtId="0" fontId="0" fillId="18" borderId="0" xfId="0" applyFill="1" applyBorder="1"/>
    <xf numFmtId="0" fontId="12" fillId="18" borderId="0" xfId="0" applyFont="1" applyFill="1" applyBorder="1"/>
    <xf numFmtId="0" fontId="12" fillId="18" borderId="0" xfId="0" applyFont="1" applyFill="1" applyBorder="1"/>
    <xf numFmtId="0" fontId="12" fillId="18" borderId="0" xfId="0" applyFont="1" applyFill="1" applyBorder="1"/>
    <xf numFmtId="0" fontId="12" fillId="18" borderId="0" xfId="0" applyFont="1" applyFill="1" applyBorder="1"/>
    <xf numFmtId="0" fontId="12" fillId="5" borderId="0" xfId="0" applyFont="1" applyFill="1"/>
    <xf numFmtId="0" fontId="12" fillId="18" borderId="0" xfId="0" applyFont="1" applyFill="1" applyBorder="1"/>
    <xf numFmtId="0" fontId="12" fillId="18" borderId="0" xfId="0" applyFont="1" applyFill="1" applyBorder="1"/>
    <xf numFmtId="0" fontId="12" fillId="4" borderId="0" xfId="0" applyFont="1" applyFill="1"/>
    <xf numFmtId="0" fontId="12" fillId="0" borderId="0" xfId="0" applyFont="1" applyFill="1" applyBorder="1"/>
    <xf numFmtId="0" fontId="12" fillId="0" borderId="0" xfId="0" applyFont="1" applyFill="1"/>
    <xf numFmtId="0" fontId="12" fillId="4" borderId="0" xfId="0" applyFont="1" applyFill="1"/>
    <xf numFmtId="0" fontId="12" fillId="4" borderId="0" xfId="0" applyFont="1" applyFill="1" applyBorder="1"/>
    <xf numFmtId="0" fontId="12" fillId="0" borderId="0" xfId="0" applyFont="1"/>
    <xf numFmtId="49" fontId="12" fillId="0" borderId="0" xfId="0" applyNumberFormat="1" applyFont="1"/>
    <xf numFmtId="0" fontId="12" fillId="0" borderId="0" xfId="0" applyFont="1" applyFill="1" applyBorder="1"/>
    <xf numFmtId="0" fontId="12" fillId="0" borderId="0" xfId="0" applyFont="1" applyFill="1"/>
    <xf numFmtId="0" fontId="12" fillId="2" borderId="0" xfId="0" applyFont="1" applyFill="1" applyBorder="1"/>
    <xf numFmtId="0" fontId="12" fillId="4" borderId="0" xfId="0" applyFont="1" applyFill="1" applyBorder="1"/>
    <xf numFmtId="0" fontId="12" fillId="4" borderId="0" xfId="0" applyFont="1" applyFill="1"/>
    <xf numFmtId="0" fontId="12" fillId="4" borderId="0" xfId="0" applyFont="1" applyFill="1" applyBorder="1"/>
    <xf numFmtId="0" fontId="12" fillId="0" borderId="0" xfId="0" applyFont="1" applyFill="1"/>
    <xf numFmtId="0" fontId="12" fillId="0" borderId="0" xfId="0" applyFont="1" applyFill="1"/>
    <xf numFmtId="0" fontId="12" fillId="0" borderId="0" xfId="0" applyFont="1" applyFill="1" applyBorder="1"/>
    <xf numFmtId="0" fontId="12" fillId="4" borderId="0" xfId="0" applyFont="1" applyFill="1"/>
    <xf numFmtId="0" fontId="12" fillId="18" borderId="0" xfId="0" applyFont="1" applyFill="1"/>
    <xf numFmtId="0" fontId="12" fillId="18" borderId="0" xfId="0" applyFont="1" applyFill="1" applyBorder="1"/>
    <xf numFmtId="0" fontId="12" fillId="13" borderId="0" xfId="0" applyFont="1" applyFill="1"/>
    <xf numFmtId="0" fontId="12" fillId="8" borderId="0" xfId="0" applyFont="1" applyFill="1" applyBorder="1"/>
    <xf numFmtId="0" fontId="0" fillId="8" borderId="0" xfId="0" applyFill="1" applyBorder="1"/>
    <xf numFmtId="0" fontId="12" fillId="8" borderId="0" xfId="0" applyFont="1" applyFill="1" applyBorder="1"/>
    <xf numFmtId="0" fontId="12" fillId="8" borderId="0" xfId="0" applyFont="1" applyFill="1" applyBorder="1"/>
    <xf numFmtId="43" fontId="12" fillId="0" borderId="0" xfId="2" applyFont="1" applyFill="1"/>
    <xf numFmtId="0" fontId="12" fillId="4" borderId="0" xfId="0" applyFont="1" applyFill="1" applyBorder="1"/>
    <xf numFmtId="0" fontId="22" fillId="0" borderId="0" xfId="0" applyFont="1" applyFill="1" applyBorder="1"/>
    <xf numFmtId="0" fontId="12" fillId="0" borderId="0" xfId="0" applyFont="1" applyFill="1" applyBorder="1"/>
    <xf numFmtId="0" fontId="12" fillId="0" borderId="0" xfId="0" applyFont="1" applyFill="1"/>
    <xf numFmtId="0" fontId="12" fillId="0" borderId="0" xfId="0" applyFont="1" applyFill="1" applyBorder="1"/>
    <xf numFmtId="0" fontId="12" fillId="0" borderId="0" xfId="0" applyFont="1" applyFill="1"/>
    <xf numFmtId="0" fontId="12" fillId="0" borderId="0" xfId="0" applyFont="1" applyFill="1" applyBorder="1"/>
    <xf numFmtId="0" fontId="12" fillId="0" borderId="0" xfId="0" applyFont="1" applyFill="1"/>
    <xf numFmtId="0" fontId="12" fillId="3" borderId="0" xfId="0" applyFont="1" applyFill="1" applyBorder="1"/>
    <xf numFmtId="0" fontId="12" fillId="3" borderId="0" xfId="0" applyFont="1" applyFill="1" applyBorder="1"/>
    <xf numFmtId="0" fontId="12" fillId="3" borderId="0" xfId="0" applyFont="1" applyFill="1" applyBorder="1"/>
    <xf numFmtId="43" fontId="12" fillId="3" borderId="0" xfId="2" applyFont="1" applyFill="1"/>
    <xf numFmtId="43" fontId="11" fillId="3" borderId="0" xfId="2" applyFont="1" applyFill="1"/>
    <xf numFmtId="0" fontId="12" fillId="0" borderId="0" xfId="0" applyFont="1" applyFill="1" applyBorder="1"/>
    <xf numFmtId="0" fontId="12" fillId="2" borderId="0" xfId="0" applyFont="1" applyFill="1" applyBorder="1"/>
    <xf numFmtId="0" fontId="12" fillId="4" borderId="0" xfId="0" applyFont="1" applyFill="1"/>
    <xf numFmtId="0" fontId="12" fillId="0" borderId="0" xfId="0" applyFont="1" applyFill="1"/>
    <xf numFmtId="0" fontId="12" fillId="0" borderId="0" xfId="0" applyFont="1" applyFill="1" applyBorder="1"/>
    <xf numFmtId="0" fontId="12" fillId="8" borderId="0" xfId="0" applyFont="1" applyFill="1"/>
    <xf numFmtId="0" fontId="12" fillId="8" borderId="0" xfId="0" applyFont="1" applyFill="1"/>
    <xf numFmtId="0" fontId="12" fillId="8" borderId="0" xfId="0" applyFont="1" applyFill="1" applyBorder="1"/>
    <xf numFmtId="0" fontId="0" fillId="0" borderId="0" xfId="0" applyNumberFormat="1" applyFill="1" applyBorder="1"/>
    <xf numFmtId="0" fontId="12" fillId="18" borderId="0" xfId="0" applyFont="1" applyFill="1" applyBorder="1"/>
    <xf numFmtId="0" fontId="12" fillId="8" borderId="0" xfId="0" applyFont="1" applyFill="1" applyBorder="1"/>
    <xf numFmtId="0" fontId="12" fillId="8" borderId="0" xfId="0" applyFont="1" applyFill="1"/>
    <xf numFmtId="43" fontId="12" fillId="0" borderId="0" xfId="2" applyFont="1" applyFill="1"/>
    <xf numFmtId="0" fontId="12" fillId="0" borderId="0" xfId="0" applyFont="1" applyFill="1" applyBorder="1"/>
    <xf numFmtId="0" fontId="12" fillId="2" borderId="0" xfId="0" applyFont="1" applyFill="1" applyBorder="1"/>
    <xf numFmtId="0" fontId="12" fillId="8" borderId="0" xfId="0" applyFont="1" applyFill="1" applyBorder="1"/>
    <xf numFmtId="0" fontId="12" fillId="0" borderId="0" xfId="0" applyFont="1" applyFill="1"/>
    <xf numFmtId="0" fontId="12" fillId="0" borderId="0" xfId="0" applyFont="1" applyFill="1"/>
    <xf numFmtId="0" fontId="12" fillId="0" borderId="0" xfId="0" applyFont="1" applyFill="1" applyBorder="1"/>
    <xf numFmtId="0" fontId="0" fillId="13" borderId="1" xfId="0" applyFill="1" applyBorder="1" applyAlignment="1">
      <alignment horizontal="center" vertical="center"/>
    </xf>
    <xf numFmtId="0" fontId="0" fillId="13" borderId="0" xfId="0" applyFill="1" applyAlignment="1">
      <alignment horizontal="center" vertical="center"/>
    </xf>
    <xf numFmtId="0" fontId="12" fillId="19" borderId="0" xfId="0" applyFont="1" applyFill="1" applyBorder="1"/>
    <xf numFmtId="0" fontId="0" fillId="19" borderId="0" xfId="0" applyFill="1" applyBorder="1"/>
    <xf numFmtId="0" fontId="12" fillId="19" borderId="0" xfId="0" applyFont="1" applyFill="1" applyBorder="1"/>
    <xf numFmtId="0" fontId="12" fillId="0" borderId="0" xfId="0" applyFont="1" applyFill="1"/>
    <xf numFmtId="0" fontId="12" fillId="19" borderId="0" xfId="0" applyFont="1" applyFill="1"/>
    <xf numFmtId="0" fontId="0" fillId="19" borderId="0" xfId="0" applyFill="1"/>
    <xf numFmtId="0" fontId="12" fillId="19" borderId="0" xfId="0" applyFont="1" applyFill="1"/>
    <xf numFmtId="0" fontId="18" fillId="0" borderId="0" xfId="0" applyFont="1" applyFill="1"/>
    <xf numFmtId="0" fontId="12" fillId="0" borderId="0" xfId="0" applyFont="1" applyFill="1" applyBorder="1"/>
    <xf numFmtId="0" fontId="12" fillId="10" borderId="0" xfId="0" applyFont="1" applyFill="1"/>
    <xf numFmtId="0" fontId="12" fillId="9" borderId="0" xfId="0" applyFont="1" applyFill="1"/>
    <xf numFmtId="0" fontId="12" fillId="4" borderId="1" xfId="0" applyFont="1" applyFill="1" applyBorder="1"/>
    <xf numFmtId="14" fontId="0" fillId="0" borderId="0" xfId="0" applyNumberFormat="1" applyAlignment="1">
      <alignment horizontal="center"/>
    </xf>
    <xf numFmtId="0" fontId="0" fillId="0" borderId="0" xfId="0" applyNumberFormat="1" applyAlignment="1">
      <alignment horizontal="center" vertical="center" wrapText="1"/>
    </xf>
    <xf numFmtId="0" fontId="12" fillId="4" borderId="0" xfId="0" applyFont="1" applyFill="1"/>
    <xf numFmtId="0" fontId="12" fillId="20" borderId="4" xfId="0" applyNumberFormat="1" applyFont="1" applyFill="1" applyBorder="1" applyAlignment="1">
      <alignment horizontal="center" vertical="center" wrapText="1"/>
    </xf>
    <xf numFmtId="0" fontId="12" fillId="20" borderId="1" xfId="0" applyNumberFormat="1" applyFont="1" applyFill="1" applyBorder="1" applyAlignment="1">
      <alignment horizontal="center" vertical="center" wrapText="1"/>
    </xf>
    <xf numFmtId="0" fontId="12" fillId="20" borderId="1" xfId="0" applyNumberFormat="1" applyFont="1" applyFill="1" applyBorder="1" applyAlignment="1">
      <alignment horizontal="center" vertical="center" wrapText="1"/>
    </xf>
    <xf numFmtId="0" fontId="0" fillId="20" borderId="1" xfId="0" applyFill="1" applyBorder="1" applyAlignment="1">
      <alignment horizontal="center" vertical="center" wrapText="1"/>
    </xf>
    <xf numFmtId="0" fontId="0" fillId="20" borderId="1" xfId="0" applyNumberFormat="1" applyFill="1" applyBorder="1" applyAlignment="1">
      <alignment horizontal="center" vertical="center" wrapText="1"/>
    </xf>
    <xf numFmtId="0" fontId="18" fillId="20" borderId="1" xfId="0" applyNumberFormat="1" applyFont="1" applyFill="1" applyBorder="1" applyAlignment="1">
      <alignment horizontal="center" vertical="center" wrapText="1"/>
    </xf>
    <xf numFmtId="3" fontId="0" fillId="20" borderId="1" xfId="0" applyNumberFormat="1" applyFill="1" applyBorder="1" applyAlignment="1">
      <alignment horizontal="center" vertical="center" wrapText="1"/>
    </xf>
    <xf numFmtId="0" fontId="12" fillId="0" borderId="1" xfId="0" applyFont="1" applyBorder="1"/>
    <xf numFmtId="0" fontId="12" fillId="0" borderId="0" xfId="0" applyFont="1" applyAlignment="1">
      <alignment horizontal="center"/>
    </xf>
    <xf numFmtId="0" fontId="12" fillId="0" borderId="0" xfId="0" applyFont="1" applyAlignment="1">
      <alignment horizontal="center"/>
    </xf>
    <xf numFmtId="0" fontId="23" fillId="0" borderId="0" xfId="0" applyFont="1" applyAlignment="1">
      <alignment horizontal="center" vertical="center" wrapText="1"/>
    </xf>
    <xf numFmtId="0" fontId="12" fillId="21" borderId="4" xfId="0" applyFont="1" applyFill="1" applyBorder="1" applyAlignment="1">
      <alignment horizontal="center" vertical="center" wrapText="1"/>
    </xf>
    <xf numFmtId="14" fontId="0" fillId="13" borderId="1" xfId="0" applyNumberFormat="1" applyFill="1" applyBorder="1" applyAlignment="1">
      <alignment horizontal="center" vertical="center"/>
    </xf>
    <xf numFmtId="14" fontId="0" fillId="13"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2" fillId="0" borderId="0" xfId="0" applyFont="1" applyAlignment="1">
      <alignment wrapText="1"/>
    </xf>
    <xf numFmtId="0" fontId="12" fillId="0" borderId="0" xfId="0" applyFont="1"/>
    <xf numFmtId="0" fontId="12" fillId="13" borderId="1" xfId="0" applyFont="1" applyFill="1" applyBorder="1" applyAlignment="1">
      <alignment horizontal="center" vertical="center"/>
    </xf>
    <xf numFmtId="12" fontId="11" fillId="20" borderId="1" xfId="2" applyNumberFormat="1" applyFont="1" applyFill="1" applyBorder="1" applyAlignment="1">
      <alignment horizontal="center" vertical="center" wrapText="1"/>
    </xf>
    <xf numFmtId="0" fontId="12" fillId="20" borderId="5" xfId="0" applyNumberFormat="1" applyFont="1" applyFill="1" applyBorder="1" applyAlignment="1">
      <alignment horizontal="center" vertical="center" wrapText="1"/>
    </xf>
    <xf numFmtId="0" fontId="0" fillId="22" borderId="0" xfId="0" applyFill="1"/>
    <xf numFmtId="0" fontId="12" fillId="22" borderId="1" xfId="0" applyFont="1" applyFill="1" applyBorder="1" applyAlignment="1">
      <alignment horizontal="center" vertical="center"/>
    </xf>
    <xf numFmtId="0" fontId="0" fillId="22" borderId="1" xfId="0" applyFill="1" applyBorder="1" applyAlignment="1">
      <alignment horizontal="center" vertical="center"/>
    </xf>
    <xf numFmtId="0" fontId="12" fillId="22" borderId="1" xfId="0" applyNumberFormat="1" applyFont="1" applyFill="1" applyBorder="1" applyAlignment="1">
      <alignment horizontal="center" vertical="center" wrapText="1"/>
    </xf>
    <xf numFmtId="0" fontId="12" fillId="22" borderId="1" xfId="0" applyNumberFormat="1" applyFont="1" applyFill="1" applyBorder="1" applyAlignment="1">
      <alignment horizontal="center" vertical="center" wrapText="1"/>
    </xf>
    <xf numFmtId="0" fontId="12" fillId="22" borderId="1" xfId="0" applyFont="1" applyFill="1" applyBorder="1" applyAlignment="1">
      <alignment horizontal="center" vertical="center" wrapText="1"/>
    </xf>
    <xf numFmtId="0" fontId="12" fillId="22" borderId="1" xfId="0" applyFont="1" applyFill="1" applyBorder="1" applyAlignment="1">
      <alignment horizontal="center" vertical="center" wrapText="1"/>
    </xf>
    <xf numFmtId="0" fontId="0" fillId="22" borderId="0" xfId="0" applyFill="1" applyAlignment="1">
      <alignment horizontal="center" vertical="center"/>
    </xf>
    <xf numFmtId="0" fontId="0" fillId="22" borderId="4" xfId="0" applyFill="1" applyBorder="1" applyAlignment="1">
      <alignment horizontal="center" vertical="center"/>
    </xf>
    <xf numFmtId="0" fontId="12" fillId="0" borderId="0" xfId="0" applyFont="1" applyAlignment="1">
      <alignment wrapText="1"/>
    </xf>
    <xf numFmtId="0" fontId="24" fillId="9" borderId="1" xfId="0" applyFont="1" applyFill="1" applyBorder="1" applyAlignment="1">
      <alignment horizontal="center" vertical="center" wrapText="1"/>
    </xf>
    <xf numFmtId="0" fontId="12" fillId="0" borderId="0" xfId="0" applyFont="1" applyFill="1" applyBorder="1"/>
    <xf numFmtId="0" fontId="12" fillId="0" borderId="0" xfId="0" applyFont="1" applyAlignment="1">
      <alignment wrapText="1"/>
    </xf>
    <xf numFmtId="0" fontId="12" fillId="22" borderId="1" xfId="0" applyFont="1" applyFill="1" applyBorder="1" applyAlignment="1">
      <alignment horizontal="center" vertical="center" wrapText="1"/>
    </xf>
    <xf numFmtId="0" fontId="12" fillId="22" borderId="1" xfId="0" applyFont="1" applyFill="1" applyBorder="1" applyAlignment="1">
      <alignment horizontal="center" vertical="center" wrapText="1"/>
    </xf>
    <xf numFmtId="0" fontId="18" fillId="20" borderId="5" xfId="0" applyNumberFormat="1" applyFont="1" applyFill="1" applyBorder="1" applyAlignment="1">
      <alignment horizontal="center" vertical="center" wrapText="1"/>
    </xf>
    <xf numFmtId="0" fontId="12" fillId="22" borderId="1" xfId="0" applyFont="1" applyFill="1" applyBorder="1" applyAlignment="1">
      <alignment horizontal="center" vertical="center" wrapText="1"/>
    </xf>
    <xf numFmtId="0" fontId="12" fillId="13" borderId="1" xfId="0" applyFont="1" applyFill="1" applyBorder="1" applyAlignment="1">
      <alignment horizontal="center" vertical="center"/>
    </xf>
    <xf numFmtId="0" fontId="12" fillId="22" borderId="1" xfId="0" applyFont="1" applyFill="1" applyBorder="1" applyAlignment="1">
      <alignment horizontal="center" vertical="center" wrapText="1"/>
    </xf>
    <xf numFmtId="0" fontId="25" fillId="22" borderId="5" xfId="0" applyFont="1" applyFill="1" applyBorder="1" applyAlignment="1">
      <alignment horizontal="center" vertical="center"/>
    </xf>
    <xf numFmtId="0" fontId="24" fillId="20" borderId="1" xfId="0" applyNumberFormat="1" applyFont="1" applyFill="1" applyBorder="1" applyAlignment="1">
      <alignment horizontal="center" vertical="center" wrapText="1"/>
    </xf>
    <xf numFmtId="0" fontId="18" fillId="23" borderId="1" xfId="0" applyFont="1" applyFill="1" applyBorder="1" applyAlignment="1">
      <alignment horizontal="center" vertical="center" wrapText="1"/>
    </xf>
    <xf numFmtId="0" fontId="12" fillId="0" borderId="1" xfId="0" applyFont="1" applyBorder="1"/>
    <xf numFmtId="0" fontId="12" fillId="22"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12" fillId="13" borderId="1" xfId="0" applyFont="1" applyFill="1" applyBorder="1" applyAlignment="1">
      <alignment horizontal="center" vertical="center"/>
    </xf>
    <xf numFmtId="0" fontId="18" fillId="0" borderId="0" xfId="0" applyFont="1" applyAlignment="1">
      <alignment horizontal="center" vertical="center" wrapText="1"/>
    </xf>
    <xf numFmtId="0" fontId="22" fillId="22" borderId="1" xfId="0" applyFont="1" applyFill="1" applyBorder="1" applyAlignment="1">
      <alignment horizontal="center" vertical="center" wrapText="1"/>
    </xf>
    <xf numFmtId="0" fontId="22" fillId="24" borderId="4" xfId="0" applyFont="1" applyFill="1" applyBorder="1" applyAlignment="1">
      <alignment horizontal="center" vertical="center" wrapText="1"/>
    </xf>
    <xf numFmtId="0" fontId="22" fillId="24" borderId="1" xfId="0" applyFont="1" applyFill="1" applyBorder="1" applyAlignment="1">
      <alignment horizontal="center" vertical="center" wrapText="1"/>
    </xf>
    <xf numFmtId="0" fontId="22" fillId="24" borderId="5" xfId="0" applyFont="1" applyFill="1" applyBorder="1" applyAlignment="1">
      <alignment horizontal="center" vertical="center" wrapText="1"/>
    </xf>
    <xf numFmtId="0" fontId="0" fillId="23" borderId="1" xfId="0" applyFill="1" applyBorder="1" applyAlignment="1">
      <alignment horizontal="center" vertical="center" wrapText="1"/>
    </xf>
    <xf numFmtId="0" fontId="12" fillId="23" borderId="1" xfId="0" applyFont="1" applyFill="1" applyBorder="1" applyAlignment="1">
      <alignment horizontal="center" vertical="center" wrapText="1"/>
    </xf>
    <xf numFmtId="0" fontId="12" fillId="22" borderId="1" xfId="0" applyFont="1" applyFill="1" applyBorder="1" applyAlignment="1">
      <alignment horizontal="center" vertical="center"/>
    </xf>
    <xf numFmtId="0" fontId="12" fillId="0" borderId="0" xfId="0" applyFont="1"/>
    <xf numFmtId="0" fontId="12" fillId="4" borderId="1" xfId="0" applyFont="1" applyFill="1" applyBorder="1"/>
    <xf numFmtId="0" fontId="12" fillId="0" borderId="0" xfId="0" applyFont="1" applyAlignment="1"/>
    <xf numFmtId="14" fontId="0" fillId="22" borderId="1" xfId="0" applyNumberFormat="1" applyFill="1" applyBorder="1" applyAlignment="1">
      <alignment horizontal="center" vertical="center"/>
    </xf>
    <xf numFmtId="14" fontId="0" fillId="13" borderId="0" xfId="0" applyNumberFormat="1" applyFill="1" applyAlignment="1">
      <alignment horizontal="center" vertical="center"/>
    </xf>
    <xf numFmtId="0" fontId="12" fillId="0" borderId="0" xfId="0" applyFont="1" applyAlignment="1"/>
    <xf numFmtId="0" fontId="12" fillId="0" borderId="0" xfId="0" applyFont="1" applyAlignment="1">
      <alignment wrapText="1"/>
    </xf>
    <xf numFmtId="0" fontId="12" fillId="22" borderId="1" xfId="0" applyFont="1" applyFill="1" applyBorder="1" applyAlignment="1">
      <alignment horizontal="center" vertical="center"/>
    </xf>
    <xf numFmtId="0" fontId="12" fillId="13" borderId="1" xfId="0" applyFont="1" applyFill="1" applyBorder="1" applyAlignment="1">
      <alignment horizontal="center" vertical="center"/>
    </xf>
    <xf numFmtId="0" fontId="0" fillId="0" borderId="0" xfId="0" applyAlignment="1">
      <alignment horizontal="center"/>
    </xf>
    <xf numFmtId="0" fontId="0" fillId="24" borderId="1" xfId="0" applyFill="1" applyBorder="1"/>
    <xf numFmtId="0" fontId="0" fillId="8" borderId="1" xfId="0" applyFill="1" applyBorder="1" applyAlignment="1">
      <alignment horizontal="center"/>
    </xf>
    <xf numFmtId="0" fontId="12" fillId="0" borderId="0" xfId="0" applyFont="1"/>
    <xf numFmtId="0" fontId="12" fillId="0" borderId="0" xfId="0" applyFont="1"/>
    <xf numFmtId="0" fontId="12" fillId="0" borderId="0" xfId="0" applyFont="1" applyAlignment="1">
      <alignment wrapText="1"/>
    </xf>
    <xf numFmtId="0" fontId="12" fillId="9" borderId="1" xfId="0" applyFont="1" applyFill="1" applyBorder="1" applyAlignment="1">
      <alignment horizontal="center" vertical="center" wrapText="1"/>
    </xf>
    <xf numFmtId="0" fontId="12" fillId="4" borderId="1" xfId="0" applyFont="1" applyFill="1" applyBorder="1"/>
    <xf numFmtId="0" fontId="12" fillId="3" borderId="0" xfId="0" applyFont="1" applyFill="1" applyAlignment="1">
      <alignment horizontal="center"/>
    </xf>
    <xf numFmtId="0" fontId="12" fillId="0" borderId="0" xfId="0" applyFont="1" applyAlignment="1">
      <alignment wrapText="1"/>
    </xf>
    <xf numFmtId="0" fontId="12" fillId="0" borderId="0" xfId="0" applyFont="1"/>
    <xf numFmtId="0" fontId="12" fillId="22" borderId="1" xfId="0" applyFont="1" applyFill="1" applyBorder="1" applyAlignment="1">
      <alignment horizontal="center" vertical="center" wrapText="1"/>
    </xf>
    <xf numFmtId="0" fontId="12" fillId="0" borderId="0" xfId="0" applyFont="1"/>
    <xf numFmtId="0" fontId="12" fillId="0" borderId="0" xfId="0" applyFont="1" applyAlignment="1">
      <alignment wrapText="1"/>
    </xf>
    <xf numFmtId="0" fontId="12" fillId="0" borderId="0" xfId="0" applyFont="1" applyAlignment="1">
      <alignment wrapText="1"/>
    </xf>
    <xf numFmtId="0" fontId="12" fillId="0" borderId="1" xfId="0" applyFont="1" applyBorder="1"/>
    <xf numFmtId="0" fontId="12" fillId="22" borderId="1" xfId="0" applyFont="1" applyFill="1" applyBorder="1" applyAlignment="1">
      <alignment horizontal="center" vertical="center" wrapText="1"/>
    </xf>
    <xf numFmtId="0" fontId="12" fillId="0" borderId="0" xfId="0" applyFont="1"/>
    <xf numFmtId="0" fontId="12" fillId="0" borderId="0" xfId="0" applyFont="1"/>
    <xf numFmtId="0" fontId="12" fillId="22" borderId="1" xfId="0" applyFont="1" applyFill="1" applyBorder="1" applyAlignment="1">
      <alignment horizontal="center" vertical="center" wrapText="1"/>
    </xf>
    <xf numFmtId="0" fontId="12" fillId="0" borderId="0" xfId="0" applyFont="1" applyAlignment="1">
      <alignment wrapText="1"/>
    </xf>
    <xf numFmtId="0" fontId="12" fillId="22" borderId="1" xfId="0" applyFont="1" applyFill="1" applyBorder="1" applyAlignment="1">
      <alignment horizontal="center" vertical="center" wrapText="1"/>
    </xf>
    <xf numFmtId="0" fontId="12" fillId="22" borderId="1" xfId="0" applyFont="1" applyFill="1" applyBorder="1" applyAlignment="1">
      <alignment horizontal="center" vertical="center"/>
    </xf>
    <xf numFmtId="0" fontId="12" fillId="4" borderId="0" xfId="0" applyFont="1" applyFill="1"/>
    <xf numFmtId="0" fontId="0" fillId="9" borderId="1" xfId="0" applyFill="1" applyBorder="1" applyAlignment="1">
      <alignment horizontal="center"/>
    </xf>
    <xf numFmtId="0" fontId="0" fillId="20" borderId="1" xfId="0" applyFill="1" applyBorder="1"/>
    <xf numFmtId="0" fontId="0" fillId="5" borderId="1" xfId="0" applyFill="1" applyBorder="1"/>
    <xf numFmtId="0" fontId="0" fillId="25" borderId="1" xfId="0" applyFill="1" applyBorder="1"/>
    <xf numFmtId="0" fontId="0" fillId="18" borderId="1" xfId="0" applyFill="1" applyBorder="1"/>
    <xf numFmtId="0" fontId="0" fillId="22" borderId="1" xfId="0" applyFill="1" applyBorder="1"/>
    <xf numFmtId="0" fontId="0" fillId="13" borderId="1" xfId="0" applyFill="1" applyBorder="1"/>
    <xf numFmtId="43" fontId="11" fillId="20" borderId="1" xfId="2" applyFont="1" applyFill="1" applyBorder="1"/>
    <xf numFmtId="43" fontId="11" fillId="22" borderId="1" xfId="2" applyFont="1" applyFill="1" applyBorder="1"/>
    <xf numFmtId="0" fontId="0" fillId="9" borderId="1" xfId="0" applyFill="1" applyBorder="1" applyAlignment="1">
      <alignment horizontal="center" vertical="center"/>
    </xf>
    <xf numFmtId="43" fontId="11" fillId="9" borderId="1" xfId="2" applyFont="1" applyFill="1" applyBorder="1" applyAlignment="1">
      <alignment horizontal="center" vertical="center"/>
    </xf>
    <xf numFmtId="0" fontId="0" fillId="0" borderId="0" xfId="0" applyAlignment="1">
      <alignment horizontal="center" vertical="center"/>
    </xf>
    <xf numFmtId="12" fontId="11" fillId="9" borderId="1" xfId="2" applyNumberFormat="1" applyFont="1" applyFill="1" applyBorder="1" applyAlignment="1">
      <alignment horizontal="right" vertical="center"/>
    </xf>
    <xf numFmtId="0" fontId="12" fillId="0" borderId="0" xfId="0" applyFont="1"/>
    <xf numFmtId="0" fontId="12" fillId="8" borderId="1" xfId="0" applyFont="1" applyFill="1" applyBorder="1" applyAlignment="1">
      <alignment horizontal="center"/>
    </xf>
    <xf numFmtId="0" fontId="0" fillId="0" borderId="0" xfId="0" applyAlignment="1">
      <alignment wrapText="1"/>
    </xf>
    <xf numFmtId="0" fontId="12" fillId="0" borderId="0" xfId="0" applyFont="1"/>
    <xf numFmtId="0" fontId="12" fillId="0" borderId="0" xfId="0" applyFont="1"/>
    <xf numFmtId="0" fontId="0" fillId="26" borderId="1" xfId="0" applyFill="1" applyBorder="1"/>
    <xf numFmtId="0" fontId="0" fillId="26" borderId="1" xfId="0" applyFill="1" applyBorder="1" applyAlignment="1">
      <alignment horizontal="center"/>
    </xf>
    <xf numFmtId="0" fontId="12" fillId="0" borderId="0" xfId="0" applyFont="1"/>
    <xf numFmtId="0" fontId="0" fillId="20" borderId="1" xfId="0" applyFill="1" applyBorder="1" applyAlignment="1">
      <alignment horizontal="center"/>
    </xf>
    <xf numFmtId="0" fontId="12" fillId="4" borderId="0" xfId="0" applyFont="1" applyFill="1"/>
    <xf numFmtId="0" fontId="12" fillId="0" borderId="0" xfId="0" applyFont="1" applyAlignment="1">
      <alignment wrapText="1"/>
    </xf>
    <xf numFmtId="43" fontId="0" fillId="0" borderId="0" xfId="0" applyNumberFormat="1"/>
    <xf numFmtId="0" fontId="25" fillId="22" borderId="1" xfId="0" applyFont="1" applyFill="1" applyBorder="1" applyAlignment="1">
      <alignment horizontal="center" vertical="center"/>
    </xf>
    <xf numFmtId="0" fontId="12" fillId="13" borderId="1" xfId="0" applyFont="1" applyFill="1" applyBorder="1" applyAlignment="1">
      <alignment horizontal="center" vertical="center"/>
    </xf>
    <xf numFmtId="0" fontId="12" fillId="13" borderId="1" xfId="0" applyFont="1" applyFill="1" applyBorder="1" applyAlignment="1">
      <alignment horizontal="center" vertical="center"/>
    </xf>
    <xf numFmtId="0" fontId="24" fillId="22" borderId="1" xfId="0" applyFont="1" applyFill="1" applyBorder="1" applyAlignment="1">
      <alignment horizontal="center" vertical="center"/>
    </xf>
    <xf numFmtId="0" fontId="12" fillId="22" borderId="1" xfId="0" applyFont="1" applyFill="1" applyBorder="1" applyAlignment="1">
      <alignment horizontal="center" vertical="center"/>
    </xf>
    <xf numFmtId="0" fontId="12" fillId="22" borderId="5" xfId="0" applyFont="1" applyFill="1" applyBorder="1" applyAlignment="1">
      <alignment horizontal="center" vertical="center"/>
    </xf>
    <xf numFmtId="14" fontId="0" fillId="13" borderId="4" xfId="0" applyNumberFormat="1" applyFill="1" applyBorder="1" applyAlignment="1">
      <alignment horizontal="center" vertical="center"/>
    </xf>
    <xf numFmtId="3" fontId="12" fillId="22" borderId="1" xfId="0" applyNumberFormat="1" applyFont="1" applyFill="1" applyBorder="1" applyAlignment="1">
      <alignment horizontal="center" vertical="center"/>
    </xf>
    <xf numFmtId="0" fontId="26" fillId="24" borderId="1" xfId="0" applyFont="1" applyFill="1" applyBorder="1" applyAlignment="1">
      <alignment horizontal="center" vertical="center" wrapText="1"/>
    </xf>
    <xf numFmtId="0" fontId="12" fillId="23" borderId="1" xfId="0" applyFont="1" applyFill="1" applyBorder="1" applyAlignment="1">
      <alignment horizontal="center" vertical="center" wrapText="1"/>
    </xf>
    <xf numFmtId="0" fontId="12" fillId="23" borderId="1" xfId="0" applyFont="1" applyFill="1" applyBorder="1" applyAlignment="1">
      <alignment horizontal="center" vertical="center" wrapText="1"/>
    </xf>
    <xf numFmtId="0" fontId="24" fillId="23" borderId="1" xfId="0" applyFont="1" applyFill="1" applyBorder="1" applyAlignment="1">
      <alignment horizontal="center" vertical="center" wrapText="1"/>
    </xf>
    <xf numFmtId="0" fontId="12" fillId="23" borderId="1" xfId="0" applyFont="1" applyFill="1" applyBorder="1" applyAlignment="1">
      <alignment horizontal="center" vertical="center" wrapText="1"/>
    </xf>
    <xf numFmtId="0" fontId="12" fillId="23" borderId="1" xfId="0" applyFont="1" applyFill="1" applyBorder="1" applyAlignment="1">
      <alignment horizontal="center" vertical="center"/>
    </xf>
    <xf numFmtId="0" fontId="12" fillId="22" borderId="1" xfId="0" applyFont="1" applyFill="1" applyBorder="1" applyAlignment="1">
      <alignment horizontal="center" vertical="center" wrapText="1"/>
    </xf>
    <xf numFmtId="43" fontId="11" fillId="0" borderId="0" xfId="2" applyFont="1" applyAlignment="1">
      <alignment horizontal="center" vertical="center"/>
    </xf>
    <xf numFmtId="0" fontId="12" fillId="0" borderId="0" xfId="0" applyFont="1"/>
    <xf numFmtId="43" fontId="11" fillId="0" borderId="1" xfId="2" applyFont="1" applyBorder="1" applyAlignment="1">
      <alignment horizontal="center" vertical="center"/>
    </xf>
    <xf numFmtId="0" fontId="24" fillId="22" borderId="1" xfId="0" applyFont="1" applyFill="1" applyBorder="1" applyAlignment="1">
      <alignment horizontal="center" vertical="center" wrapText="1"/>
    </xf>
    <xf numFmtId="0" fontId="24" fillId="0" borderId="0" xfId="0" applyFont="1" applyAlignment="1">
      <alignment horizontal="center" vertical="center" wrapText="1"/>
    </xf>
    <xf numFmtId="0" fontId="12" fillId="0" borderId="0" xfId="0" applyFont="1" applyAlignment="1">
      <alignment wrapText="1"/>
    </xf>
    <xf numFmtId="0" fontId="12" fillId="22" borderId="1" xfId="0" applyFont="1" applyFill="1" applyBorder="1" applyAlignment="1">
      <alignment horizontal="center" vertical="center" wrapText="1"/>
    </xf>
    <xf numFmtId="0" fontId="12" fillId="0" borderId="0" xfId="0" applyFont="1"/>
    <xf numFmtId="12" fontId="11" fillId="0" borderId="0" xfId="2" applyNumberFormat="1" applyFont="1" applyAlignment="1">
      <alignment horizontal="center" vertical="center" wrapText="1"/>
    </xf>
    <xf numFmtId="12" fontId="12" fillId="4" borderId="1" xfId="2" applyNumberFormat="1" applyFont="1" applyFill="1" applyBorder="1" applyAlignment="1">
      <alignment horizontal="center" vertical="center" wrapText="1"/>
    </xf>
    <xf numFmtId="12" fontId="12" fillId="4" borderId="1" xfId="2" applyNumberFormat="1" applyFont="1" applyFill="1" applyBorder="1" applyAlignment="1">
      <alignment horizontal="center" vertical="center" wrapText="1"/>
    </xf>
    <xf numFmtId="12" fontId="12" fillId="4" borderId="1" xfId="2" applyNumberFormat="1" applyFont="1" applyFill="1" applyBorder="1" applyAlignment="1">
      <alignment horizontal="center" vertical="center" wrapText="1"/>
    </xf>
    <xf numFmtId="12" fontId="12" fillId="4" borderId="1" xfId="2" applyNumberFormat="1" applyFont="1" applyFill="1" applyBorder="1" applyAlignment="1">
      <alignment horizontal="center" vertical="center" wrapText="1"/>
    </xf>
    <xf numFmtId="12" fontId="12" fillId="4" borderId="1" xfId="2" applyNumberFormat="1" applyFont="1" applyFill="1" applyBorder="1" applyAlignment="1">
      <alignment horizontal="center" vertical="center" wrapText="1"/>
    </xf>
    <xf numFmtId="12" fontId="12" fillId="4" borderId="1" xfId="2" applyNumberFormat="1" applyFont="1" applyFill="1" applyBorder="1" applyAlignment="1">
      <alignment horizontal="center" vertical="center" wrapText="1"/>
    </xf>
    <xf numFmtId="12" fontId="12" fillId="4" borderId="1" xfId="2" applyNumberFormat="1" applyFont="1" applyFill="1" applyBorder="1" applyAlignment="1">
      <alignment horizontal="center" vertical="center" wrapText="1"/>
    </xf>
    <xf numFmtId="12" fontId="12" fillId="0" borderId="1" xfId="2" applyNumberFormat="1" applyFont="1" applyBorder="1" applyAlignment="1">
      <alignment horizontal="center" vertical="center" wrapText="1"/>
    </xf>
    <xf numFmtId="12" fontId="12" fillId="0" borderId="1" xfId="2" applyNumberFormat="1" applyFont="1" applyBorder="1" applyAlignment="1">
      <alignment horizontal="center" vertical="center" wrapText="1"/>
    </xf>
    <xf numFmtId="12" fontId="12" fillId="0" borderId="1" xfId="2" applyNumberFormat="1" applyFont="1" applyBorder="1" applyAlignment="1">
      <alignment horizontal="center" vertical="center" wrapText="1"/>
    </xf>
    <xf numFmtId="12" fontId="12" fillId="0" borderId="1" xfId="2" applyNumberFormat="1" applyFont="1" applyBorder="1" applyAlignment="1">
      <alignment horizontal="center" vertical="center" wrapText="1"/>
    </xf>
    <xf numFmtId="12" fontId="12" fillId="0" borderId="1" xfId="2" applyNumberFormat="1" applyFont="1" applyBorder="1" applyAlignment="1">
      <alignment horizontal="center" vertical="center" wrapText="1"/>
    </xf>
    <xf numFmtId="12" fontId="12" fillId="0" borderId="1" xfId="2" applyNumberFormat="1" applyFont="1" applyBorder="1" applyAlignment="1">
      <alignment horizontal="center" vertical="center" wrapText="1"/>
    </xf>
    <xf numFmtId="12" fontId="12" fillId="0" borderId="1" xfId="2" applyNumberFormat="1" applyFont="1" applyBorder="1" applyAlignment="1">
      <alignment horizontal="center" vertical="center" wrapText="1"/>
    </xf>
    <xf numFmtId="12" fontId="12" fillId="0" borderId="1" xfId="2" applyNumberFormat="1" applyFont="1" applyBorder="1" applyAlignment="1">
      <alignment horizontal="center" vertical="center" wrapText="1"/>
    </xf>
    <xf numFmtId="12" fontId="12" fillId="0" borderId="1" xfId="2" applyNumberFormat="1" applyFont="1" applyBorder="1" applyAlignment="1">
      <alignment horizontal="center" vertical="center" wrapText="1"/>
    </xf>
    <xf numFmtId="12" fontId="12" fillId="0" borderId="1" xfId="2" applyNumberFormat="1" applyFont="1" applyBorder="1" applyAlignment="1">
      <alignment horizontal="center" vertical="center" wrapText="1"/>
    </xf>
    <xf numFmtId="12" fontId="12" fillId="0" borderId="0" xfId="2" applyNumberFormat="1" applyFont="1" applyAlignment="1">
      <alignment horizontal="center" vertical="center" wrapText="1"/>
    </xf>
    <xf numFmtId="12" fontId="12" fillId="0" borderId="0" xfId="2" applyNumberFormat="1" applyFont="1" applyAlignment="1">
      <alignment horizontal="center" vertical="center" wrapText="1"/>
    </xf>
    <xf numFmtId="12" fontId="12" fillId="0" borderId="0" xfId="2" applyNumberFormat="1" applyFont="1" applyAlignment="1">
      <alignment horizontal="center" vertical="center" wrapText="1"/>
    </xf>
    <xf numFmtId="12" fontId="12" fillId="0" borderId="0" xfId="2" applyNumberFormat="1" applyFont="1" applyAlignment="1">
      <alignment horizontal="center" vertical="center" wrapText="1"/>
    </xf>
    <xf numFmtId="12" fontId="12" fillId="0" borderId="0" xfId="2" applyNumberFormat="1" applyFont="1" applyAlignment="1">
      <alignment horizontal="center" vertical="center" wrapText="1"/>
    </xf>
    <xf numFmtId="12" fontId="12" fillId="0" borderId="0" xfId="2" applyNumberFormat="1" applyFont="1" applyAlignment="1">
      <alignment horizontal="center" vertical="center" wrapText="1"/>
    </xf>
    <xf numFmtId="12" fontId="12" fillId="0" borderId="0" xfId="2" applyNumberFormat="1" applyFont="1" applyAlignment="1">
      <alignment horizontal="center" vertical="center" wrapText="1"/>
    </xf>
    <xf numFmtId="12" fontId="12" fillId="0" borderId="0" xfId="2" applyNumberFormat="1" applyFont="1" applyAlignment="1">
      <alignment horizontal="center" vertical="center" wrapText="1"/>
    </xf>
    <xf numFmtId="12" fontId="12" fillId="0" borderId="0" xfId="2" applyNumberFormat="1" applyFont="1" applyAlignment="1">
      <alignment horizontal="center" vertical="center" wrapText="1"/>
    </xf>
    <xf numFmtId="12" fontId="12" fillId="0" borderId="0" xfId="2" applyNumberFormat="1" applyFont="1" applyAlignment="1">
      <alignment horizontal="center" vertical="center" wrapText="1"/>
    </xf>
    <xf numFmtId="12" fontId="12" fillId="0" borderId="0" xfId="2" applyNumberFormat="1" applyFont="1" applyAlignment="1">
      <alignment horizontal="center" vertical="center" wrapText="1"/>
    </xf>
    <xf numFmtId="12" fontId="12" fillId="0" borderId="0" xfId="2" applyNumberFormat="1" applyFont="1" applyAlignment="1">
      <alignment horizontal="center" vertical="center" wrapText="1"/>
    </xf>
    <xf numFmtId="12" fontId="12" fillId="0" borderId="0" xfId="2" applyNumberFormat="1" applyFont="1" applyAlignment="1">
      <alignment horizontal="center" vertical="center" wrapText="1"/>
    </xf>
    <xf numFmtId="12" fontId="12" fillId="0" borderId="0" xfId="2" applyNumberFormat="1" applyFont="1" applyAlignment="1">
      <alignment horizontal="center" vertical="center" wrapText="1"/>
    </xf>
    <xf numFmtId="0" fontId="12" fillId="0" borderId="0" xfId="0" applyFont="1" applyFill="1" applyBorder="1"/>
    <xf numFmtId="0" fontId="0" fillId="20" borderId="5" xfId="0" applyFill="1" applyBorder="1" applyAlignment="1">
      <alignment horizontal="center"/>
    </xf>
    <xf numFmtId="0" fontId="23" fillId="24"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12" fillId="22" borderId="1" xfId="0" applyFont="1" applyFill="1" applyBorder="1" applyAlignment="1">
      <alignment horizontal="center" vertical="center"/>
    </xf>
    <xf numFmtId="0" fontId="0" fillId="13" borderId="4" xfId="0" applyFill="1" applyBorder="1" applyAlignment="1">
      <alignment horizontal="center" vertical="center"/>
    </xf>
    <xf numFmtId="0" fontId="12" fillId="20" borderId="1" xfId="0" applyNumberFormat="1" applyFont="1" applyFill="1" applyBorder="1" applyAlignment="1">
      <alignment horizontal="center" vertical="center" wrapText="1"/>
    </xf>
    <xf numFmtId="0" fontId="12" fillId="23" borderId="4" xfId="0" applyFont="1" applyFill="1" applyBorder="1" applyAlignment="1">
      <alignment horizontal="center" vertical="center" wrapText="1"/>
    </xf>
    <xf numFmtId="0" fontId="0" fillId="0" borderId="0" xfId="0" applyFill="1" applyAlignment="1">
      <alignment horizontal="center" vertical="center" wrapText="1"/>
    </xf>
    <xf numFmtId="3" fontId="12" fillId="22" borderId="1" xfId="0" applyNumberFormat="1" applyFont="1" applyFill="1" applyBorder="1" applyAlignment="1">
      <alignment horizontal="center" vertical="center"/>
    </xf>
    <xf numFmtId="0" fontId="12" fillId="0" borderId="0" xfId="0" applyFont="1"/>
    <xf numFmtId="0" fontId="12" fillId="22" borderId="1" xfId="0" applyFont="1" applyFill="1" applyBorder="1" applyAlignment="1">
      <alignment horizontal="center" vertical="center"/>
    </xf>
    <xf numFmtId="0" fontId="12" fillId="9" borderId="1" xfId="0" applyFont="1" applyFill="1" applyBorder="1" applyAlignment="1">
      <alignment horizontal="center" vertical="center" wrapText="1"/>
    </xf>
    <xf numFmtId="0" fontId="12" fillId="22" borderId="1" xfId="0" applyFont="1" applyFill="1" applyBorder="1" applyAlignment="1">
      <alignment horizontal="center" vertical="center" wrapText="1"/>
    </xf>
    <xf numFmtId="0" fontId="12" fillId="22" borderId="1" xfId="0" applyFont="1" applyFill="1" applyBorder="1" applyAlignment="1">
      <alignment horizontal="center" vertical="center" wrapText="1"/>
    </xf>
    <xf numFmtId="0" fontId="12" fillId="13" borderId="5" xfId="0" applyFont="1" applyFill="1" applyBorder="1" applyAlignment="1">
      <alignment horizontal="center" vertical="center"/>
    </xf>
    <xf numFmtId="0" fontId="12" fillId="23"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0" fillId="22" borderId="0" xfId="0" applyFill="1" applyAlignment="1">
      <alignment horizontal="center"/>
    </xf>
    <xf numFmtId="0" fontId="12" fillId="22" borderId="5" xfId="0" applyFont="1" applyFill="1" applyBorder="1" applyAlignment="1">
      <alignment horizontal="center" vertical="center"/>
    </xf>
    <xf numFmtId="0" fontId="12" fillId="23" borderId="4" xfId="0" applyFont="1" applyFill="1" applyBorder="1" applyAlignment="1">
      <alignment horizontal="center" vertical="center" wrapText="1"/>
    </xf>
    <xf numFmtId="0" fontId="0" fillId="23" borderId="4" xfId="0" applyFill="1" applyBorder="1" applyAlignment="1">
      <alignment horizontal="center" vertical="center" wrapText="1"/>
    </xf>
    <xf numFmtId="0" fontId="24" fillId="23" borderId="4" xfId="0" applyFont="1" applyFill="1" applyBorder="1" applyAlignment="1">
      <alignment horizontal="center" vertical="center" wrapText="1"/>
    </xf>
    <xf numFmtId="0" fontId="18" fillId="23" borderId="4" xfId="0" applyFont="1" applyFill="1" applyBorder="1" applyAlignment="1">
      <alignment horizontal="center" vertical="center" wrapText="1"/>
    </xf>
    <xf numFmtId="0" fontId="12" fillId="23" borderId="4" xfId="0" applyFont="1" applyFill="1" applyBorder="1" applyAlignment="1">
      <alignment horizontal="center" vertical="center" wrapText="1"/>
    </xf>
    <xf numFmtId="0" fontId="12" fillId="23" borderId="1" xfId="0" applyFont="1" applyFill="1" applyBorder="1" applyAlignment="1">
      <alignment horizontal="center" vertical="center" wrapText="1"/>
    </xf>
    <xf numFmtId="0" fontId="18" fillId="23" borderId="5" xfId="0" applyFont="1" applyFill="1" applyBorder="1" applyAlignment="1">
      <alignment horizontal="center" vertical="center" wrapText="1"/>
    </xf>
    <xf numFmtId="0" fontId="12" fillId="23"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0" fillId="17" borderId="4" xfId="0" applyFill="1" applyBorder="1" applyAlignment="1">
      <alignment horizontal="center" vertical="center"/>
    </xf>
    <xf numFmtId="0" fontId="0" fillId="17" borderId="1" xfId="0" applyFill="1" applyBorder="1" applyAlignment="1">
      <alignment horizontal="center" vertical="center"/>
    </xf>
    <xf numFmtId="0" fontId="24" fillId="17" borderId="1" xfId="0" applyFont="1" applyFill="1" applyBorder="1" applyAlignment="1">
      <alignment horizontal="center" vertical="center"/>
    </xf>
    <xf numFmtId="3" fontId="12" fillId="17" borderId="1" xfId="0" applyNumberFormat="1" applyFont="1" applyFill="1" applyBorder="1" applyAlignment="1">
      <alignment horizontal="center" vertical="center"/>
    </xf>
    <xf numFmtId="0" fontId="12" fillId="17" borderId="1" xfId="0" applyFont="1" applyFill="1" applyBorder="1" applyAlignment="1">
      <alignment horizontal="center" vertical="center"/>
    </xf>
    <xf numFmtId="0" fontId="12" fillId="17" borderId="5" xfId="0" applyFont="1" applyFill="1" applyBorder="1" applyAlignment="1">
      <alignment horizontal="center" vertical="center"/>
    </xf>
    <xf numFmtId="0" fontId="12" fillId="17" borderId="1" xfId="0" applyFont="1" applyFill="1" applyBorder="1" applyAlignment="1">
      <alignment horizontal="center" vertical="center"/>
    </xf>
    <xf numFmtId="0" fontId="12" fillId="9" borderId="1" xfId="0" applyFont="1" applyFill="1" applyBorder="1" applyAlignment="1">
      <alignment horizontal="center" vertical="center" wrapText="1"/>
    </xf>
    <xf numFmtId="49" fontId="22" fillId="22" borderId="1" xfId="0" applyNumberFormat="1" applyFont="1" applyFill="1" applyBorder="1" applyAlignment="1">
      <alignment horizontal="center" vertical="center" wrapText="1"/>
    </xf>
    <xf numFmtId="49" fontId="22" fillId="24" borderId="4" xfId="0" applyNumberFormat="1" applyFont="1" applyFill="1" applyBorder="1" applyAlignment="1">
      <alignment horizontal="center" vertical="center" wrapText="1"/>
    </xf>
    <xf numFmtId="49" fontId="22" fillId="0" borderId="0" xfId="0" applyNumberFormat="1" applyFont="1" applyAlignment="1">
      <alignment horizontal="center" vertical="center" wrapText="1"/>
    </xf>
    <xf numFmtId="49" fontId="22" fillId="24" borderId="1" xfId="0" applyNumberFormat="1" applyFont="1" applyFill="1" applyBorder="1" applyAlignment="1">
      <alignment horizontal="center" vertical="center" wrapText="1"/>
    </xf>
    <xf numFmtId="0" fontId="0" fillId="0" borderId="1" xfId="0" applyBorder="1" applyAlignment="1">
      <alignment horizontal="center"/>
    </xf>
    <xf numFmtId="0" fontId="12" fillId="23" borderId="4" xfId="0" applyFont="1" applyFill="1" applyBorder="1" applyAlignment="1">
      <alignment horizontal="center" vertical="center" wrapText="1"/>
    </xf>
    <xf numFmtId="0" fontId="18" fillId="22" borderId="1" xfId="0" applyFont="1" applyFill="1" applyBorder="1" applyAlignment="1">
      <alignment horizontal="center" vertical="center"/>
    </xf>
    <xf numFmtId="0" fontId="18" fillId="9" borderId="1" xfId="0" applyFont="1" applyFill="1" applyBorder="1" applyAlignment="1">
      <alignment horizontal="center" vertical="center" wrapText="1"/>
    </xf>
    <xf numFmtId="0" fontId="12" fillId="23" borderId="1" xfId="0" applyFont="1" applyFill="1" applyBorder="1" applyAlignment="1">
      <alignment horizontal="center" vertical="center" wrapText="1"/>
    </xf>
    <xf numFmtId="0" fontId="12" fillId="23" borderId="5" xfId="0" applyFont="1" applyFill="1" applyBorder="1" applyAlignment="1">
      <alignment horizontal="center" vertical="center" wrapText="1"/>
    </xf>
    <xf numFmtId="0" fontId="12" fillId="22" borderId="1" xfId="0" applyFont="1" applyFill="1" applyBorder="1" applyAlignment="1">
      <alignment horizontal="center" vertical="center" wrapText="1"/>
    </xf>
    <xf numFmtId="0" fontId="12" fillId="0" borderId="0" xfId="0" applyFont="1" applyAlignment="1">
      <alignment wrapText="1"/>
    </xf>
    <xf numFmtId="0" fontId="12" fillId="16" borderId="0" xfId="0" applyFont="1" applyFill="1" applyBorder="1" applyAlignment="1">
      <alignment horizontal="center" vertical="center"/>
    </xf>
    <xf numFmtId="0" fontId="0" fillId="16" borderId="0" xfId="0" applyFill="1" applyBorder="1"/>
    <xf numFmtId="0" fontId="12" fillId="16" borderId="0" xfId="0" applyFont="1" applyFill="1" applyBorder="1"/>
    <xf numFmtId="43" fontId="11" fillId="16" borderId="0" xfId="2" applyFont="1" applyFill="1" applyBorder="1"/>
    <xf numFmtId="0" fontId="0" fillId="16" borderId="0" xfId="0" applyFill="1" applyBorder="1" applyAlignment="1">
      <alignment horizontal="center" vertical="center"/>
    </xf>
    <xf numFmtId="0" fontId="0" fillId="16" borderId="0" xfId="0" applyFill="1" applyBorder="1" applyAlignment="1">
      <alignment horizontal="center"/>
    </xf>
    <xf numFmtId="0" fontId="12" fillId="16" borderId="0" xfId="0" applyFont="1" applyFill="1" applyBorder="1" applyAlignment="1">
      <alignment horizontal="left" vertical="center" wrapText="1"/>
    </xf>
    <xf numFmtId="0" fontId="12" fillId="16" borderId="0" xfId="0" applyFont="1" applyFill="1" applyBorder="1" applyAlignment="1">
      <alignment horizontal="left" vertical="center"/>
    </xf>
    <xf numFmtId="0" fontId="12" fillId="16" borderId="0" xfId="0" applyFont="1" applyFill="1" applyBorder="1" applyAlignment="1">
      <alignment horizontal="left" vertical="center" wrapText="1"/>
    </xf>
    <xf numFmtId="43" fontId="11" fillId="16" borderId="0" xfId="2" applyFont="1" applyFill="1" applyBorder="1" applyAlignment="1">
      <alignment horizontal="center" vertical="center"/>
    </xf>
    <xf numFmtId="0" fontId="12" fillId="16" borderId="0" xfId="0" applyFont="1" applyFill="1" applyBorder="1" applyAlignment="1">
      <alignment horizontal="left" vertical="center" wrapText="1"/>
    </xf>
    <xf numFmtId="0" fontId="12" fillId="16" borderId="0" xfId="0" applyFont="1" applyFill="1" applyBorder="1" applyAlignment="1">
      <alignment horizontal="left" vertical="center"/>
    </xf>
    <xf numFmtId="0" fontId="12" fillId="4" borderId="1" xfId="0" applyFont="1" applyFill="1" applyBorder="1"/>
    <xf numFmtId="0" fontId="27" fillId="24" borderId="5" xfId="0" applyFont="1" applyFill="1" applyBorder="1" applyAlignment="1">
      <alignment horizontal="center" vertical="center" wrapText="1"/>
    </xf>
    <xf numFmtId="0" fontId="27" fillId="24" borderId="1" xfId="0" applyFont="1" applyFill="1" applyBorder="1" applyAlignment="1">
      <alignment horizontal="center" vertical="center" wrapText="1"/>
    </xf>
    <xf numFmtId="0" fontId="22" fillId="0" borderId="0" xfId="0" applyFont="1" applyAlignment="1">
      <alignment horizontal="center" vertical="center" wrapText="1"/>
    </xf>
    <xf numFmtId="0" fontId="0" fillId="3" borderId="1" xfId="0" applyFill="1" applyBorder="1" applyAlignment="1">
      <alignment horizontal="center" vertical="center"/>
    </xf>
    <xf numFmtId="0" fontId="22" fillId="3" borderId="1" xfId="0" applyFont="1" applyFill="1" applyBorder="1" applyAlignment="1">
      <alignment horizontal="center" vertical="center" wrapText="1"/>
    </xf>
    <xf numFmtId="49" fontId="22" fillId="3" borderId="4" xfId="0" applyNumberFormat="1" applyFont="1" applyFill="1" applyBorder="1" applyAlignment="1">
      <alignment horizontal="center" vertical="center" wrapText="1"/>
    </xf>
    <xf numFmtId="0" fontId="24" fillId="3" borderId="1" xfId="0" applyNumberFormat="1" applyFont="1" applyFill="1" applyBorder="1" applyAlignment="1">
      <alignment horizontal="center" vertical="center" wrapText="1"/>
    </xf>
    <xf numFmtId="0" fontId="24" fillId="3" borderId="1" xfId="0" applyFont="1" applyFill="1" applyBorder="1" applyAlignment="1">
      <alignment horizontal="center" vertical="center" wrapText="1"/>
    </xf>
    <xf numFmtId="0" fontId="18" fillId="3" borderId="1" xfId="0" applyFont="1" applyFill="1" applyBorder="1" applyAlignment="1">
      <alignment horizontal="center" vertical="center" wrapText="1"/>
    </xf>
    <xf numFmtId="14" fontId="0" fillId="3" borderId="1" xfId="0" applyNumberFormat="1" applyFill="1" applyBorder="1" applyAlignment="1">
      <alignment horizontal="center" vertical="center"/>
    </xf>
    <xf numFmtId="0" fontId="12" fillId="3" borderId="1"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0" fillId="3" borderId="1" xfId="0" applyNumberFormat="1" applyFill="1" applyBorder="1" applyAlignment="1">
      <alignment horizontal="center" vertical="center" wrapText="1"/>
    </xf>
    <xf numFmtId="0" fontId="0" fillId="3" borderId="1" xfId="0" applyFill="1" applyBorder="1" applyAlignment="1">
      <alignment horizontal="center" vertical="center" wrapText="1"/>
    </xf>
    <xf numFmtId="0" fontId="12" fillId="0" borderId="0" xfId="0" applyFont="1" applyAlignment="1">
      <alignment wrapText="1"/>
    </xf>
    <xf numFmtId="0" fontId="12" fillId="3" borderId="1" xfId="0" applyFont="1" applyFill="1" applyBorder="1" applyAlignment="1">
      <alignment horizontal="center" vertical="center" wrapText="1"/>
    </xf>
    <xf numFmtId="3" fontId="0" fillId="3" borderId="1" xfId="0" applyNumberFormat="1" applyFill="1" applyBorder="1" applyAlignment="1">
      <alignment horizontal="center" vertical="center" wrapText="1"/>
    </xf>
    <xf numFmtId="49" fontId="22" fillId="3" borderId="1" xfId="0" applyNumberFormat="1" applyFont="1" applyFill="1" applyBorder="1" applyAlignment="1">
      <alignment horizontal="center" vertical="center" wrapText="1"/>
    </xf>
    <xf numFmtId="43" fontId="12" fillId="20" borderId="1" xfId="2" applyFont="1" applyFill="1" applyBorder="1"/>
    <xf numFmtId="0" fontId="0" fillId="8" borderId="5" xfId="0" applyFill="1" applyBorder="1" applyAlignment="1">
      <alignment horizontal="center"/>
    </xf>
    <xf numFmtId="0" fontId="0" fillId="20" borderId="5" xfId="0" applyFill="1" applyBorder="1"/>
    <xf numFmtId="0" fontId="0" fillId="26" borderId="5" xfId="0" applyFill="1" applyBorder="1"/>
    <xf numFmtId="43" fontId="11" fillId="20" borderId="5" xfId="2" applyFont="1" applyFill="1" applyBorder="1"/>
    <xf numFmtId="43" fontId="11" fillId="0" borderId="0" xfId="2" applyFont="1" applyFill="1" applyBorder="1"/>
    <xf numFmtId="0" fontId="28" fillId="0" borderId="0" xfId="0" applyFont="1" applyFill="1" applyBorder="1" applyAlignment="1">
      <alignment horizontal="center" vertical="center" wrapText="1"/>
    </xf>
    <xf numFmtId="43" fontId="28" fillId="0" borderId="0" xfId="2" applyFont="1" applyFill="1" applyBorder="1" applyAlignment="1">
      <alignment horizontal="right" vertical="center" wrapText="1"/>
    </xf>
    <xf numFmtId="0" fontId="29" fillId="0" borderId="0" xfId="0" applyFont="1" applyFill="1" applyBorder="1" applyAlignment="1">
      <alignment horizontal="center" vertical="center" wrapText="1"/>
    </xf>
    <xf numFmtId="3" fontId="29" fillId="0" borderId="0" xfId="0" applyNumberFormat="1" applyFont="1" applyFill="1" applyBorder="1" applyAlignment="1">
      <alignment horizontal="center" vertical="center" wrapText="1"/>
    </xf>
    <xf numFmtId="0" fontId="12" fillId="3" borderId="1" xfId="0" applyFont="1" applyFill="1" applyBorder="1" applyAlignment="1">
      <alignment horizontal="center" vertical="center"/>
    </xf>
    <xf numFmtId="0" fontId="12" fillId="20" borderId="1" xfId="0" applyNumberFormat="1" applyFont="1" applyFill="1" applyBorder="1" applyAlignment="1">
      <alignment horizontal="center" vertical="center" wrapText="1"/>
    </xf>
    <xf numFmtId="43" fontId="18" fillId="0" borderId="0" xfId="2" applyFont="1" applyFill="1" applyBorder="1"/>
    <xf numFmtId="43" fontId="0" fillId="0" borderId="0" xfId="0" applyNumberFormat="1" applyFill="1" applyBorder="1"/>
    <xf numFmtId="0" fontId="0" fillId="3" borderId="0" xfId="0" applyFill="1" applyAlignment="1">
      <alignment horizontal="center" vertical="center"/>
    </xf>
    <xf numFmtId="14" fontId="12" fillId="3" borderId="1" xfId="0" applyNumberFormat="1" applyFont="1" applyFill="1" applyBorder="1" applyAlignment="1">
      <alignment horizontal="center" vertical="center"/>
    </xf>
    <xf numFmtId="0" fontId="12" fillId="22" borderId="1" xfId="0" applyFont="1" applyFill="1" applyBorder="1" applyAlignment="1">
      <alignment horizontal="center" vertical="center"/>
    </xf>
    <xf numFmtId="43" fontId="12" fillId="3" borderId="1" xfId="0" applyNumberFormat="1" applyFont="1" applyFill="1" applyBorder="1" applyAlignment="1">
      <alignment horizontal="center" vertical="center" wrapText="1"/>
    </xf>
    <xf numFmtId="3" fontId="12" fillId="3" borderId="1" xfId="0" applyNumberFormat="1" applyFont="1" applyFill="1" applyBorder="1" applyAlignment="1">
      <alignment horizontal="center" vertical="center" wrapText="1"/>
    </xf>
    <xf numFmtId="43" fontId="12" fillId="3" borderId="1" xfId="0" applyNumberFormat="1" applyFont="1" applyFill="1" applyBorder="1" applyAlignment="1">
      <alignment horizontal="center" vertical="center" wrapText="1"/>
    </xf>
    <xf numFmtId="0" fontId="24" fillId="3" borderId="0" xfId="0" applyFont="1" applyFill="1"/>
    <xf numFmtId="0" fontId="24" fillId="3" borderId="1" xfId="0" applyFont="1" applyFill="1" applyBorder="1" applyAlignment="1">
      <alignment horizontal="center" vertical="center"/>
    </xf>
    <xf numFmtId="3" fontId="24" fillId="3" borderId="1" xfId="0" applyNumberFormat="1" applyFont="1" applyFill="1" applyBorder="1" applyAlignment="1">
      <alignment horizontal="center" vertical="center"/>
    </xf>
    <xf numFmtId="14" fontId="24" fillId="3" borderId="1" xfId="0" applyNumberFormat="1" applyFont="1" applyFill="1" applyBorder="1" applyAlignment="1">
      <alignment horizontal="center" vertical="center"/>
    </xf>
    <xf numFmtId="0" fontId="27" fillId="3" borderId="1" xfId="0" applyFont="1" applyFill="1" applyBorder="1" applyAlignment="1">
      <alignment horizontal="center" vertical="center" wrapText="1"/>
    </xf>
    <xf numFmtId="49" fontId="27" fillId="3" borderId="4" xfId="0" applyNumberFormat="1" applyFont="1" applyFill="1" applyBorder="1" applyAlignment="1">
      <alignment horizontal="center" vertical="center" wrapText="1"/>
    </xf>
    <xf numFmtId="0" fontId="24" fillId="3" borderId="4" xfId="0" applyFont="1" applyFill="1" applyBorder="1" applyAlignment="1">
      <alignment horizontal="center" vertical="center" wrapText="1"/>
    </xf>
    <xf numFmtId="0" fontId="12" fillId="0" borderId="1" xfId="0" applyFont="1" applyFill="1" applyBorder="1" applyAlignment="1">
      <alignment horizontal="center" vertical="center"/>
    </xf>
    <xf numFmtId="0" fontId="24" fillId="22" borderId="4" xfId="0" applyFont="1" applyFill="1" applyBorder="1" applyAlignment="1">
      <alignment horizontal="center" vertical="center"/>
    </xf>
    <xf numFmtId="0" fontId="12" fillId="20" borderId="1" xfId="0" applyFont="1" applyFill="1" applyBorder="1"/>
    <xf numFmtId="43" fontId="12" fillId="20" borderId="1" xfId="2" applyFont="1" applyFill="1" applyBorder="1"/>
    <xf numFmtId="0" fontId="12" fillId="3" borderId="1" xfId="0" applyNumberFormat="1" applyFont="1" applyFill="1" applyBorder="1" applyAlignment="1">
      <alignment horizontal="center" vertical="center" wrapText="1"/>
    </xf>
    <xf numFmtId="0" fontId="0" fillId="3" borderId="5" xfId="0" applyFill="1" applyBorder="1" applyAlignment="1">
      <alignment horizontal="center" vertical="center"/>
    </xf>
    <xf numFmtId="14" fontId="0" fillId="3" borderId="5" xfId="0" applyNumberFormat="1" applyFill="1" applyBorder="1" applyAlignment="1">
      <alignment horizontal="center" vertical="center"/>
    </xf>
    <xf numFmtId="0" fontId="22" fillId="3" borderId="5" xfId="0" applyFont="1" applyFill="1" applyBorder="1" applyAlignment="1">
      <alignment horizontal="center" vertical="center" wrapText="1"/>
    </xf>
    <xf numFmtId="49" fontId="22" fillId="3" borderId="5" xfId="0" applyNumberFormat="1" applyFont="1" applyFill="1" applyBorder="1" applyAlignment="1">
      <alignment horizontal="center" vertical="center" wrapText="1"/>
    </xf>
    <xf numFmtId="0" fontId="23" fillId="3" borderId="5" xfId="0" applyFont="1" applyFill="1" applyBorder="1" applyAlignment="1">
      <alignment horizontal="center" vertical="center" wrapText="1"/>
    </xf>
    <xf numFmtId="0" fontId="0" fillId="3" borderId="5" xfId="0" applyNumberFormat="1" applyFill="1" applyBorder="1" applyAlignment="1">
      <alignment horizontal="center" vertical="center" wrapText="1"/>
    </xf>
    <xf numFmtId="0" fontId="12" fillId="3" borderId="5" xfId="0" applyFont="1" applyFill="1" applyBorder="1" applyAlignment="1">
      <alignment horizontal="center" vertical="center" wrapText="1"/>
    </xf>
    <xf numFmtId="0" fontId="24" fillId="3" borderId="5" xfId="0" applyFont="1" applyFill="1" applyBorder="1" applyAlignment="1">
      <alignment horizontal="center" vertical="center" wrapText="1"/>
    </xf>
    <xf numFmtId="0" fontId="0" fillId="3" borderId="5" xfId="0" applyFill="1" applyBorder="1" applyAlignment="1">
      <alignment horizontal="center" vertical="center" wrapText="1"/>
    </xf>
    <xf numFmtId="0" fontId="18" fillId="3" borderId="5" xfId="0" applyFont="1" applyFill="1" applyBorder="1" applyAlignment="1">
      <alignment horizontal="center" vertical="center" wrapText="1"/>
    </xf>
    <xf numFmtId="0" fontId="0" fillId="22" borderId="2" xfId="0" applyFill="1" applyBorder="1" applyAlignment="1">
      <alignment horizontal="center" vertical="center"/>
    </xf>
    <xf numFmtId="0" fontId="12" fillId="3" borderId="1" xfId="0" applyFont="1" applyFill="1" applyBorder="1" applyAlignment="1">
      <alignment horizontal="center" vertical="center" wrapText="1"/>
    </xf>
    <xf numFmtId="3" fontId="0" fillId="3" borderId="1" xfId="0" applyNumberFormat="1" applyFill="1" applyBorder="1" applyAlignment="1">
      <alignment horizontal="center" vertical="center"/>
    </xf>
    <xf numFmtId="14" fontId="0" fillId="3" borderId="1" xfId="0" applyNumberFormat="1" applyFill="1" applyBorder="1" applyAlignment="1">
      <alignment horizontal="center" vertical="center" wrapText="1"/>
    </xf>
    <xf numFmtId="0" fontId="12" fillId="3" borderId="1" xfId="0" applyFont="1" applyFill="1" applyBorder="1" applyAlignment="1">
      <alignment horizontal="center" vertical="center" wrapText="1"/>
    </xf>
    <xf numFmtId="0" fontId="12" fillId="3" borderId="1" xfId="0" applyNumberFormat="1"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20" borderId="1" xfId="0" applyFont="1" applyFill="1" applyBorder="1"/>
    <xf numFmtId="0" fontId="12" fillId="0" borderId="0" xfId="0" applyFont="1"/>
    <xf numFmtId="0" fontId="12" fillId="0" borderId="1" xfId="0" applyFont="1" applyBorder="1"/>
    <xf numFmtId="0" fontId="12" fillId="20" borderId="1" xfId="0" applyFont="1" applyFill="1" applyBorder="1"/>
    <xf numFmtId="43" fontId="11" fillId="20" borderId="1" xfId="2" applyFont="1" applyFill="1" applyBorder="1" applyAlignment="1">
      <alignment horizontal="center"/>
    </xf>
    <xf numFmtId="0" fontId="12" fillId="3" borderId="0" xfId="0" applyFont="1" applyFill="1" applyAlignment="1">
      <alignment horizontal="center"/>
    </xf>
    <xf numFmtId="0" fontId="25" fillId="3" borderId="5" xfId="0" applyFont="1" applyFill="1" applyBorder="1" applyAlignment="1">
      <alignment horizontal="center" vertical="center"/>
    </xf>
    <xf numFmtId="0" fontId="12" fillId="3" borderId="5"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5" xfId="0" applyNumberFormat="1" applyFont="1" applyFill="1" applyBorder="1" applyAlignment="1">
      <alignment horizontal="center" vertical="center" wrapText="1"/>
    </xf>
    <xf numFmtId="0" fontId="12" fillId="3" borderId="1" xfId="0" applyFont="1" applyFill="1" applyBorder="1" applyAlignment="1">
      <alignment horizontal="center" vertical="center"/>
    </xf>
    <xf numFmtId="0" fontId="12" fillId="0" borderId="0" xfId="0" applyFont="1" applyAlignment="1">
      <alignment horizontal="center"/>
    </xf>
    <xf numFmtId="43" fontId="11" fillId="0" borderId="0" xfId="2" applyFont="1" applyAlignment="1">
      <alignment horizontal="center"/>
    </xf>
    <xf numFmtId="0" fontId="12" fillId="0" borderId="1" xfId="0" applyFont="1" applyBorder="1" applyAlignment="1">
      <alignment horizontal="center"/>
    </xf>
    <xf numFmtId="43" fontId="12" fillId="0" borderId="1" xfId="2" applyFont="1" applyBorder="1"/>
    <xf numFmtId="0" fontId="12" fillId="0" borderId="1" xfId="0" applyFont="1" applyBorder="1" applyAlignment="1">
      <alignment horizontal="center" vertical="center"/>
    </xf>
    <xf numFmtId="12" fontId="12" fillId="20" borderId="1" xfId="2" applyNumberFormat="1" applyFont="1" applyFill="1" applyBorder="1" applyAlignment="1">
      <alignment horizontal="center" vertical="center" wrapText="1"/>
    </xf>
    <xf numFmtId="43" fontId="12" fillId="20" borderId="1" xfId="2" applyFont="1" applyFill="1" applyBorder="1"/>
    <xf numFmtId="0" fontId="12" fillId="3" borderId="1" xfId="0" applyFont="1" applyFill="1" applyBorder="1" applyAlignment="1">
      <alignment horizontal="center" vertical="center"/>
    </xf>
    <xf numFmtId="0" fontId="12" fillId="20" borderId="1" xfId="0" applyNumberFormat="1" applyFont="1" applyFill="1" applyBorder="1" applyAlignment="1">
      <alignment horizontal="center" vertical="center" wrapText="1"/>
    </xf>
    <xf numFmtId="0" fontId="12" fillId="20" borderId="1" xfId="0" applyFont="1" applyFill="1" applyBorder="1"/>
    <xf numFmtId="0" fontId="12" fillId="9" borderId="4" xfId="0" applyFont="1" applyFill="1" applyBorder="1" applyAlignment="1">
      <alignment horizontal="center" vertical="center" wrapText="1"/>
    </xf>
    <xf numFmtId="0" fontId="12" fillId="0" borderId="0" xfId="0" applyFont="1"/>
    <xf numFmtId="0" fontId="12" fillId="0" borderId="0" xfId="0" applyFont="1"/>
    <xf numFmtId="0" fontId="12" fillId="4" borderId="1" xfId="0" applyFont="1" applyFill="1" applyBorder="1"/>
    <xf numFmtId="0" fontId="30" fillId="3" borderId="1" xfId="0" applyFont="1" applyFill="1" applyBorder="1" applyAlignment="1">
      <alignment horizontal="center" vertical="center"/>
    </xf>
    <xf numFmtId="0" fontId="30" fillId="3" borderId="5" xfId="0" applyFont="1" applyFill="1" applyBorder="1" applyAlignment="1">
      <alignment horizontal="center" vertical="center"/>
    </xf>
    <xf numFmtId="43" fontId="0" fillId="0" borderId="1" xfId="0" applyNumberFormat="1" applyBorder="1"/>
    <xf numFmtId="49" fontId="27" fillId="3" borderId="1" xfId="0" applyNumberFormat="1" applyFont="1" applyFill="1" applyBorder="1" applyAlignment="1">
      <alignment horizontal="center" vertical="center" wrapText="1"/>
    </xf>
    <xf numFmtId="0" fontId="31" fillId="3" borderId="1" xfId="0" applyFont="1" applyFill="1" applyBorder="1" applyAlignment="1">
      <alignment horizontal="center" vertical="center" wrapText="1"/>
    </xf>
    <xf numFmtId="3" fontId="24" fillId="3" borderId="1" xfId="0" applyNumberFormat="1" applyFont="1" applyFill="1" applyBorder="1" applyAlignment="1">
      <alignment horizontal="center" vertical="center" wrapText="1"/>
    </xf>
    <xf numFmtId="0" fontId="24" fillId="3" borderId="5" xfId="0" applyFont="1" applyFill="1" applyBorder="1" applyAlignment="1">
      <alignment horizontal="center" vertical="center"/>
    </xf>
    <xf numFmtId="14" fontId="24" fillId="3" borderId="5" xfId="0" applyNumberFormat="1" applyFont="1" applyFill="1" applyBorder="1" applyAlignment="1">
      <alignment horizontal="center" vertical="center"/>
    </xf>
    <xf numFmtId="0" fontId="27" fillId="3" borderId="5" xfId="0" applyFont="1" applyFill="1" applyBorder="1" applyAlignment="1">
      <alignment horizontal="center" vertical="center" wrapText="1"/>
    </xf>
    <xf numFmtId="49" fontId="27" fillId="3" borderId="5" xfId="0" applyNumberFormat="1" applyFont="1" applyFill="1" applyBorder="1" applyAlignment="1">
      <alignment horizontal="center" vertical="center" wrapText="1"/>
    </xf>
    <xf numFmtId="0" fontId="31" fillId="3" borderId="5" xfId="0" applyFont="1" applyFill="1" applyBorder="1" applyAlignment="1">
      <alignment horizontal="center" vertical="center" wrapText="1"/>
    </xf>
    <xf numFmtId="0" fontId="24" fillId="3" borderId="5" xfId="0" applyNumberFormat="1" applyFont="1" applyFill="1" applyBorder="1" applyAlignment="1">
      <alignment horizontal="center" vertical="center" wrapText="1"/>
    </xf>
    <xf numFmtId="0" fontId="24" fillId="3" borderId="6" xfId="0" applyFont="1" applyFill="1" applyBorder="1" applyAlignment="1">
      <alignment horizontal="center" vertical="center"/>
    </xf>
    <xf numFmtId="0" fontId="18" fillId="3"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12" fillId="3" borderId="1" xfId="0" applyNumberFormat="1"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3" borderId="1" xfId="0" applyFont="1" applyFill="1" applyBorder="1" applyAlignment="1">
      <alignment horizontal="center" vertical="center"/>
    </xf>
    <xf numFmtId="0" fontId="12" fillId="3" borderId="1" xfId="0" applyNumberFormat="1" applyFont="1" applyFill="1" applyBorder="1" applyAlignment="1">
      <alignment horizontal="center" vertical="center" wrapText="1"/>
    </xf>
    <xf numFmtId="14" fontId="12" fillId="3" borderId="1" xfId="0" applyNumberFormat="1" applyFont="1" applyFill="1" applyBorder="1" applyAlignment="1">
      <alignment horizontal="center" vertical="center"/>
    </xf>
    <xf numFmtId="0" fontId="12" fillId="3" borderId="1" xfId="0" applyFont="1" applyFill="1" applyBorder="1" applyAlignment="1">
      <alignment horizontal="center" vertical="center" wrapText="1"/>
    </xf>
    <xf numFmtId="3" fontId="0" fillId="0" borderId="1" xfId="0" applyNumberFormat="1" applyBorder="1" applyAlignment="1">
      <alignment wrapText="1"/>
    </xf>
    <xf numFmtId="43" fontId="0" fillId="5" borderId="1" xfId="0" applyNumberFormat="1" applyFill="1" applyBorder="1" applyAlignment="1">
      <alignment horizontal="center" vertical="center"/>
    </xf>
    <xf numFmtId="0" fontId="0" fillId="5" borderId="1" xfId="0" applyFill="1" applyBorder="1" applyAlignment="1">
      <alignment horizontal="center" vertical="center"/>
    </xf>
    <xf numFmtId="0" fontId="0" fillId="5" borderId="1" xfId="0" applyFill="1" applyBorder="1" applyAlignment="1">
      <alignment horizontal="center" vertical="center" wrapText="1"/>
    </xf>
    <xf numFmtId="43" fontId="11" fillId="0" borderId="1" xfId="2" applyFont="1" applyBorder="1" applyAlignment="1">
      <alignment horizontal="center" vertical="center" wrapText="1"/>
    </xf>
    <xf numFmtId="14" fontId="0" fillId="0" borderId="1" xfId="0" applyNumberFormat="1" applyBorder="1" applyAlignment="1">
      <alignment horizontal="center" vertical="center"/>
    </xf>
    <xf numFmtId="43" fontId="11" fillId="0" borderId="0" xfId="2" applyFont="1" applyBorder="1"/>
    <xf numFmtId="43" fontId="18" fillId="0" borderId="0" xfId="0" applyNumberFormat="1" applyFont="1"/>
    <xf numFmtId="0" fontId="12" fillId="0" borderId="0" xfId="0" applyFont="1"/>
    <xf numFmtId="0" fontId="0" fillId="0" borderId="0" xfId="0" applyAlignment="1">
      <alignment horizontal="right"/>
    </xf>
    <xf numFmtId="16" fontId="0" fillId="0" borderId="0" xfId="0" applyNumberFormat="1"/>
    <xf numFmtId="43" fontId="0" fillId="20" borderId="1" xfId="0" applyNumberFormat="1" applyFill="1" applyBorder="1"/>
    <xf numFmtId="0" fontId="24" fillId="9" borderId="1" xfId="0" applyFont="1" applyFill="1" applyBorder="1"/>
    <xf numFmtId="43" fontId="24" fillId="9" borderId="1" xfId="2" applyFont="1" applyFill="1" applyBorder="1"/>
    <xf numFmtId="43" fontId="24" fillId="9" borderId="1" xfId="0" applyNumberFormat="1" applyFont="1" applyFill="1" applyBorder="1"/>
    <xf numFmtId="0" fontId="12" fillId="3" borderId="1" xfId="0" applyFont="1" applyFill="1" applyBorder="1" applyAlignment="1">
      <alignment horizontal="center" vertical="center"/>
    </xf>
    <xf numFmtId="43" fontId="0" fillId="24" borderId="1" xfId="0" applyNumberFormat="1" applyFill="1" applyBorder="1"/>
    <xf numFmtId="43" fontId="11" fillId="24" borderId="1" xfId="2" applyFont="1" applyFill="1" applyBorder="1"/>
    <xf numFmtId="0" fontId="0" fillId="0" borderId="0" xfId="0" applyAlignment="1">
      <alignment horizontal="center" wrapText="1"/>
    </xf>
    <xf numFmtId="43" fontId="11" fillId="0" borderId="0" xfId="2" applyFont="1" applyAlignment="1">
      <alignment horizontal="center" vertical="center" wrapText="1"/>
    </xf>
    <xf numFmtId="43" fontId="0" fillId="22" borderId="1" xfId="0" applyNumberFormat="1" applyFill="1" applyBorder="1"/>
    <xf numFmtId="0" fontId="12" fillId="0" borderId="0" xfId="0" applyFont="1"/>
    <xf numFmtId="16" fontId="0" fillId="0" borderId="7" xfId="0" applyNumberFormat="1" applyBorder="1" applyAlignment="1">
      <alignment horizontal="center"/>
    </xf>
    <xf numFmtId="0" fontId="12" fillId="0" borderId="0" xfId="0" applyFont="1" applyAlignment="1">
      <alignment horizontal="center" wrapText="1"/>
    </xf>
    <xf numFmtId="43" fontId="12" fillId="0" borderId="1" xfId="2" applyFont="1" applyBorder="1"/>
    <xf numFmtId="43" fontId="18" fillId="0" borderId="0" xfId="2" applyFont="1"/>
    <xf numFmtId="43" fontId="0" fillId="0" borderId="7" xfId="0" applyNumberFormat="1" applyBorder="1" applyAlignment="1">
      <alignment horizontal="center"/>
    </xf>
    <xf numFmtId="43" fontId="12" fillId="24" borderId="1" xfId="2" applyFont="1" applyFill="1" applyBorder="1"/>
    <xf numFmtId="43" fontId="0" fillId="24" borderId="0" xfId="0" applyNumberFormat="1" applyFill="1"/>
    <xf numFmtId="0" fontId="12" fillId="3" borderId="1" xfId="0" applyFont="1" applyFill="1" applyBorder="1" applyAlignment="1">
      <alignment horizontal="center" vertical="center" wrapText="1"/>
    </xf>
    <xf numFmtId="0" fontId="12" fillId="0" borderId="0" xfId="0" applyFont="1"/>
    <xf numFmtId="43" fontId="12" fillId="0" borderId="0" xfId="2" applyFont="1"/>
    <xf numFmtId="0" fontId="12" fillId="6" borderId="0" xfId="0" applyFont="1" applyFill="1"/>
    <xf numFmtId="43" fontId="11" fillId="6" borderId="0" xfId="2" applyFont="1" applyFill="1"/>
    <xf numFmtId="16" fontId="0" fillId="6" borderId="0" xfId="0" applyNumberFormat="1" applyFill="1"/>
    <xf numFmtId="43" fontId="11" fillId="20" borderId="2" xfId="2" applyFont="1" applyFill="1" applyBorder="1"/>
    <xf numFmtId="0" fontId="0" fillId="6" borderId="0" xfId="0" applyFill="1"/>
    <xf numFmtId="16" fontId="11" fillId="0" borderId="0" xfId="2" applyNumberFormat="1" applyFont="1"/>
    <xf numFmtId="0" fontId="12" fillId="0" borderId="0" xfId="0" applyFont="1"/>
    <xf numFmtId="0" fontId="12" fillId="6" borderId="0" xfId="0" applyFont="1" applyFill="1"/>
    <xf numFmtId="0" fontId="12" fillId="3" borderId="0" xfId="0" applyFont="1" applyFill="1"/>
    <xf numFmtId="16" fontId="12" fillId="0" borderId="0" xfId="2" applyNumberFormat="1" applyFont="1"/>
    <xf numFmtId="43" fontId="24" fillId="0" borderId="0" xfId="2" applyFont="1"/>
    <xf numFmtId="43" fontId="12" fillId="0" borderId="0" xfId="2" applyFont="1"/>
    <xf numFmtId="0" fontId="12" fillId="0" borderId="0" xfId="0" applyFont="1"/>
    <xf numFmtId="43" fontId="18" fillId="16" borderId="0" xfId="2" applyFont="1" applyFill="1"/>
    <xf numFmtId="16" fontId="18" fillId="0" borderId="0" xfId="2" applyNumberFormat="1" applyFont="1"/>
    <xf numFmtId="16" fontId="18" fillId="0" borderId="0" xfId="0" applyNumberFormat="1" applyFont="1"/>
    <xf numFmtId="0" fontId="12" fillId="0" borderId="0" xfId="0" applyFont="1"/>
    <xf numFmtId="0" fontId="18" fillId="0" borderId="0" xfId="0" applyFont="1"/>
    <xf numFmtId="0" fontId="12" fillId="4" borderId="0" xfId="0" applyFont="1" applyFill="1"/>
    <xf numFmtId="165" fontId="0" fillId="0" borderId="0" xfId="0" applyNumberFormat="1" applyAlignment="1">
      <alignment horizontal="center"/>
    </xf>
    <xf numFmtId="165" fontId="11" fillId="0" borderId="0" xfId="2" applyNumberFormat="1" applyFont="1" applyAlignment="1">
      <alignment horizontal="center"/>
    </xf>
    <xf numFmtId="165" fontId="18" fillId="0" borderId="0" xfId="0" applyNumberFormat="1" applyFont="1" applyAlignment="1">
      <alignment horizontal="center"/>
    </xf>
    <xf numFmtId="16" fontId="18" fillId="0" borderId="1" xfId="0" applyNumberFormat="1" applyFont="1" applyBorder="1"/>
    <xf numFmtId="43" fontId="12" fillId="0" borderId="1" xfId="2" applyFont="1" applyBorder="1"/>
    <xf numFmtId="0" fontId="12" fillId="0" borderId="1" xfId="0" applyFont="1" applyBorder="1"/>
    <xf numFmtId="43" fontId="18" fillId="0" borderId="1" xfId="2" applyFont="1" applyBorder="1"/>
    <xf numFmtId="0" fontId="12" fillId="20" borderId="1" xfId="0" applyFont="1" applyFill="1" applyBorder="1"/>
    <xf numFmtId="0" fontId="12" fillId="3" borderId="1" xfId="0" applyFont="1" applyFill="1" applyBorder="1" applyAlignment="1">
      <alignment horizontal="center" vertical="center" wrapText="1"/>
    </xf>
    <xf numFmtId="3" fontId="12" fillId="3" borderId="1" xfId="0" applyNumberFormat="1" applyFont="1" applyFill="1" applyBorder="1" applyAlignment="1">
      <alignment horizontal="center" vertical="center" wrapText="1"/>
    </xf>
    <xf numFmtId="0" fontId="12" fillId="0" borderId="0" xfId="0" applyFont="1"/>
    <xf numFmtId="49" fontId="22" fillId="3" borderId="0" xfId="0" applyNumberFormat="1" applyFont="1" applyFill="1" applyAlignment="1">
      <alignment horizontal="center" vertical="center" wrapText="1"/>
    </xf>
    <xf numFmtId="0" fontId="12" fillId="0" borderId="1" xfId="0" applyFont="1" applyBorder="1"/>
    <xf numFmtId="0" fontId="0" fillId="0" borderId="0" xfId="0" applyAlignment="1">
      <alignment horizontal="center"/>
    </xf>
    <xf numFmtId="0" fontId="12" fillId="0" borderId="1" xfId="0" applyFont="1" applyBorder="1"/>
    <xf numFmtId="43" fontId="12" fillId="0" borderId="0" xfId="2" applyFont="1"/>
    <xf numFmtId="0" fontId="12" fillId="0" borderId="0" xfId="0" applyFont="1"/>
    <xf numFmtId="0" fontId="12" fillId="0" borderId="0" xfId="0" applyFont="1" applyBorder="1"/>
    <xf numFmtId="0" fontId="12" fillId="20" borderId="1" xfId="0" applyFont="1" applyFill="1" applyBorder="1"/>
    <xf numFmtId="0" fontId="12" fillId="20" borderId="0" xfId="0" applyFont="1" applyFill="1"/>
    <xf numFmtId="43" fontId="18" fillId="20" borderId="1" xfId="0" applyNumberFormat="1" applyFont="1" applyFill="1" applyBorder="1"/>
    <xf numFmtId="43" fontId="18" fillId="20" borderId="1" xfId="2" applyFont="1" applyFill="1" applyBorder="1"/>
    <xf numFmtId="43" fontId="12" fillId="20" borderId="1" xfId="2" applyFont="1" applyFill="1" applyBorder="1"/>
    <xf numFmtId="43" fontId="12" fillId="20" borderId="0" xfId="2" applyFont="1" applyFill="1"/>
    <xf numFmtId="43" fontId="12" fillId="0" borderId="1" xfId="2" applyFont="1" applyBorder="1" applyAlignment="1">
      <alignment horizontal="center"/>
    </xf>
    <xf numFmtId="0" fontId="0" fillId="0" borderId="1" xfId="0" applyBorder="1" applyAlignment="1">
      <alignment wrapText="1"/>
    </xf>
    <xf numFmtId="0" fontId="12" fillId="0" borderId="1" xfId="0" applyFont="1" applyBorder="1"/>
    <xf numFmtId="0" fontId="12" fillId="0" borderId="0" xfId="0" applyFont="1"/>
    <xf numFmtId="3" fontId="12" fillId="3" borderId="1" xfId="0" applyNumberFormat="1" applyFont="1" applyFill="1" applyBorder="1" applyAlignment="1">
      <alignment horizontal="center" vertical="center"/>
    </xf>
    <xf numFmtId="0" fontId="12" fillId="3" borderId="1" xfId="0" applyFont="1" applyFill="1" applyBorder="1" applyAlignment="1">
      <alignment horizontal="center" vertical="center" wrapText="1"/>
    </xf>
    <xf numFmtId="0" fontId="12" fillId="3" borderId="1" xfId="0" applyNumberFormat="1"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25"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1" xfId="0" applyNumberFormat="1" applyFont="1" applyFill="1" applyBorder="1" applyAlignment="1">
      <alignment horizontal="center" vertical="center" wrapText="1"/>
    </xf>
    <xf numFmtId="0" fontId="12" fillId="0" borderId="1" xfId="0" applyFont="1" applyBorder="1"/>
    <xf numFmtId="43" fontId="12" fillId="0" borderId="1" xfId="2" applyFont="1" applyBorder="1"/>
    <xf numFmtId="0" fontId="12" fillId="0" borderId="1" xfId="0" applyFont="1" applyBorder="1" applyAlignment="1">
      <alignment wrapText="1"/>
    </xf>
    <xf numFmtId="43" fontId="12" fillId="20" borderId="0" xfId="2" applyFont="1" applyFill="1"/>
    <xf numFmtId="0" fontId="12" fillId="0" borderId="0" xfId="0" applyFont="1"/>
    <xf numFmtId="43" fontId="12" fillId="0" borderId="1" xfId="2" applyFont="1" applyBorder="1"/>
    <xf numFmtId="0" fontId="12" fillId="0" borderId="1" xfId="0" applyFont="1" applyBorder="1"/>
    <xf numFmtId="43" fontId="12" fillId="20" borderId="1" xfId="2" applyFont="1" applyFill="1" applyBorder="1"/>
    <xf numFmtId="0" fontId="12" fillId="0" borderId="1" xfId="0" applyFont="1" applyBorder="1" applyAlignment="1">
      <alignment wrapText="1"/>
    </xf>
    <xf numFmtId="43" fontId="12" fillId="20" borderId="0" xfId="2" applyFont="1" applyFill="1"/>
    <xf numFmtId="0" fontId="12" fillId="3" borderId="1" xfId="0" applyFont="1" applyFill="1" applyBorder="1" applyAlignment="1">
      <alignment horizontal="center" vertical="center" wrapText="1"/>
    </xf>
    <xf numFmtId="43" fontId="12" fillId="0" borderId="0" xfId="2" applyFont="1"/>
    <xf numFmtId="0" fontId="12" fillId="0" borderId="1" xfId="0" applyFont="1" applyBorder="1"/>
    <xf numFmtId="0" fontId="12" fillId="0" borderId="0" xfId="0" applyFont="1" applyAlignment="1">
      <alignment wrapText="1"/>
    </xf>
    <xf numFmtId="0" fontId="12" fillId="3" borderId="1" xfId="0" applyFont="1" applyFill="1" applyBorder="1" applyAlignment="1">
      <alignment horizontal="center" vertical="center" wrapText="1"/>
    </xf>
    <xf numFmtId="0" fontId="12" fillId="0" borderId="1" xfId="0" applyFont="1" applyBorder="1" applyAlignment="1">
      <alignment wrapText="1"/>
    </xf>
    <xf numFmtId="0" fontId="12" fillId="0" borderId="0" xfId="0" applyFont="1"/>
    <xf numFmtId="43" fontId="12" fillId="20" borderId="1" xfId="2" applyFont="1" applyFill="1" applyBorder="1"/>
    <xf numFmtId="0" fontId="12"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1" xfId="0" applyFont="1" applyFill="1" applyBorder="1" applyAlignment="1">
      <alignment horizontal="center" vertical="center"/>
    </xf>
    <xf numFmtId="14" fontId="12" fillId="3" borderId="1" xfId="0" applyNumberFormat="1" applyFont="1" applyFill="1" applyBorder="1" applyAlignment="1">
      <alignment horizontal="center" vertical="center" wrapText="1"/>
    </xf>
    <xf numFmtId="43" fontId="12" fillId="0" borderId="0" xfId="2" applyFont="1" applyBorder="1"/>
    <xf numFmtId="16" fontId="18" fillId="0" borderId="1" xfId="0" applyNumberFormat="1" applyFont="1" applyBorder="1" applyAlignment="1">
      <alignment horizontal="center"/>
    </xf>
    <xf numFmtId="43" fontId="11" fillId="0" borderId="0" xfId="2" applyFont="1" applyAlignment="1">
      <alignment horizontal="right"/>
    </xf>
    <xf numFmtId="0" fontId="12" fillId="0" borderId="1" xfId="0" applyFont="1" applyBorder="1" applyAlignment="1">
      <alignment wrapText="1"/>
    </xf>
    <xf numFmtId="43" fontId="12" fillId="3" borderId="1" xfId="2" applyFont="1" applyFill="1" applyBorder="1" applyAlignment="1">
      <alignment horizontal="center" vertical="center" wrapText="1"/>
    </xf>
    <xf numFmtId="0" fontId="12" fillId="3" borderId="1" xfId="0" applyFont="1" applyFill="1" applyBorder="1" applyAlignment="1">
      <alignment horizontal="center" vertical="center"/>
    </xf>
    <xf numFmtId="0" fontId="12" fillId="3" borderId="1" xfId="0" applyNumberFormat="1"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3" borderId="1" xfId="0" applyFont="1" applyFill="1" applyBorder="1" applyAlignment="1">
      <alignment horizontal="center" vertical="center"/>
    </xf>
    <xf numFmtId="0" fontId="12" fillId="3" borderId="1" xfId="0" applyNumberFormat="1" applyFont="1" applyFill="1" applyBorder="1" applyAlignment="1">
      <alignment horizontal="center" vertical="center" wrapText="1"/>
    </xf>
    <xf numFmtId="43" fontId="12" fillId="9" borderId="1" xfId="2" applyFont="1" applyFill="1" applyBorder="1" applyAlignment="1">
      <alignment horizontal="center" vertical="center" wrapText="1"/>
    </xf>
    <xf numFmtId="0" fontId="12" fillId="3" borderId="1" xfId="0" applyFont="1" applyFill="1" applyBorder="1" applyAlignment="1">
      <alignment horizontal="center" vertical="center"/>
    </xf>
    <xf numFmtId="0" fontId="0" fillId="0" borderId="0" xfId="0" applyAlignment="1">
      <alignment horizontal="center"/>
    </xf>
    <xf numFmtId="0" fontId="12" fillId="9" borderId="1" xfId="0" applyFont="1" applyFill="1" applyBorder="1" applyAlignment="1">
      <alignment horizontal="center" vertical="center" wrapText="1"/>
    </xf>
    <xf numFmtId="43" fontId="12" fillId="20" borderId="1" xfId="2" applyFont="1" applyFill="1" applyBorder="1"/>
    <xf numFmtId="0" fontId="12" fillId="0" borderId="1" xfId="0" applyFont="1" applyBorder="1"/>
    <xf numFmtId="0" fontId="12" fillId="0" borderId="1" xfId="0" applyFont="1" applyBorder="1" applyAlignment="1">
      <alignment wrapText="1"/>
    </xf>
    <xf numFmtId="0" fontId="12" fillId="0" borderId="0" xfId="0" applyFont="1"/>
    <xf numFmtId="0" fontId="12" fillId="3" borderId="1" xfId="0" applyFont="1" applyFill="1" applyBorder="1" applyAlignment="1">
      <alignment horizontal="center" vertical="center" wrapText="1"/>
    </xf>
    <xf numFmtId="43" fontId="0" fillId="0" borderId="0" xfId="0" applyNumberFormat="1" applyAlignment="1">
      <alignment horizontal="center" vertical="center"/>
    </xf>
    <xf numFmtId="3" fontId="12" fillId="20" borderId="1" xfId="0" applyNumberFormat="1" applyFont="1" applyFill="1" applyBorder="1" applyAlignment="1">
      <alignment horizontal="center" vertical="center" wrapText="1"/>
    </xf>
    <xf numFmtId="0" fontId="12" fillId="0" borderId="1" xfId="0" applyFont="1" applyBorder="1"/>
    <xf numFmtId="0" fontId="12" fillId="0" borderId="0" xfId="0" applyFont="1"/>
    <xf numFmtId="43" fontId="12" fillId="20" borderId="1" xfId="2" applyFont="1" applyFill="1" applyBorder="1"/>
    <xf numFmtId="0" fontId="18" fillId="3" borderId="5" xfId="0" applyFont="1" applyFill="1" applyBorder="1" applyAlignment="1">
      <alignment horizontal="center" vertical="center"/>
    </xf>
    <xf numFmtId="0" fontId="12" fillId="3" borderId="1" xfId="0" applyFont="1" applyFill="1" applyBorder="1" applyAlignment="1">
      <alignment horizontal="center" vertical="center"/>
    </xf>
    <xf numFmtId="0" fontId="12" fillId="0" borderId="1" xfId="0" applyFont="1" applyBorder="1" applyAlignment="1">
      <alignment wrapText="1"/>
    </xf>
    <xf numFmtId="0" fontId="0" fillId="0" borderId="0" xfId="0" applyAlignment="1">
      <alignment horizontal="center"/>
    </xf>
    <xf numFmtId="0" fontId="0" fillId="0" borderId="1" xfId="0" applyBorder="1" applyAlignment="1">
      <alignment horizontal="center"/>
    </xf>
    <xf numFmtId="0" fontId="0" fillId="0" borderId="0" xfId="0" applyAlignment="1">
      <alignment horizontal="center"/>
    </xf>
    <xf numFmtId="0" fontId="0" fillId="0" borderId="1" xfId="0" applyBorder="1" applyAlignment="1">
      <alignment horizontal="center"/>
    </xf>
    <xf numFmtId="0" fontId="12" fillId="9"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0" borderId="1" xfId="0" applyFont="1" applyBorder="1" applyAlignment="1">
      <alignment wrapText="1"/>
    </xf>
    <xf numFmtId="16" fontId="12" fillId="0" borderId="1" xfId="0" applyNumberFormat="1" applyFont="1" applyBorder="1"/>
    <xf numFmtId="0" fontId="12" fillId="23" borderId="1" xfId="0" applyFont="1" applyFill="1" applyBorder="1" applyAlignment="1">
      <alignment horizontal="center" vertical="center" wrapText="1"/>
    </xf>
    <xf numFmtId="3" fontId="22" fillId="3" borderId="1" xfId="0" applyNumberFormat="1" applyFont="1" applyFill="1" applyBorder="1" applyAlignment="1">
      <alignment horizontal="center" vertical="center" wrapText="1"/>
    </xf>
    <xf numFmtId="0" fontId="12" fillId="0" borderId="1" xfId="0" applyFont="1" applyBorder="1"/>
    <xf numFmtId="0" fontId="12" fillId="0" borderId="0" xfId="0" applyFont="1"/>
    <xf numFmtId="0" fontId="12" fillId="20" borderId="4" xfId="0" applyFont="1" applyFill="1" applyBorder="1" applyAlignment="1">
      <alignment horizontal="center" vertical="center" wrapText="1"/>
    </xf>
    <xf numFmtId="0" fontId="24" fillId="20" borderId="4" xfId="0" applyFont="1" applyFill="1" applyBorder="1" applyAlignment="1">
      <alignment horizontal="center" vertical="center" wrapText="1"/>
    </xf>
    <xf numFmtId="0" fontId="12" fillId="20" borderId="1" xfId="0" applyFont="1" applyFill="1" applyBorder="1" applyAlignment="1">
      <alignment horizontal="center" vertical="center" wrapText="1"/>
    </xf>
    <xf numFmtId="0" fontId="24" fillId="20" borderId="1" xfId="0" applyFont="1" applyFill="1" applyBorder="1" applyAlignment="1">
      <alignment horizontal="center" vertical="center" wrapText="1"/>
    </xf>
    <xf numFmtId="0" fontId="0" fillId="20" borderId="5" xfId="0" applyFill="1" applyBorder="1" applyAlignment="1">
      <alignment horizontal="center" vertical="center" wrapText="1"/>
    </xf>
    <xf numFmtId="0" fontId="24" fillId="20" borderId="5" xfId="0" applyFont="1" applyFill="1" applyBorder="1" applyAlignment="1">
      <alignment horizontal="center" vertical="center" wrapText="1"/>
    </xf>
    <xf numFmtId="16" fontId="12" fillId="5" borderId="1" xfId="0" applyNumberFormat="1" applyFont="1" applyFill="1" applyBorder="1"/>
    <xf numFmtId="43" fontId="11" fillId="5" borderId="1" xfId="2" applyFont="1" applyFill="1" applyBorder="1"/>
    <xf numFmtId="43" fontId="12" fillId="20" borderId="1" xfId="2" applyFont="1" applyFill="1" applyBorder="1"/>
    <xf numFmtId="43" fontId="12" fillId="0" borderId="1" xfId="2" applyFont="1" applyBorder="1"/>
    <xf numFmtId="43" fontId="22" fillId="0" borderId="0" xfId="2" applyFont="1" applyAlignment="1">
      <alignment horizontal="center" vertical="center" wrapText="1"/>
    </xf>
    <xf numFmtId="16" fontId="12" fillId="20" borderId="1" xfId="0" applyNumberFormat="1" applyFont="1" applyFill="1" applyBorder="1"/>
    <xf numFmtId="0" fontId="0" fillId="0" borderId="0" xfId="0" applyAlignment="1">
      <alignment horizontal="center"/>
    </xf>
    <xf numFmtId="0" fontId="0" fillId="0" borderId="1" xfId="0" applyBorder="1" applyAlignment="1">
      <alignment horizontal="center"/>
    </xf>
    <xf numFmtId="0" fontId="12" fillId="0" borderId="1" xfId="0" applyFont="1" applyBorder="1" applyAlignment="1">
      <alignment wrapText="1"/>
    </xf>
    <xf numFmtId="0" fontId="12" fillId="0" borderId="1" xfId="0" applyFont="1" applyBorder="1"/>
    <xf numFmtId="0" fontId="12" fillId="3" borderId="1" xfId="0" applyFont="1" applyFill="1" applyBorder="1" applyAlignment="1">
      <alignment horizontal="center" vertical="center" wrapText="1"/>
    </xf>
    <xf numFmtId="16" fontId="12" fillId="20" borderId="1" xfId="0" applyNumberFormat="1" applyFont="1" applyFill="1" applyBorder="1"/>
    <xf numFmtId="43" fontId="12" fillId="20" borderId="1" xfId="2" applyFont="1" applyFill="1" applyBorder="1"/>
    <xf numFmtId="12" fontId="11" fillId="3" borderId="1" xfId="2" applyNumberFormat="1" applyFont="1" applyFill="1" applyBorder="1" applyAlignment="1">
      <alignment horizontal="center" vertical="center" wrapText="1"/>
    </xf>
    <xf numFmtId="0" fontId="12" fillId="3" borderId="1" xfId="0" applyFont="1" applyFill="1" applyBorder="1" applyAlignment="1">
      <alignment horizontal="center" vertical="center"/>
    </xf>
    <xf numFmtId="41" fontId="0" fillId="3" borderId="1" xfId="0" applyNumberFormat="1" applyFill="1" applyBorder="1" applyAlignment="1">
      <alignment horizontal="center" vertical="center"/>
    </xf>
    <xf numFmtId="0" fontId="18" fillId="0" borderId="0" xfId="0" applyFont="1" applyAlignment="1">
      <alignment horizontal="center"/>
    </xf>
    <xf numFmtId="0" fontId="0" fillId="0" borderId="1" xfId="0" applyBorder="1" applyAlignment="1">
      <alignment horizontal="center"/>
    </xf>
    <xf numFmtId="0" fontId="12" fillId="9" borderId="1" xfId="0" applyFont="1" applyFill="1" applyBorder="1" applyAlignment="1">
      <alignment horizontal="center" vertical="center" wrapText="1"/>
    </xf>
    <xf numFmtId="0" fontId="12" fillId="0" borderId="1" xfId="0" applyFont="1" applyBorder="1" applyAlignment="1">
      <alignment horizontal="left"/>
    </xf>
    <xf numFmtId="16" fontId="12" fillId="0" borderId="1" xfId="0" applyNumberFormat="1" applyFont="1" applyBorder="1"/>
    <xf numFmtId="0" fontId="12" fillId="0" borderId="1" xfId="0" applyFont="1" applyBorder="1" applyAlignment="1">
      <alignment wrapText="1"/>
    </xf>
    <xf numFmtId="0" fontId="12" fillId="0" borderId="1" xfId="0" applyFont="1" applyBorder="1"/>
    <xf numFmtId="16" fontId="12" fillId="20" borderId="1" xfId="0" applyNumberFormat="1" applyFont="1" applyFill="1" applyBorder="1"/>
    <xf numFmtId="43" fontId="12" fillId="20" borderId="1" xfId="2" applyFont="1" applyFill="1" applyBorder="1"/>
    <xf numFmtId="0" fontId="18" fillId="0" borderId="0" xfId="0" applyFont="1" applyAlignment="1">
      <alignment horizontal="center" vertical="center"/>
    </xf>
    <xf numFmtId="43" fontId="12" fillId="0" borderId="1" xfId="2" applyFont="1" applyBorder="1"/>
    <xf numFmtId="0" fontId="18" fillId="13" borderId="1" xfId="0" applyFont="1" applyFill="1" applyBorder="1" applyAlignment="1">
      <alignment horizontal="center" vertical="center"/>
    </xf>
    <xf numFmtId="43" fontId="24" fillId="3" borderId="1" xfId="2" applyFont="1" applyFill="1" applyBorder="1" applyAlignment="1">
      <alignment horizontal="center" vertical="center" wrapText="1"/>
    </xf>
    <xf numFmtId="43" fontId="11" fillId="0" borderId="1" xfId="2" applyFont="1" applyFill="1" applyBorder="1"/>
    <xf numFmtId="43" fontId="12" fillId="0" borderId="1" xfId="2" applyFont="1" applyFill="1" applyBorder="1" applyAlignment="1">
      <alignment horizontal="left" vertical="top"/>
    </xf>
    <xf numFmtId="43" fontId="12" fillId="0" borderId="0" xfId="2" applyFont="1" applyAlignment="1">
      <alignment horizontal="center"/>
    </xf>
    <xf numFmtId="0" fontId="0" fillId="0" borderId="0" xfId="0" applyAlignment="1">
      <alignment vertical="center"/>
    </xf>
    <xf numFmtId="0" fontId="0" fillId="0" borderId="1" xfId="0" applyBorder="1" applyAlignment="1">
      <alignment vertical="center"/>
    </xf>
    <xf numFmtId="0" fontId="0" fillId="0" borderId="1" xfId="0" applyBorder="1" applyAlignment="1">
      <alignment vertical="center" wrapText="1"/>
    </xf>
    <xf numFmtId="0" fontId="0" fillId="22" borderId="1" xfId="0" applyFill="1" applyBorder="1" applyAlignment="1">
      <alignment horizontal="center"/>
    </xf>
    <xf numFmtId="0" fontId="0" fillId="22" borderId="1" xfId="0" applyFill="1" applyBorder="1" applyAlignment="1">
      <alignment vertical="center"/>
    </xf>
    <xf numFmtId="0" fontId="0" fillId="22" borderId="2" xfId="0" applyFill="1" applyBorder="1" applyAlignment="1">
      <alignment vertical="center"/>
    </xf>
    <xf numFmtId="0" fontId="0" fillId="0" borderId="0" xfId="0" applyAlignment="1">
      <alignment horizontal="center"/>
    </xf>
    <xf numFmtId="0" fontId="0" fillId="0" borderId="1" xfId="0" applyBorder="1" applyAlignment="1">
      <alignment horizontal="center"/>
    </xf>
    <xf numFmtId="16" fontId="12" fillId="20" borderId="1" xfId="0" applyNumberFormat="1" applyFont="1" applyFill="1" applyBorder="1"/>
    <xf numFmtId="43" fontId="12" fillId="20" borderId="1" xfId="2" applyFont="1" applyFill="1" applyBorder="1"/>
    <xf numFmtId="0" fontId="12" fillId="0" borderId="1" xfId="0" applyFont="1" applyBorder="1" applyAlignment="1">
      <alignment vertical="center"/>
    </xf>
    <xf numFmtId="0" fontId="12" fillId="0" borderId="1" xfId="0" applyFont="1" applyBorder="1"/>
    <xf numFmtId="16" fontId="12" fillId="0" borderId="1" xfId="0" applyNumberFormat="1" applyFont="1" applyBorder="1"/>
    <xf numFmtId="0" fontId="12" fillId="0" borderId="1" xfId="0" applyFont="1" applyBorder="1" applyAlignment="1">
      <alignment wrapText="1"/>
    </xf>
    <xf numFmtId="0" fontId="12" fillId="0" borderId="1" xfId="0" applyFont="1" applyBorder="1"/>
    <xf numFmtId="0" fontId="12" fillId="20" borderId="1" xfId="0" applyNumberFormat="1" applyFont="1" applyFill="1" applyBorder="1" applyAlignment="1">
      <alignment horizontal="center" vertical="center" wrapText="1"/>
    </xf>
    <xf numFmtId="0" fontId="12" fillId="3" borderId="1" xfId="0" applyFont="1" applyFill="1" applyBorder="1" applyAlignment="1">
      <alignment horizontal="center" vertical="center" wrapText="1"/>
    </xf>
    <xf numFmtId="43" fontId="12" fillId="0" borderId="1" xfId="2" applyFont="1" applyFill="1" applyBorder="1" applyAlignment="1">
      <alignment horizontal="left" vertical="top"/>
    </xf>
    <xf numFmtId="0" fontId="12" fillId="0" borderId="1" xfId="0" applyFont="1" applyBorder="1" applyAlignment="1">
      <alignment horizontal="left"/>
    </xf>
    <xf numFmtId="43" fontId="12" fillId="20" borderId="1" xfId="2" applyFont="1" applyFill="1" applyBorder="1"/>
    <xf numFmtId="16" fontId="12" fillId="20" borderId="1" xfId="0" applyNumberFormat="1" applyFont="1" applyFill="1" applyBorder="1"/>
    <xf numFmtId="43" fontId="12" fillId="20" borderId="1" xfId="2" applyFont="1" applyFill="1" applyBorder="1" applyAlignment="1">
      <alignment horizontal="center"/>
    </xf>
    <xf numFmtId="43" fontId="12" fillId="3" borderId="1" xfId="2" applyFont="1" applyFill="1" applyBorder="1" applyAlignment="1">
      <alignment horizontal="center" vertical="center" wrapText="1"/>
    </xf>
    <xf numFmtId="43" fontId="0" fillId="0" borderId="0" xfId="0" applyNumberFormat="1" applyAlignment="1">
      <alignment horizontal="center"/>
    </xf>
    <xf numFmtId="43" fontId="23" fillId="0" borderId="0" xfId="2" applyFont="1" applyAlignment="1">
      <alignment horizontal="center" vertical="center" wrapText="1"/>
    </xf>
    <xf numFmtId="0" fontId="0" fillId="0" borderId="0" xfId="0" applyAlignment="1">
      <alignment horizontal="center"/>
    </xf>
    <xf numFmtId="0" fontId="0" fillId="0" borderId="1" xfId="0" applyBorder="1" applyAlignment="1">
      <alignment horizontal="center"/>
    </xf>
    <xf numFmtId="0" fontId="12" fillId="0" borderId="1" xfId="0" applyFont="1" applyBorder="1" applyAlignment="1">
      <alignment wrapText="1"/>
    </xf>
    <xf numFmtId="0" fontId="12" fillId="0" borderId="1" xfId="0" applyFont="1" applyBorder="1" applyAlignment="1">
      <alignment horizontal="left"/>
    </xf>
    <xf numFmtId="0" fontId="12" fillId="3" borderId="5" xfId="0" applyFont="1" applyFill="1" applyBorder="1" applyAlignment="1">
      <alignment horizontal="center" vertical="center" wrapText="1"/>
    </xf>
    <xf numFmtId="16" fontId="12" fillId="20" borderId="1" xfId="0" applyNumberFormat="1" applyFont="1" applyFill="1" applyBorder="1"/>
    <xf numFmtId="43" fontId="12" fillId="0" borderId="1" xfId="2" applyFont="1" applyFill="1" applyBorder="1" applyAlignment="1">
      <alignment horizontal="left" vertical="top"/>
    </xf>
    <xf numFmtId="0" fontId="12" fillId="0" borderId="1" xfId="0" applyFont="1" applyBorder="1"/>
    <xf numFmtId="16" fontId="12" fillId="20" borderId="1" xfId="0" applyNumberFormat="1" applyFont="1" applyFill="1" applyBorder="1"/>
    <xf numFmtId="0" fontId="0" fillId="0" borderId="0" xfId="0" applyAlignment="1">
      <alignment horizontal="center"/>
    </xf>
    <xf numFmtId="0" fontId="0" fillId="0" borderId="1" xfId="0" applyBorder="1" applyAlignment="1">
      <alignment horizontal="center"/>
    </xf>
    <xf numFmtId="0" fontId="12" fillId="0" borderId="1" xfId="0" applyFont="1" applyBorder="1" applyAlignment="1">
      <alignment wrapText="1"/>
    </xf>
    <xf numFmtId="16" fontId="12" fillId="20" borderId="1" xfId="0" applyNumberFormat="1" applyFont="1" applyFill="1" applyBorder="1"/>
    <xf numFmtId="0" fontId="12" fillId="0" borderId="1" xfId="0" applyFont="1" applyBorder="1" applyAlignment="1">
      <alignment wrapText="1"/>
    </xf>
    <xf numFmtId="0" fontId="0" fillId="0" borderId="0" xfId="0" applyAlignment="1">
      <alignment horizontal="center"/>
    </xf>
    <xf numFmtId="0" fontId="0" fillId="0" borderId="1" xfId="0" applyBorder="1" applyAlignment="1">
      <alignment horizontal="center"/>
    </xf>
    <xf numFmtId="0" fontId="12" fillId="16" borderId="1" xfId="0" applyFont="1" applyFill="1" applyBorder="1" applyAlignment="1">
      <alignment horizontal="left"/>
    </xf>
    <xf numFmtId="43" fontId="12" fillId="16" borderId="1" xfId="2" applyFont="1" applyFill="1" applyBorder="1" applyAlignment="1">
      <alignment horizontal="left"/>
    </xf>
    <xf numFmtId="0" fontId="0" fillId="16" borderId="1" xfId="0" applyFill="1" applyBorder="1" applyAlignment="1">
      <alignment horizontal="left"/>
    </xf>
    <xf numFmtId="43" fontId="11" fillId="16" borderId="1" xfId="2" applyFont="1" applyFill="1" applyBorder="1" applyAlignment="1">
      <alignment horizontal="left"/>
    </xf>
    <xf numFmtId="0" fontId="12" fillId="20" borderId="1" xfId="0" applyFont="1" applyFill="1" applyBorder="1"/>
    <xf numFmtId="43" fontId="0" fillId="20" borderId="5" xfId="0" applyNumberFormat="1" applyFill="1" applyBorder="1"/>
    <xf numFmtId="16" fontId="12" fillId="20" borderId="1" xfId="0" applyNumberFormat="1" applyFont="1" applyFill="1" applyBorder="1"/>
    <xf numFmtId="0" fontId="0" fillId="4" borderId="0" xfId="0" applyFill="1" applyAlignment="1">
      <alignment horizontal="center" vertical="center"/>
    </xf>
    <xf numFmtId="0" fontId="0" fillId="0" borderId="0" xfId="0" applyAlignment="1">
      <alignment horizontal="center"/>
    </xf>
    <xf numFmtId="0" fontId="0" fillId="0" borderId="1" xfId="0" applyBorder="1" applyAlignment="1">
      <alignment horizontal="center"/>
    </xf>
    <xf numFmtId="0" fontId="12" fillId="0" borderId="1" xfId="0" applyFont="1" applyBorder="1" applyAlignment="1">
      <alignment wrapText="1"/>
    </xf>
    <xf numFmtId="0" fontId="12" fillId="9"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16" fontId="12" fillId="20" borderId="1" xfId="0" applyNumberFormat="1" applyFont="1" applyFill="1" applyBorder="1"/>
    <xf numFmtId="43" fontId="12" fillId="0" borderId="1" xfId="2" applyFont="1" applyFill="1" applyBorder="1" applyAlignment="1">
      <alignment horizontal="left" vertical="top"/>
    </xf>
    <xf numFmtId="0" fontId="12" fillId="0" borderId="1" xfId="0" applyFont="1" applyBorder="1"/>
    <xf numFmtId="43" fontId="12" fillId="0" borderId="1" xfId="2" applyFont="1" applyBorder="1"/>
    <xf numFmtId="0" fontId="0" fillId="4" borderId="0" xfId="0" applyFill="1" applyAlignment="1">
      <alignment horizontal="center" vertical="center"/>
    </xf>
    <xf numFmtId="0" fontId="0" fillId="0" borderId="0" xfId="0" applyAlignment="1">
      <alignment horizontal="center"/>
    </xf>
    <xf numFmtId="0" fontId="0" fillId="0" borderId="1" xfId="0" applyBorder="1" applyAlignment="1">
      <alignment horizontal="center"/>
    </xf>
    <xf numFmtId="0" fontId="18" fillId="12" borderId="1" xfId="0" applyFont="1" applyFill="1" applyBorder="1" applyAlignment="1">
      <alignment horizontal="center" vertical="center" wrapText="1"/>
    </xf>
    <xf numFmtId="0" fontId="18" fillId="12" borderId="5" xfId="0" applyFont="1" applyFill="1" applyBorder="1" applyAlignment="1">
      <alignment horizontal="center" vertical="center" wrapText="1"/>
    </xf>
    <xf numFmtId="0" fontId="24" fillId="12" borderId="1" xfId="0" applyFont="1" applyFill="1" applyBorder="1" applyAlignment="1">
      <alignment horizontal="center" vertical="center" wrapText="1"/>
    </xf>
    <xf numFmtId="0" fontId="24" fillId="12" borderId="5" xfId="0" applyFont="1" applyFill="1" applyBorder="1" applyAlignment="1">
      <alignment horizontal="center" vertical="center" wrapText="1"/>
    </xf>
    <xf numFmtId="0" fontId="0" fillId="4" borderId="0" xfId="0" applyFill="1" applyAlignment="1">
      <alignment horizontal="center" vertical="center"/>
    </xf>
    <xf numFmtId="0" fontId="0" fillId="0" borderId="0" xfId="0" applyAlignment="1">
      <alignment horizontal="center"/>
    </xf>
    <xf numFmtId="0" fontId="0" fillId="0" borderId="1" xfId="0" applyBorder="1" applyAlignment="1">
      <alignment horizontal="center"/>
    </xf>
    <xf numFmtId="12" fontId="12" fillId="4" borderId="1" xfId="2" applyNumberFormat="1" applyFont="1" applyFill="1" applyBorder="1" applyAlignment="1">
      <alignment horizontal="center" vertical="center" wrapText="1"/>
    </xf>
    <xf numFmtId="0" fontId="12" fillId="0" borderId="1" xfId="0" applyFont="1" applyBorder="1" applyAlignment="1">
      <alignment horizontal="left"/>
    </xf>
    <xf numFmtId="16" fontId="12" fillId="20" borderId="1" xfId="0" applyNumberFormat="1" applyFont="1" applyFill="1" applyBorder="1"/>
    <xf numFmtId="0" fontId="12" fillId="0" borderId="1" xfId="0" applyFont="1" applyBorder="1" applyAlignment="1">
      <alignment wrapText="1"/>
    </xf>
    <xf numFmtId="3" fontId="0" fillId="22" borderId="1" xfId="0" applyNumberFormat="1" applyFill="1" applyBorder="1" applyAlignment="1">
      <alignment horizontal="center" vertical="center"/>
    </xf>
    <xf numFmtId="0" fontId="12" fillId="3" borderId="1" xfId="0" applyFont="1" applyFill="1" applyBorder="1" applyAlignment="1">
      <alignment horizontal="center" vertical="center" wrapText="1"/>
    </xf>
    <xf numFmtId="43" fontId="12" fillId="0" borderId="1" xfId="2" applyFont="1" applyFill="1" applyBorder="1" applyAlignment="1">
      <alignment horizontal="left" vertical="top"/>
    </xf>
    <xf numFmtId="0" fontId="12" fillId="0" borderId="1" xfId="0" applyFont="1" applyBorder="1"/>
    <xf numFmtId="0" fontId="0" fillId="4" borderId="0" xfId="0" applyFill="1" applyAlignment="1">
      <alignment horizontal="center" vertical="center"/>
    </xf>
    <xf numFmtId="0" fontId="0" fillId="0" borderId="0" xfId="0" applyAlignment="1">
      <alignment horizontal="center"/>
    </xf>
    <xf numFmtId="0" fontId="0" fillId="0" borderId="1" xfId="0" applyBorder="1" applyAlignment="1">
      <alignment horizontal="center"/>
    </xf>
    <xf numFmtId="16" fontId="12" fillId="20" borderId="1" xfId="0" applyNumberFormat="1" applyFont="1" applyFill="1" applyBorder="1"/>
    <xf numFmtId="43" fontId="12" fillId="20" borderId="1" xfId="2" applyFont="1" applyFill="1" applyBorder="1" applyAlignment="1">
      <alignment horizontal="left" vertical="top" wrapText="1"/>
    </xf>
    <xf numFmtId="0" fontId="0" fillId="4" borderId="0" xfId="0" applyFill="1" applyAlignment="1">
      <alignment horizontal="center" vertical="center"/>
    </xf>
    <xf numFmtId="0" fontId="0" fillId="0" borderId="0" xfId="0" applyAlignment="1">
      <alignment horizontal="center"/>
    </xf>
    <xf numFmtId="0" fontId="0" fillId="0" borderId="1" xfId="0" applyBorder="1" applyAlignment="1">
      <alignment horizontal="center"/>
    </xf>
    <xf numFmtId="16" fontId="18" fillId="0" borderId="8" xfId="0" applyNumberFormat="1" applyFont="1" applyBorder="1"/>
    <xf numFmtId="16" fontId="18" fillId="0" borderId="8" xfId="0" applyNumberFormat="1" applyFont="1" applyBorder="1" applyAlignment="1">
      <alignment horizontal="center"/>
    </xf>
    <xf numFmtId="0" fontId="12" fillId="0" borderId="1" xfId="0" applyFont="1" applyBorder="1" applyAlignment="1">
      <alignment wrapText="1"/>
    </xf>
    <xf numFmtId="43" fontId="12" fillId="0" borderId="1" xfId="2" applyFont="1" applyFill="1" applyBorder="1" applyAlignment="1">
      <alignment horizontal="left" vertical="top"/>
    </xf>
    <xf numFmtId="0" fontId="12" fillId="0" borderId="1" xfId="0" applyFont="1" applyBorder="1"/>
    <xf numFmtId="16" fontId="12" fillId="20" borderId="1" xfId="0" applyNumberFormat="1" applyFont="1" applyFill="1" applyBorder="1"/>
    <xf numFmtId="16" fontId="12" fillId="0" borderId="1" xfId="0" applyNumberFormat="1" applyFont="1" applyBorder="1"/>
    <xf numFmtId="0" fontId="12" fillId="0" borderId="1" xfId="0" applyFont="1" applyBorder="1" applyAlignment="1">
      <alignment horizontal="left"/>
    </xf>
    <xf numFmtId="43" fontId="12" fillId="20" borderId="1" xfId="2" applyFont="1" applyFill="1" applyBorder="1"/>
    <xf numFmtId="0" fontId="12" fillId="3" borderId="1" xfId="0" applyFont="1" applyFill="1" applyBorder="1" applyAlignment="1">
      <alignment horizontal="center" vertical="center" wrapText="1"/>
    </xf>
    <xf numFmtId="43" fontId="11" fillId="0" borderId="1" xfId="2" applyFont="1" applyBorder="1" applyAlignment="1">
      <alignment horizontal="center"/>
    </xf>
    <xf numFmtId="43" fontId="12" fillId="0" borderId="1" xfId="2" applyFont="1" applyBorder="1"/>
    <xf numFmtId="43" fontId="12" fillId="20" borderId="1" xfId="2" applyFont="1" applyFill="1" applyBorder="1" applyAlignment="1">
      <alignment horizontal="left" vertical="top"/>
    </xf>
    <xf numFmtId="0" fontId="0" fillId="0" borderId="0" xfId="0" applyAlignment="1">
      <alignment horizontal="center"/>
    </xf>
    <xf numFmtId="0" fontId="0" fillId="0" borderId="1" xfId="0" applyBorder="1" applyAlignment="1">
      <alignment horizontal="center"/>
    </xf>
    <xf numFmtId="16" fontId="12" fillId="0" borderId="1" xfId="0" applyNumberFormat="1" applyFont="1" applyBorder="1"/>
    <xf numFmtId="0" fontId="12" fillId="0" borderId="1" xfId="0" applyFont="1" applyBorder="1"/>
    <xf numFmtId="0" fontId="12" fillId="9" borderId="1" xfId="0" applyFont="1" applyFill="1" applyBorder="1" applyAlignment="1">
      <alignment horizontal="center" vertical="center" wrapText="1"/>
    </xf>
    <xf numFmtId="16" fontId="12" fillId="20" borderId="1" xfId="0" applyNumberFormat="1" applyFont="1" applyFill="1" applyBorder="1"/>
    <xf numFmtId="43" fontId="22" fillId="24" borderId="1" xfId="2" applyFont="1" applyFill="1" applyBorder="1" applyAlignment="1">
      <alignment horizontal="center" vertical="center" wrapText="1"/>
    </xf>
    <xf numFmtId="12" fontId="23" fillId="24" borderId="1" xfId="2" applyNumberFormat="1" applyFont="1" applyFill="1" applyBorder="1" applyAlignment="1">
      <alignment horizontal="center" vertical="center" wrapText="1"/>
    </xf>
    <xf numFmtId="43" fontId="11" fillId="20" borderId="1" xfId="2" applyFont="1" applyFill="1" applyBorder="1" applyAlignment="1">
      <alignment horizontal="center" vertical="center" wrapText="1"/>
    </xf>
    <xf numFmtId="14" fontId="12" fillId="0" borderId="1" xfId="2" applyNumberFormat="1" applyFont="1" applyFill="1" applyBorder="1"/>
    <xf numFmtId="0" fontId="0" fillId="0" borderId="1" xfId="0" applyBorder="1" applyAlignment="1">
      <alignment horizontal="right"/>
    </xf>
    <xf numFmtId="16" fontId="12" fillId="20" borderId="1" xfId="0" applyNumberFormat="1" applyFont="1" applyFill="1" applyBorder="1"/>
    <xf numFmtId="16" fontId="12" fillId="0" borderId="1" xfId="0" applyNumberFormat="1" applyFont="1" applyBorder="1"/>
    <xf numFmtId="0" fontId="12" fillId="0" borderId="0" xfId="0" applyFont="1"/>
    <xf numFmtId="0" fontId="0" fillId="0" borderId="0" xfId="0" applyAlignment="1">
      <alignment horizontal="center"/>
    </xf>
    <xf numFmtId="0" fontId="0" fillId="0" borderId="1" xfId="0" applyBorder="1" applyAlignment="1">
      <alignment horizontal="center"/>
    </xf>
    <xf numFmtId="16" fontId="12" fillId="0" borderId="1" xfId="0" applyNumberFormat="1" applyFont="1" applyBorder="1"/>
    <xf numFmtId="0" fontId="12" fillId="3" borderId="1" xfId="0" applyFont="1" applyFill="1" applyBorder="1" applyAlignment="1">
      <alignment horizontal="center" vertical="center" wrapText="1"/>
    </xf>
    <xf numFmtId="16" fontId="12" fillId="20" borderId="1" xfId="0" applyNumberFormat="1" applyFont="1" applyFill="1" applyBorder="1"/>
    <xf numFmtId="0" fontId="12" fillId="0" borderId="1" xfId="0" applyFont="1" applyBorder="1"/>
    <xf numFmtId="0" fontId="12" fillId="3" borderId="5" xfId="0" applyFont="1" applyFill="1" applyBorder="1" applyAlignment="1">
      <alignment horizontal="center" vertical="center" wrapText="1"/>
    </xf>
    <xf numFmtId="43" fontId="12" fillId="16" borderId="0" xfId="2" applyFont="1" applyFill="1" applyBorder="1" applyAlignment="1">
      <alignment horizontal="left"/>
    </xf>
    <xf numFmtId="0" fontId="12" fillId="0" borderId="1" xfId="0" applyFont="1" applyBorder="1"/>
    <xf numFmtId="0" fontId="12" fillId="20" borderId="1" xfId="0" applyNumberFormat="1" applyFont="1" applyFill="1" applyBorder="1" applyAlignment="1">
      <alignment horizontal="center" vertical="center" wrapText="1"/>
    </xf>
    <xf numFmtId="0" fontId="12" fillId="0" borderId="0" xfId="0" applyFont="1"/>
    <xf numFmtId="0" fontId="0" fillId="0" borderId="0" xfId="0" applyAlignment="1">
      <alignment horizontal="center"/>
    </xf>
    <xf numFmtId="0" fontId="0" fillId="0" borderId="1" xfId="0" applyBorder="1" applyAlignment="1">
      <alignment horizontal="center"/>
    </xf>
    <xf numFmtId="0" fontId="0" fillId="0" borderId="0" xfId="0" applyAlignment="1">
      <alignment horizontal="center"/>
    </xf>
    <xf numFmtId="0" fontId="0" fillId="0" borderId="1" xfId="0" applyBorder="1" applyAlignment="1">
      <alignment horizontal="center"/>
    </xf>
    <xf numFmtId="0" fontId="12" fillId="20" borderId="5" xfId="0" applyNumberFormat="1" applyFont="1" applyFill="1" applyBorder="1" applyAlignment="1">
      <alignment horizontal="center" vertical="center" wrapText="1"/>
    </xf>
    <xf numFmtId="16" fontId="12" fillId="20" borderId="1" xfId="0" applyNumberFormat="1" applyFont="1" applyFill="1" applyBorder="1"/>
    <xf numFmtId="16" fontId="12" fillId="0" borderId="1" xfId="0" applyNumberFormat="1" applyFont="1" applyBorder="1"/>
    <xf numFmtId="0" fontId="12" fillId="0" borderId="1" xfId="0" applyFont="1" applyBorder="1"/>
    <xf numFmtId="0" fontId="12" fillId="3" borderId="1" xfId="0" applyFont="1" applyFill="1" applyBorder="1" applyAlignment="1">
      <alignment horizontal="center" vertical="center" wrapText="1"/>
    </xf>
    <xf numFmtId="14" fontId="12" fillId="0" borderId="1" xfId="2" applyNumberFormat="1" applyFont="1" applyFill="1" applyBorder="1"/>
    <xf numFmtId="0" fontId="0" fillId="0" borderId="0" xfId="0" applyAlignment="1">
      <alignment horizontal="center"/>
    </xf>
    <xf numFmtId="0" fontId="0" fillId="0" borderId="1" xfId="0" applyBorder="1" applyAlignment="1">
      <alignment horizontal="center"/>
    </xf>
    <xf numFmtId="16" fontId="12" fillId="20" borderId="1" xfId="0" applyNumberFormat="1" applyFont="1" applyFill="1" applyBorder="1"/>
    <xf numFmtId="0" fontId="0" fillId="0" borderId="0" xfId="0" applyAlignment="1">
      <alignment horizontal="center"/>
    </xf>
    <xf numFmtId="0" fontId="0" fillId="0" borderId="1" xfId="0" applyBorder="1" applyAlignment="1">
      <alignment horizontal="center"/>
    </xf>
    <xf numFmtId="16" fontId="12" fillId="20" borderId="1" xfId="0" applyNumberFormat="1" applyFont="1" applyFill="1" applyBorder="1"/>
    <xf numFmtId="16" fontId="12" fillId="0" borderId="1" xfId="0" applyNumberFormat="1" applyFont="1" applyBorder="1"/>
    <xf numFmtId="0" fontId="12" fillId="0" borderId="1" xfId="0" applyFont="1" applyBorder="1"/>
    <xf numFmtId="0" fontId="12" fillId="3" borderId="1" xfId="0" applyFont="1" applyFill="1" applyBorder="1" applyAlignment="1">
      <alignment horizontal="center" vertical="center"/>
    </xf>
    <xf numFmtId="0" fontId="12" fillId="3" borderId="1" xfId="0" applyNumberFormat="1" applyFont="1" applyFill="1" applyBorder="1" applyAlignment="1">
      <alignment horizontal="center" vertical="center" wrapText="1"/>
    </xf>
    <xf numFmtId="0" fontId="32" fillId="3" borderId="1" xfId="0" applyFont="1" applyFill="1" applyBorder="1" applyAlignment="1">
      <alignment horizontal="center" vertical="center" wrapText="1"/>
    </xf>
    <xf numFmtId="0" fontId="0" fillId="0" borderId="0" xfId="0" applyAlignment="1">
      <alignment horizontal="center"/>
    </xf>
    <xf numFmtId="0" fontId="0" fillId="0" borderId="1" xfId="0" applyBorder="1" applyAlignment="1">
      <alignment horizontal="center"/>
    </xf>
    <xf numFmtId="16" fontId="12" fillId="20" borderId="1" xfId="0" applyNumberFormat="1" applyFont="1" applyFill="1" applyBorder="1"/>
    <xf numFmtId="43" fontId="12" fillId="0" borderId="1" xfId="2" applyFont="1" applyBorder="1"/>
    <xf numFmtId="16" fontId="12" fillId="20" borderId="1" xfId="0" applyNumberFormat="1" applyFont="1" applyFill="1" applyBorder="1"/>
    <xf numFmtId="16" fontId="12" fillId="0" borderId="1" xfId="0" applyNumberFormat="1" applyFont="1" applyBorder="1"/>
    <xf numFmtId="0" fontId="12" fillId="20" borderId="1" xfId="0" applyFont="1" applyFill="1" applyBorder="1"/>
    <xf numFmtId="14" fontId="0" fillId="8" borderId="1" xfId="0" applyNumberFormat="1" applyFill="1" applyBorder="1" applyAlignment="1">
      <alignment horizontal="center"/>
    </xf>
    <xf numFmtId="0" fontId="12" fillId="8" borderId="1" xfId="0" applyFont="1" applyFill="1" applyBorder="1" applyAlignment="1">
      <alignment horizontal="center"/>
    </xf>
    <xf numFmtId="0" fontId="12" fillId="9" borderId="1" xfId="0" applyFont="1" applyFill="1" applyBorder="1" applyAlignment="1">
      <alignment horizontal="center" vertical="center" wrapText="1"/>
    </xf>
    <xf numFmtId="43" fontId="12" fillId="9" borderId="1" xfId="2" applyFont="1" applyFill="1" applyBorder="1" applyAlignment="1">
      <alignment horizontal="center" vertical="center" wrapText="1"/>
    </xf>
    <xf numFmtId="0" fontId="12" fillId="20" borderId="1" xfId="0" applyNumberFormat="1" applyFont="1" applyFill="1" applyBorder="1" applyAlignment="1">
      <alignment horizontal="center" vertical="center" wrapText="1"/>
    </xf>
    <xf numFmtId="0" fontId="12" fillId="0" borderId="1" xfId="0" applyFont="1" applyBorder="1"/>
    <xf numFmtId="0" fontId="12" fillId="3" borderId="1" xfId="0" applyFont="1" applyFill="1" applyBorder="1" applyAlignment="1">
      <alignment horizontal="center" vertical="center" wrapText="1"/>
    </xf>
    <xf numFmtId="43" fontId="12" fillId="3" borderId="1" xfId="2" applyFont="1" applyFill="1" applyBorder="1" applyAlignment="1">
      <alignment horizontal="center" vertical="center" wrapText="1"/>
    </xf>
    <xf numFmtId="0" fontId="12" fillId="3" borderId="5" xfId="0" applyNumberFormat="1" applyFont="1" applyFill="1" applyBorder="1" applyAlignment="1">
      <alignment horizontal="center" vertical="center" wrapText="1"/>
    </xf>
    <xf numFmtId="43" fontId="12" fillId="20" borderId="1" xfId="2" applyFont="1" applyFill="1" applyBorder="1"/>
    <xf numFmtId="43" fontId="22" fillId="0" borderId="1" xfId="2" applyFont="1" applyBorder="1" applyAlignment="1">
      <alignment horizontal="center" vertical="center" wrapText="1"/>
    </xf>
    <xf numFmtId="12" fontId="23" fillId="0" borderId="1" xfId="2" applyNumberFormat="1" applyFont="1" applyBorder="1" applyAlignment="1">
      <alignment horizontal="center" vertical="center" wrapText="1"/>
    </xf>
    <xf numFmtId="43" fontId="23" fillId="0" borderId="1" xfId="2" applyFont="1" applyBorder="1" applyAlignment="1">
      <alignment horizontal="center" vertical="center" wrapText="1"/>
    </xf>
    <xf numFmtId="12" fontId="11" fillId="0" borderId="1" xfId="2" applyNumberFormat="1" applyFont="1" applyBorder="1" applyAlignment="1">
      <alignment horizontal="center" vertical="center" wrapText="1"/>
    </xf>
    <xf numFmtId="0" fontId="0" fillId="0" borderId="1" xfId="0" applyNumberFormat="1" applyBorder="1" applyAlignment="1">
      <alignment horizontal="center" vertical="center" wrapText="1"/>
    </xf>
    <xf numFmtId="0" fontId="0" fillId="0" borderId="0" xfId="0" applyAlignment="1">
      <alignment horizontal="center"/>
    </xf>
    <xf numFmtId="0" fontId="0" fillId="0" borderId="1" xfId="0" applyBorder="1" applyAlignment="1">
      <alignment horizontal="center"/>
    </xf>
    <xf numFmtId="0" fontId="0" fillId="0" borderId="0" xfId="0" applyAlignment="1">
      <alignment horizontal="center"/>
    </xf>
    <xf numFmtId="0" fontId="0" fillId="0" borderId="1" xfId="0" applyBorder="1" applyAlignment="1">
      <alignment horizontal="center"/>
    </xf>
    <xf numFmtId="0" fontId="24" fillId="2" borderId="1" xfId="0" applyFont="1" applyFill="1" applyBorder="1" applyAlignment="1">
      <alignment horizontal="center" vertical="center" wrapText="1"/>
    </xf>
    <xf numFmtId="43" fontId="12" fillId="9" borderId="1" xfId="2" applyFont="1" applyFill="1" applyBorder="1" applyAlignment="1">
      <alignment horizontal="center" vertical="center" wrapText="1"/>
    </xf>
    <xf numFmtId="0" fontId="12" fillId="20" borderId="1" xfId="0" applyNumberFormat="1" applyFont="1" applyFill="1" applyBorder="1" applyAlignment="1">
      <alignment horizontal="center" vertical="center" wrapText="1"/>
    </xf>
    <xf numFmtId="16" fontId="12" fillId="20" borderId="1" xfId="0" applyNumberFormat="1" applyFont="1" applyFill="1" applyBorder="1"/>
    <xf numFmtId="12" fontId="0" fillId="0" borderId="0" xfId="0" applyNumberFormat="1"/>
    <xf numFmtId="0" fontId="12" fillId="0" borderId="0" xfId="0" applyFont="1"/>
    <xf numFmtId="16" fontId="12" fillId="0" borderId="1" xfId="0" applyNumberFormat="1" applyFont="1" applyBorder="1"/>
    <xf numFmtId="43" fontId="12" fillId="0" borderId="1" xfId="2" applyFont="1" applyBorder="1"/>
    <xf numFmtId="0" fontId="12" fillId="0" borderId="1" xfId="0" applyFont="1" applyBorder="1" applyAlignment="1">
      <alignment wrapText="1"/>
    </xf>
    <xf numFmtId="0" fontId="12" fillId="0" borderId="1" xfId="0" applyFont="1" applyBorder="1"/>
    <xf numFmtId="0" fontId="12" fillId="20" borderId="5" xfId="0" applyNumberFormat="1" applyFont="1" applyFill="1" applyBorder="1" applyAlignment="1">
      <alignment horizontal="center" vertical="center" wrapText="1"/>
    </xf>
    <xf numFmtId="0" fontId="0" fillId="0" borderId="0" xfId="0" applyAlignment="1">
      <alignment horizontal="center"/>
    </xf>
    <xf numFmtId="0" fontId="0" fillId="0" borderId="1" xfId="0" applyBorder="1" applyAlignment="1">
      <alignment horizontal="center"/>
    </xf>
    <xf numFmtId="43" fontId="12" fillId="0" borderId="1" xfId="2" applyFont="1" applyBorder="1"/>
    <xf numFmtId="16" fontId="12" fillId="0" borderId="1" xfId="0" applyNumberFormat="1" applyFont="1" applyBorder="1"/>
    <xf numFmtId="0" fontId="12" fillId="0" borderId="1" xfId="0" applyFont="1" applyBorder="1"/>
    <xf numFmtId="16" fontId="12" fillId="20" borderId="1" xfId="0" applyNumberFormat="1" applyFont="1" applyFill="1" applyBorder="1"/>
    <xf numFmtId="0" fontId="0" fillId="0" borderId="0" xfId="0" applyAlignment="1">
      <alignment horizontal="center"/>
    </xf>
    <xf numFmtId="0" fontId="0" fillId="0" borderId="1" xfId="0" applyBorder="1" applyAlignment="1">
      <alignment horizontal="center"/>
    </xf>
    <xf numFmtId="43" fontId="12" fillId="0" borderId="1" xfId="2" applyFont="1" applyBorder="1"/>
    <xf numFmtId="16" fontId="12" fillId="20" borderId="1" xfId="0" applyNumberFormat="1" applyFont="1" applyFill="1" applyBorder="1"/>
    <xf numFmtId="0" fontId="12" fillId="0" borderId="1" xfId="0" applyFont="1" applyBorder="1"/>
    <xf numFmtId="0" fontId="0" fillId="0" borderId="0" xfId="0" applyAlignment="1">
      <alignment horizontal="center"/>
    </xf>
    <xf numFmtId="0" fontId="0" fillId="0" borderId="1" xfId="0" applyBorder="1" applyAlignment="1">
      <alignment horizontal="center"/>
    </xf>
    <xf numFmtId="16" fontId="12" fillId="20" borderId="1" xfId="0" applyNumberFormat="1" applyFont="1" applyFill="1" applyBorder="1"/>
    <xf numFmtId="16" fontId="12" fillId="0" borderId="1" xfId="0" applyNumberFormat="1" applyFont="1" applyBorder="1"/>
    <xf numFmtId="43" fontId="12" fillId="0" borderId="1" xfId="2" applyFont="1" applyBorder="1"/>
    <xf numFmtId="14" fontId="12" fillId="0" borderId="1" xfId="2" applyNumberFormat="1" applyFont="1" applyFill="1" applyBorder="1"/>
    <xf numFmtId="43" fontId="12" fillId="20" borderId="1" xfId="2" applyFont="1" applyFill="1" applyBorder="1"/>
    <xf numFmtId="0" fontId="12" fillId="0" borderId="1" xfId="0" applyFont="1" applyBorder="1"/>
    <xf numFmtId="0" fontId="12" fillId="13" borderId="1" xfId="0" applyFont="1" applyFill="1" applyBorder="1"/>
    <xf numFmtId="0" fontId="0" fillId="0" borderId="0" xfId="0" applyAlignment="1">
      <alignment horizontal="center"/>
    </xf>
    <xf numFmtId="0" fontId="0" fillId="0" borderId="1" xfId="0" applyBorder="1" applyAlignment="1">
      <alignment horizontal="center"/>
    </xf>
    <xf numFmtId="43" fontId="12" fillId="0" borderId="1" xfId="2" applyFont="1" applyBorder="1"/>
    <xf numFmtId="16" fontId="12" fillId="0" borderId="1" xfId="0" applyNumberFormat="1" applyFont="1" applyBorder="1"/>
    <xf numFmtId="16" fontId="12" fillId="20" borderId="1" xfId="0" applyNumberFormat="1" applyFont="1" applyFill="1" applyBorder="1"/>
    <xf numFmtId="0" fontId="12" fillId="0" borderId="1" xfId="0" applyFont="1" applyBorder="1"/>
    <xf numFmtId="43" fontId="12" fillId="20" borderId="1" xfId="2" applyFont="1" applyFill="1" applyBorder="1"/>
    <xf numFmtId="0" fontId="12" fillId="13" borderId="1" xfId="0" applyFont="1" applyFill="1" applyBorder="1"/>
    <xf numFmtId="0" fontId="0" fillId="0" borderId="0" xfId="0" applyAlignment="1">
      <alignment horizontal="center"/>
    </xf>
    <xf numFmtId="0" fontId="0" fillId="0" borderId="1" xfId="0" applyBorder="1" applyAlignment="1">
      <alignment horizontal="center"/>
    </xf>
    <xf numFmtId="43" fontId="12" fillId="0" borderId="1" xfId="2" applyFont="1" applyBorder="1"/>
    <xf numFmtId="16" fontId="12" fillId="0" borderId="1" xfId="0" applyNumberFormat="1" applyFont="1" applyBorder="1"/>
    <xf numFmtId="14" fontId="12" fillId="0" borderId="1" xfId="2" applyNumberFormat="1" applyFont="1" applyFill="1" applyBorder="1"/>
    <xf numFmtId="0" fontId="12" fillId="0" borderId="1" xfId="0" applyFont="1" applyBorder="1"/>
    <xf numFmtId="0" fontId="0" fillId="0" borderId="0" xfId="0" applyAlignment="1">
      <alignment horizontal="center"/>
    </xf>
    <xf numFmtId="0" fontId="0" fillId="0" borderId="1" xfId="0" applyBorder="1" applyAlignment="1">
      <alignment horizontal="center"/>
    </xf>
    <xf numFmtId="43" fontId="12" fillId="0" borderId="1" xfId="2" applyFont="1" applyBorder="1"/>
    <xf numFmtId="16" fontId="12" fillId="0" borderId="1" xfId="0" applyNumberFormat="1" applyFont="1" applyBorder="1"/>
    <xf numFmtId="0" fontId="12" fillId="0" borderId="1" xfId="0" applyFont="1" applyBorder="1"/>
    <xf numFmtId="16" fontId="12" fillId="20" borderId="1" xfId="0" applyNumberFormat="1" applyFont="1" applyFill="1" applyBorder="1"/>
    <xf numFmtId="0" fontId="0" fillId="0" borderId="0" xfId="0" applyAlignment="1">
      <alignment horizontal="center"/>
    </xf>
    <xf numFmtId="0" fontId="0" fillId="0" borderId="1" xfId="0" applyBorder="1" applyAlignment="1">
      <alignment horizontal="center"/>
    </xf>
    <xf numFmtId="0" fontId="12" fillId="0" borderId="1" xfId="0" applyFont="1" applyBorder="1"/>
    <xf numFmtId="43" fontId="12" fillId="0" borderId="1" xfId="2" applyFont="1" applyBorder="1"/>
    <xf numFmtId="16" fontId="12" fillId="0" borderId="1" xfId="0" applyNumberFormat="1" applyFont="1" applyBorder="1"/>
    <xf numFmtId="0" fontId="0" fillId="0" borderId="0" xfId="0" applyAlignment="1">
      <alignment horizontal="center"/>
    </xf>
    <xf numFmtId="0" fontId="0" fillId="0" borderId="1" xfId="0" applyBorder="1" applyAlignment="1">
      <alignment horizontal="center"/>
    </xf>
    <xf numFmtId="43" fontId="12" fillId="0" borderId="1" xfId="2" applyFont="1" applyBorder="1"/>
    <xf numFmtId="16" fontId="12" fillId="0" borderId="1" xfId="0" applyNumberFormat="1" applyFont="1" applyBorder="1"/>
    <xf numFmtId="0" fontId="12" fillId="0" borderId="1" xfId="0" applyFont="1" applyBorder="1"/>
    <xf numFmtId="0" fontId="0" fillId="0" borderId="0" xfId="0" applyAlignment="1">
      <alignment horizontal="center"/>
    </xf>
    <xf numFmtId="0" fontId="0" fillId="0" borderId="1" xfId="0" applyBorder="1" applyAlignment="1">
      <alignment horizontal="center"/>
    </xf>
    <xf numFmtId="43" fontId="12" fillId="0" borderId="1" xfId="2" applyFont="1" applyBorder="1"/>
    <xf numFmtId="16" fontId="12" fillId="0" borderId="1" xfId="0" applyNumberFormat="1" applyFont="1" applyBorder="1"/>
    <xf numFmtId="0" fontId="12" fillId="0" borderId="1" xfId="0" applyFont="1" applyBorder="1"/>
    <xf numFmtId="0" fontId="0" fillId="0" borderId="0" xfId="0" applyAlignment="1">
      <alignment horizontal="center"/>
    </xf>
    <xf numFmtId="0" fontId="0" fillId="0" borderId="1" xfId="0" applyBorder="1" applyAlignment="1">
      <alignment horizontal="center"/>
    </xf>
    <xf numFmtId="43" fontId="12" fillId="0" borderId="1" xfId="2" applyFont="1" applyBorder="1"/>
    <xf numFmtId="16" fontId="12" fillId="0" borderId="1" xfId="0" applyNumberFormat="1" applyFont="1" applyBorder="1"/>
    <xf numFmtId="0" fontId="12" fillId="0" borderId="1" xfId="0" applyFont="1" applyBorder="1"/>
    <xf numFmtId="0" fontId="0" fillId="0" borderId="0" xfId="0" applyAlignment="1">
      <alignment horizontal="center"/>
    </xf>
    <xf numFmtId="0" fontId="0" fillId="0" borderId="1" xfId="0" applyBorder="1" applyAlignment="1">
      <alignment horizontal="center"/>
    </xf>
    <xf numFmtId="43" fontId="12" fillId="0" borderId="1" xfId="2" applyFont="1" applyBorder="1"/>
    <xf numFmtId="16" fontId="12" fillId="0" borderId="1" xfId="0" applyNumberFormat="1" applyFont="1" applyBorder="1"/>
    <xf numFmtId="0" fontId="12" fillId="0" borderId="1" xfId="0" applyFont="1" applyBorder="1"/>
    <xf numFmtId="0" fontId="0" fillId="0" borderId="0" xfId="0" applyAlignment="1">
      <alignment horizontal="center"/>
    </xf>
    <xf numFmtId="0" fontId="0" fillId="0" borderId="1" xfId="0" applyBorder="1" applyAlignment="1">
      <alignment horizontal="center"/>
    </xf>
    <xf numFmtId="43" fontId="12" fillId="0" borderId="1" xfId="2" applyFont="1" applyBorder="1"/>
    <xf numFmtId="16" fontId="12" fillId="0" borderId="1" xfId="0" applyNumberFormat="1" applyFont="1" applyBorder="1"/>
    <xf numFmtId="0" fontId="12" fillId="0" borderId="1" xfId="0" applyFont="1" applyBorder="1"/>
    <xf numFmtId="0" fontId="0" fillId="0" borderId="0" xfId="0" applyAlignment="1">
      <alignment horizontal="center"/>
    </xf>
    <xf numFmtId="0" fontId="0" fillId="0" borderId="1" xfId="0" applyBorder="1" applyAlignment="1">
      <alignment horizontal="center"/>
    </xf>
    <xf numFmtId="16" fontId="12" fillId="20" borderId="1" xfId="0" applyNumberFormat="1" applyFont="1" applyFill="1" applyBorder="1"/>
    <xf numFmtId="43" fontId="12" fillId="0" borderId="1" xfId="2" applyFont="1" applyBorder="1"/>
    <xf numFmtId="16" fontId="12" fillId="0" borderId="1" xfId="0" applyNumberFormat="1" applyFont="1" applyBorder="1"/>
    <xf numFmtId="0" fontId="12" fillId="0" borderId="1" xfId="0" applyFont="1" applyBorder="1"/>
    <xf numFmtId="0" fontId="0" fillId="0" borderId="0" xfId="0" applyAlignment="1">
      <alignment horizontal="center"/>
    </xf>
    <xf numFmtId="0" fontId="0" fillId="0" borderId="1" xfId="0" applyBorder="1" applyAlignment="1">
      <alignment horizontal="center"/>
    </xf>
    <xf numFmtId="43" fontId="12" fillId="0" borderId="1" xfId="2" applyFont="1" applyBorder="1"/>
    <xf numFmtId="16" fontId="12" fillId="0" borderId="1" xfId="0" applyNumberFormat="1" applyFont="1" applyBorder="1"/>
    <xf numFmtId="0" fontId="12" fillId="0" borderId="1" xfId="0" applyFont="1" applyBorder="1"/>
    <xf numFmtId="0" fontId="0" fillId="0" borderId="0" xfId="0" applyAlignment="1">
      <alignment horizontal="center"/>
    </xf>
    <xf numFmtId="0" fontId="0" fillId="0" borderId="1" xfId="0" applyBorder="1" applyAlignment="1">
      <alignment horizontal="center"/>
    </xf>
    <xf numFmtId="43" fontId="12" fillId="0" borderId="1" xfId="2" applyFont="1" applyBorder="1"/>
    <xf numFmtId="16" fontId="12" fillId="0" borderId="1" xfId="0" applyNumberFormat="1" applyFont="1" applyBorder="1"/>
    <xf numFmtId="0" fontId="12" fillId="0" borderId="1" xfId="0" applyFont="1" applyBorder="1"/>
    <xf numFmtId="0" fontId="0" fillId="0" borderId="0" xfId="0" applyAlignment="1">
      <alignment horizontal="center"/>
    </xf>
    <xf numFmtId="0" fontId="0" fillId="0" borderId="1" xfId="0" applyBorder="1" applyAlignment="1">
      <alignment horizontal="center"/>
    </xf>
    <xf numFmtId="43" fontId="12" fillId="0" borderId="1" xfId="2" applyFont="1" applyBorder="1"/>
    <xf numFmtId="16" fontId="12" fillId="0" borderId="1" xfId="0" applyNumberFormat="1" applyFont="1" applyBorder="1"/>
    <xf numFmtId="0" fontId="12" fillId="0" borderId="1" xfId="0" applyFont="1" applyBorder="1"/>
    <xf numFmtId="0" fontId="0" fillId="0" borderId="0" xfId="0" applyAlignment="1">
      <alignment horizontal="center"/>
    </xf>
    <xf numFmtId="0" fontId="0" fillId="0" borderId="1" xfId="0" applyBorder="1" applyAlignment="1">
      <alignment horizontal="center"/>
    </xf>
    <xf numFmtId="16" fontId="12" fillId="0" borderId="1" xfId="0" applyNumberFormat="1" applyFont="1" applyBorder="1"/>
    <xf numFmtId="0" fontId="12" fillId="0" borderId="1" xfId="0" applyFont="1" applyBorder="1"/>
    <xf numFmtId="43" fontId="12" fillId="0" borderId="1" xfId="2" applyFont="1" applyBorder="1"/>
    <xf numFmtId="16" fontId="12" fillId="20" borderId="1" xfId="0" applyNumberFormat="1" applyFont="1" applyFill="1" applyBorder="1"/>
    <xf numFmtId="0" fontId="0" fillId="0" borderId="0" xfId="0" applyAlignment="1">
      <alignment horizontal="center"/>
    </xf>
    <xf numFmtId="0" fontId="0" fillId="0" borderId="1" xfId="0" applyBorder="1" applyAlignment="1">
      <alignment horizontal="center"/>
    </xf>
    <xf numFmtId="43" fontId="12" fillId="0" borderId="1" xfId="2" applyFont="1" applyBorder="1"/>
    <xf numFmtId="16" fontId="12" fillId="0" borderId="1" xfId="0" applyNumberFormat="1" applyFont="1" applyBorder="1"/>
    <xf numFmtId="0" fontId="12" fillId="0" borderId="1" xfId="0" applyFont="1" applyBorder="1"/>
    <xf numFmtId="0" fontId="0" fillId="0" borderId="0" xfId="0" applyAlignment="1">
      <alignment horizontal="center"/>
    </xf>
    <xf numFmtId="0" fontId="0" fillId="0" borderId="1" xfId="0" applyBorder="1" applyAlignment="1">
      <alignment horizontal="center"/>
    </xf>
    <xf numFmtId="43" fontId="12" fillId="0" borderId="1" xfId="2" applyFont="1" applyBorder="1"/>
    <xf numFmtId="14" fontId="12" fillId="0" borderId="1" xfId="2" applyNumberFormat="1" applyFont="1" applyFill="1" applyBorder="1"/>
    <xf numFmtId="0" fontId="12" fillId="0" borderId="1" xfId="0" applyFont="1" applyBorder="1"/>
    <xf numFmtId="0" fontId="0" fillId="0" borderId="0" xfId="0" applyAlignment="1">
      <alignment horizontal="center"/>
    </xf>
    <xf numFmtId="0" fontId="0" fillId="0" borderId="1" xfId="0" applyBorder="1" applyAlignment="1">
      <alignment horizontal="center"/>
    </xf>
    <xf numFmtId="14" fontId="12" fillId="0" borderId="1" xfId="2" applyNumberFormat="1" applyFont="1" applyFill="1" applyBorder="1"/>
    <xf numFmtId="43" fontId="12" fillId="0" borderId="1" xfId="2" applyFont="1" applyBorder="1"/>
    <xf numFmtId="0" fontId="12" fillId="0" borderId="1" xfId="0" applyFont="1" applyBorder="1"/>
    <xf numFmtId="16" fontId="12" fillId="20" borderId="1" xfId="0" applyNumberFormat="1" applyFont="1" applyFill="1" applyBorder="1"/>
    <xf numFmtId="16" fontId="12" fillId="0" borderId="1" xfId="0" applyNumberFormat="1" applyFont="1" applyBorder="1"/>
    <xf numFmtId="0" fontId="0" fillId="0" borderId="0" xfId="0" applyAlignment="1">
      <alignment horizontal="center"/>
    </xf>
    <xf numFmtId="0" fontId="0" fillId="0" borderId="1" xfId="0" applyBorder="1" applyAlignment="1">
      <alignment horizontal="center"/>
    </xf>
    <xf numFmtId="43" fontId="12" fillId="0" borderId="1" xfId="2" applyFont="1" applyBorder="1"/>
    <xf numFmtId="14" fontId="12" fillId="0" borderId="1" xfId="2" applyNumberFormat="1" applyFont="1" applyFill="1" applyBorder="1"/>
    <xf numFmtId="0" fontId="12" fillId="0" borderId="1" xfId="0" applyFont="1" applyBorder="1"/>
    <xf numFmtId="43" fontId="12" fillId="20" borderId="1" xfId="2" applyFont="1" applyFill="1" applyBorder="1"/>
    <xf numFmtId="16" fontId="12" fillId="20" borderId="1" xfId="0" applyNumberFormat="1" applyFont="1" applyFill="1" applyBorder="1"/>
    <xf numFmtId="0" fontId="12" fillId="13" borderId="1" xfId="0" applyFont="1" applyFill="1" applyBorder="1"/>
    <xf numFmtId="0" fontId="0" fillId="0" borderId="0" xfId="0" applyAlignment="1">
      <alignment horizontal="center"/>
    </xf>
    <xf numFmtId="0" fontId="0" fillId="0" borderId="1" xfId="0" applyBorder="1" applyAlignment="1">
      <alignment horizontal="center"/>
    </xf>
    <xf numFmtId="43" fontId="12" fillId="0" borderId="1" xfId="2" applyFont="1" applyBorder="1"/>
    <xf numFmtId="14" fontId="12" fillId="0" borderId="1" xfId="2" applyNumberFormat="1" applyFont="1" applyFill="1" applyBorder="1"/>
    <xf numFmtId="0" fontId="12" fillId="0" borderId="1" xfId="0" applyFont="1" applyBorder="1"/>
    <xf numFmtId="43" fontId="12" fillId="0" borderId="1" xfId="2" applyFont="1" applyFill="1" applyBorder="1"/>
    <xf numFmtId="0" fontId="12" fillId="0" borderId="1" xfId="0" applyFont="1" applyFill="1" applyBorder="1"/>
    <xf numFmtId="43" fontId="12" fillId="0" borderId="1" xfId="2" applyFont="1" applyFill="1" applyBorder="1"/>
    <xf numFmtId="0" fontId="12" fillId="0" borderId="1" xfId="0" applyFont="1" applyFill="1" applyBorder="1"/>
    <xf numFmtId="16" fontId="12" fillId="0" borderId="1" xfId="0" applyNumberFormat="1" applyFont="1" applyBorder="1"/>
    <xf numFmtId="0" fontId="0" fillId="0" borderId="0" xfId="0" applyAlignment="1">
      <alignment horizontal="center"/>
    </xf>
    <xf numFmtId="0" fontId="0" fillId="0" borderId="1" xfId="0" applyBorder="1" applyAlignment="1">
      <alignment horizontal="center"/>
    </xf>
    <xf numFmtId="43" fontId="12" fillId="0" borderId="1" xfId="2" applyFont="1" applyFill="1" applyBorder="1"/>
    <xf numFmtId="16" fontId="12" fillId="20" borderId="1" xfId="0" applyNumberFormat="1" applyFont="1" applyFill="1" applyBorder="1"/>
    <xf numFmtId="0" fontId="12" fillId="0" borderId="1" xfId="0" applyFont="1" applyFill="1" applyBorder="1"/>
    <xf numFmtId="0" fontId="12" fillId="0" borderId="1" xfId="0" applyFont="1" applyBorder="1"/>
    <xf numFmtId="0" fontId="0" fillId="0" borderId="0" xfId="0" applyAlignment="1">
      <alignment horizontal="center"/>
    </xf>
    <xf numFmtId="0" fontId="0" fillId="0" borderId="1" xfId="0" applyBorder="1" applyAlignment="1">
      <alignment horizontal="center"/>
    </xf>
    <xf numFmtId="0" fontId="12" fillId="0" borderId="1" xfId="0" applyFont="1" applyBorder="1"/>
    <xf numFmtId="0" fontId="0" fillId="0" borderId="0" xfId="0" applyAlignment="1">
      <alignment horizontal="center"/>
    </xf>
    <xf numFmtId="0" fontId="0" fillId="0" borderId="1" xfId="0" applyBorder="1" applyAlignment="1">
      <alignment horizontal="center"/>
    </xf>
    <xf numFmtId="14" fontId="12" fillId="0" borderId="1" xfId="2" applyNumberFormat="1" applyFont="1" applyFill="1" applyBorder="1"/>
    <xf numFmtId="0" fontId="12" fillId="0" borderId="1" xfId="0" applyFont="1" applyBorder="1"/>
    <xf numFmtId="43" fontId="12" fillId="0" borderId="1" xfId="2" applyFont="1" applyBorder="1"/>
    <xf numFmtId="43" fontId="12" fillId="0" borderId="1" xfId="2" applyFont="1" applyFill="1" applyBorder="1"/>
    <xf numFmtId="0" fontId="12" fillId="0" borderId="1" xfId="0" applyFont="1" applyFill="1" applyBorder="1"/>
    <xf numFmtId="16" fontId="12" fillId="20" borderId="1" xfId="0" applyNumberFormat="1" applyFont="1" applyFill="1" applyBorder="1"/>
    <xf numFmtId="0" fontId="0" fillId="0" borderId="0" xfId="0" applyAlignment="1">
      <alignment horizontal="center"/>
    </xf>
    <xf numFmtId="0" fontId="0" fillId="0" borderId="1" xfId="0" applyBorder="1" applyAlignment="1">
      <alignment horizontal="center"/>
    </xf>
    <xf numFmtId="43" fontId="12" fillId="0" borderId="1" xfId="2" applyFont="1" applyBorder="1"/>
    <xf numFmtId="0" fontId="12" fillId="0" borderId="1" xfId="0" applyFont="1" applyFill="1" applyBorder="1"/>
    <xf numFmtId="0" fontId="12" fillId="0" borderId="1" xfId="0" applyFont="1" applyBorder="1"/>
    <xf numFmtId="43" fontId="12" fillId="0" borderId="1" xfId="2" applyFont="1" applyFill="1" applyBorder="1"/>
    <xf numFmtId="16" fontId="12" fillId="20" borderId="1" xfId="0" applyNumberFormat="1" applyFont="1" applyFill="1" applyBorder="1"/>
    <xf numFmtId="0" fontId="0" fillId="0" borderId="0" xfId="0" applyAlignment="1">
      <alignment horizontal="center"/>
    </xf>
    <xf numFmtId="0" fontId="0" fillId="0" borderId="1" xfId="0" applyBorder="1" applyAlignment="1">
      <alignment horizontal="center"/>
    </xf>
    <xf numFmtId="16" fontId="12" fillId="20" borderId="1" xfId="0" applyNumberFormat="1" applyFont="1" applyFill="1" applyBorder="1"/>
    <xf numFmtId="43" fontId="12" fillId="0" borderId="1" xfId="2" applyFont="1" applyBorder="1"/>
    <xf numFmtId="0" fontId="12" fillId="0" borderId="1" xfId="0" applyFont="1" applyBorder="1"/>
    <xf numFmtId="43" fontId="12" fillId="0" borderId="1" xfId="2" applyFont="1" applyFill="1" applyBorder="1"/>
    <xf numFmtId="0" fontId="12" fillId="0" borderId="1" xfId="0" applyFont="1" applyFill="1" applyBorder="1"/>
    <xf numFmtId="0" fontId="0" fillId="0" borderId="0" xfId="0" applyAlignment="1">
      <alignment horizontal="center"/>
    </xf>
    <xf numFmtId="0" fontId="0" fillId="0" borderId="1" xfId="0" applyBorder="1" applyAlignment="1">
      <alignment horizontal="center"/>
    </xf>
    <xf numFmtId="43" fontId="12" fillId="0" borderId="1" xfId="2" applyFont="1" applyBorder="1"/>
    <xf numFmtId="43" fontId="12" fillId="0" borderId="1" xfId="2" applyFont="1" applyFill="1" applyBorder="1"/>
    <xf numFmtId="0" fontId="12" fillId="0" borderId="1" xfId="0" applyFont="1" applyFill="1" applyBorder="1"/>
    <xf numFmtId="0" fontId="12" fillId="0" borderId="1" xfId="0" applyFont="1" applyBorder="1"/>
    <xf numFmtId="0" fontId="0" fillId="0" borderId="0" xfId="0" applyAlignment="1">
      <alignment horizontal="center"/>
    </xf>
    <xf numFmtId="0" fontId="0" fillId="0" borderId="1" xfId="0" applyBorder="1" applyAlignment="1">
      <alignment horizontal="center"/>
    </xf>
    <xf numFmtId="43" fontId="12" fillId="0" borderId="1" xfId="2" applyFont="1" applyFill="1" applyBorder="1"/>
    <xf numFmtId="0" fontId="12" fillId="0" borderId="1" xfId="0" applyFont="1" applyBorder="1"/>
    <xf numFmtId="43" fontId="12" fillId="0" borderId="1" xfId="2" applyFont="1" applyBorder="1"/>
    <xf numFmtId="0" fontId="12" fillId="0" borderId="1" xfId="0" applyFont="1" applyFill="1" applyBorder="1"/>
    <xf numFmtId="0" fontId="0" fillId="0" borderId="0" xfId="0" applyAlignment="1">
      <alignment horizontal="center"/>
    </xf>
    <xf numFmtId="0" fontId="0" fillId="0" borderId="1" xfId="0" applyBorder="1" applyAlignment="1">
      <alignment horizontal="center"/>
    </xf>
    <xf numFmtId="43" fontId="12" fillId="0" borderId="1" xfId="2" applyFont="1" applyFill="1" applyBorder="1"/>
    <xf numFmtId="43" fontId="12" fillId="0" borderId="1" xfId="2" applyFont="1" applyBorder="1"/>
    <xf numFmtId="0" fontId="12" fillId="0" borderId="1" xfId="0" applyFont="1" applyBorder="1"/>
    <xf numFmtId="0" fontId="12" fillId="0" borderId="1" xfId="0" applyFont="1" applyFill="1" applyBorder="1"/>
    <xf numFmtId="0" fontId="0" fillId="0" borderId="0" xfId="0" applyAlignment="1">
      <alignment horizontal="center"/>
    </xf>
    <xf numFmtId="0" fontId="0" fillId="0" borderId="1" xfId="0" applyBorder="1" applyAlignment="1">
      <alignment horizontal="center"/>
    </xf>
    <xf numFmtId="43" fontId="12" fillId="0" borderId="1" xfId="2" applyFont="1" applyFill="1" applyBorder="1"/>
    <xf numFmtId="43" fontId="12" fillId="0" borderId="1" xfId="2" applyFont="1" applyBorder="1"/>
    <xf numFmtId="0" fontId="12" fillId="0" borderId="1" xfId="0" applyFont="1" applyBorder="1"/>
    <xf numFmtId="0" fontId="12" fillId="0" borderId="1" xfId="0" applyFont="1" applyFill="1" applyBorder="1"/>
    <xf numFmtId="14" fontId="12" fillId="0" borderId="1" xfId="2" applyNumberFormat="1" applyFont="1" applyFill="1" applyBorder="1"/>
    <xf numFmtId="0" fontId="0" fillId="0" borderId="0" xfId="0" applyAlignment="1">
      <alignment horizontal="center"/>
    </xf>
    <xf numFmtId="0" fontId="0" fillId="0" borderId="1" xfId="0" applyBorder="1" applyAlignment="1">
      <alignment horizontal="center"/>
    </xf>
    <xf numFmtId="43" fontId="12" fillId="0" borderId="1" xfId="2" applyFont="1" applyFill="1" applyBorder="1"/>
    <xf numFmtId="43" fontId="12" fillId="0" borderId="1" xfId="2" applyFont="1" applyBorder="1"/>
    <xf numFmtId="0" fontId="0" fillId="0" borderId="0" xfId="0" applyAlignment="1">
      <alignment horizontal="center"/>
    </xf>
    <xf numFmtId="0" fontId="0" fillId="0" borderId="1" xfId="0" applyBorder="1" applyAlignment="1">
      <alignment horizontal="center"/>
    </xf>
    <xf numFmtId="43" fontId="12" fillId="0" borderId="1" xfId="2" applyFont="1" applyFill="1" applyBorder="1"/>
    <xf numFmtId="43" fontId="12" fillId="0" borderId="1" xfId="2" applyFont="1" applyBorder="1"/>
    <xf numFmtId="0" fontId="12" fillId="0" borderId="1" xfId="0" applyFont="1" applyFill="1" applyBorder="1"/>
    <xf numFmtId="0" fontId="0" fillId="0" borderId="0" xfId="0" applyAlignment="1">
      <alignment horizontal="center"/>
    </xf>
    <xf numFmtId="0" fontId="0" fillId="0" borderId="1" xfId="0" applyBorder="1" applyAlignment="1">
      <alignment horizontal="center"/>
    </xf>
    <xf numFmtId="43" fontId="12" fillId="0" borderId="1" xfId="2" applyFont="1" applyFill="1" applyBorder="1"/>
    <xf numFmtId="43" fontId="12" fillId="0" borderId="1" xfId="2" applyFont="1" applyBorder="1"/>
    <xf numFmtId="0" fontId="0" fillId="0" borderId="0" xfId="0" applyAlignment="1">
      <alignment horizontal="center"/>
    </xf>
    <xf numFmtId="0" fontId="0" fillId="0" borderId="1" xfId="0" applyBorder="1" applyAlignment="1">
      <alignment horizontal="center"/>
    </xf>
    <xf numFmtId="43" fontId="12" fillId="0" borderId="1" xfId="2" applyFont="1" applyFill="1" applyBorder="1"/>
    <xf numFmtId="0" fontId="12" fillId="0" borderId="1" xfId="0" applyFont="1" applyFill="1" applyBorder="1"/>
    <xf numFmtId="0" fontId="12" fillId="0" borderId="1" xfId="0" applyFont="1" applyBorder="1"/>
    <xf numFmtId="0" fontId="0" fillId="0" borderId="0" xfId="0" applyAlignment="1">
      <alignment horizontal="center"/>
    </xf>
    <xf numFmtId="0" fontId="0" fillId="0" borderId="1" xfId="0" applyBorder="1" applyAlignment="1">
      <alignment horizontal="center"/>
    </xf>
    <xf numFmtId="43" fontId="12" fillId="0" borderId="1" xfId="2" applyFont="1" applyFill="1" applyBorder="1"/>
    <xf numFmtId="14" fontId="12" fillId="0" borderId="1" xfId="2" applyNumberFormat="1" applyFont="1" applyFill="1" applyBorder="1"/>
    <xf numFmtId="0" fontId="12" fillId="0" borderId="1" xfId="0" applyFont="1" applyFill="1" applyBorder="1"/>
    <xf numFmtId="0" fontId="12" fillId="0" borderId="1" xfId="0" applyFont="1" applyBorder="1"/>
    <xf numFmtId="43" fontId="12" fillId="0" borderId="1" xfId="2" applyFont="1" applyBorder="1"/>
    <xf numFmtId="0" fontId="12" fillId="0" borderId="0" xfId="0" applyFont="1"/>
    <xf numFmtId="0" fontId="0" fillId="0" borderId="0" xfId="0" applyAlignment="1">
      <alignment horizontal="center"/>
    </xf>
    <xf numFmtId="0" fontId="0" fillId="0" borderId="1" xfId="0" applyBorder="1" applyAlignment="1">
      <alignment horizontal="center"/>
    </xf>
    <xf numFmtId="43" fontId="12" fillId="0" borderId="1" xfId="2" applyFont="1" applyFill="1" applyBorder="1"/>
    <xf numFmtId="14" fontId="12" fillId="0" borderId="1" xfId="2" applyNumberFormat="1" applyFont="1" applyFill="1" applyBorder="1"/>
    <xf numFmtId="43" fontId="12" fillId="0" borderId="1" xfId="2" applyFont="1" applyBorder="1"/>
    <xf numFmtId="0" fontId="12" fillId="0" borderId="1" xfId="0" applyFont="1" applyFill="1" applyBorder="1"/>
    <xf numFmtId="0" fontId="12" fillId="0" borderId="1" xfId="0" applyFont="1" applyBorder="1"/>
    <xf numFmtId="0" fontId="0" fillId="0" borderId="0" xfId="0" applyAlignment="1">
      <alignment horizontal="center"/>
    </xf>
    <xf numFmtId="0" fontId="0" fillId="0" borderId="1" xfId="0" applyBorder="1" applyAlignment="1">
      <alignment horizontal="center"/>
    </xf>
    <xf numFmtId="43" fontId="12" fillId="0" borderId="1" xfId="2" applyFont="1" applyFill="1" applyBorder="1"/>
    <xf numFmtId="0" fontId="12" fillId="0" borderId="1" xfId="0" applyFont="1" applyFill="1" applyBorder="1"/>
    <xf numFmtId="43" fontId="33" fillId="0" borderId="1" xfId="2" applyFont="1" applyFill="1" applyBorder="1"/>
    <xf numFmtId="43" fontId="12" fillId="0" borderId="1" xfId="2" applyFont="1" applyBorder="1"/>
    <xf numFmtId="0" fontId="0" fillId="0" borderId="0" xfId="0" applyAlignment="1">
      <alignment horizontal="center"/>
    </xf>
    <xf numFmtId="0" fontId="0" fillId="0" borderId="1" xfId="0" applyBorder="1" applyAlignment="1">
      <alignment horizontal="center"/>
    </xf>
    <xf numFmtId="43" fontId="12" fillId="0" borderId="1" xfId="2" applyFont="1" applyFill="1" applyBorder="1"/>
    <xf numFmtId="0" fontId="12" fillId="0" borderId="1" xfId="0" applyFont="1" applyBorder="1"/>
    <xf numFmtId="43" fontId="12" fillId="0" borderId="1" xfId="2" applyFont="1" applyBorder="1"/>
    <xf numFmtId="0" fontId="0" fillId="0" borderId="0" xfId="0" applyAlignment="1">
      <alignment horizontal="center"/>
    </xf>
    <xf numFmtId="0" fontId="0" fillId="0" borderId="1" xfId="0" applyBorder="1" applyAlignment="1">
      <alignment horizontal="center"/>
    </xf>
    <xf numFmtId="43" fontId="0" fillId="0" borderId="1" xfId="2" applyFont="1" applyBorder="1"/>
    <xf numFmtId="0" fontId="0" fillId="0" borderId="0" xfId="0" applyAlignment="1">
      <alignment horizontal="center"/>
    </xf>
    <xf numFmtId="0" fontId="0" fillId="0" borderId="1" xfId="0" applyBorder="1" applyAlignment="1">
      <alignment horizontal="center"/>
    </xf>
    <xf numFmtId="43" fontId="6" fillId="0" borderId="1" xfId="2" applyFont="1" applyBorder="1"/>
    <xf numFmtId="43" fontId="6" fillId="0" borderId="1" xfId="2" applyFont="1" applyFill="1" applyBorder="1"/>
    <xf numFmtId="0" fontId="6" fillId="0" borderId="1" xfId="0" applyFont="1" applyFill="1" applyBorder="1"/>
    <xf numFmtId="0" fontId="6" fillId="0" borderId="1" xfId="0" applyFont="1" applyBorder="1"/>
    <xf numFmtId="14" fontId="6" fillId="0" borderId="1" xfId="2" applyNumberFormat="1" applyFont="1" applyFill="1" applyBorder="1"/>
    <xf numFmtId="0" fontId="0" fillId="0" borderId="0" xfId="0" applyAlignment="1">
      <alignment horizontal="center"/>
    </xf>
    <xf numFmtId="0" fontId="0" fillId="0" borderId="1" xfId="0" applyBorder="1" applyAlignment="1">
      <alignment horizontal="center"/>
    </xf>
    <xf numFmtId="43" fontId="5" fillId="0" borderId="1" xfId="2" applyFont="1" applyFill="1" applyBorder="1"/>
    <xf numFmtId="43" fontId="0" fillId="0" borderId="1" xfId="2" applyFont="1" applyFill="1" applyBorder="1"/>
    <xf numFmtId="43" fontId="5" fillId="0" borderId="1" xfId="2" applyFont="1" applyBorder="1"/>
    <xf numFmtId="0" fontId="5" fillId="0" borderId="1" xfId="0" applyFont="1" applyBorder="1"/>
    <xf numFmtId="43" fontId="12" fillId="0" borderId="0" xfId="2" applyFont="1" applyAlignment="1">
      <alignment horizontal="center"/>
    </xf>
    <xf numFmtId="43" fontId="11" fillId="0" borderId="0" xfId="2" applyFont="1" applyAlignment="1">
      <alignment horizontal="center"/>
    </xf>
    <xf numFmtId="0" fontId="0" fillId="0" borderId="0" xfId="0" applyAlignment="1">
      <alignment horizontal="center"/>
    </xf>
    <xf numFmtId="0" fontId="0" fillId="0" borderId="1" xfId="0" applyBorder="1" applyAlignment="1">
      <alignment horizontal="center"/>
    </xf>
    <xf numFmtId="43" fontId="4" fillId="0" borderId="1" xfId="2" applyFont="1" applyFill="1" applyBorder="1"/>
    <xf numFmtId="43" fontId="4" fillId="0" borderId="1" xfId="2" applyFont="1" applyBorder="1"/>
    <xf numFmtId="0" fontId="4" fillId="0" borderId="1" xfId="0" applyFont="1" applyFill="1" applyBorder="1"/>
    <xf numFmtId="43" fontId="12" fillId="0" borderId="0" xfId="2" applyFont="1" applyAlignment="1">
      <alignment horizontal="center"/>
    </xf>
    <xf numFmtId="0" fontId="0" fillId="0" borderId="0" xfId="0" applyAlignment="1">
      <alignment horizontal="center"/>
    </xf>
    <xf numFmtId="0" fontId="0" fillId="0" borderId="1" xfId="0" applyBorder="1" applyAlignment="1">
      <alignment horizontal="center"/>
    </xf>
    <xf numFmtId="43" fontId="3" fillId="0" borderId="1" xfId="2" applyFont="1" applyFill="1" applyBorder="1"/>
    <xf numFmtId="0" fontId="3" fillId="0" borderId="1" xfId="0" applyFont="1" applyBorder="1"/>
    <xf numFmtId="0" fontId="3" fillId="0" borderId="1" xfId="0" applyFont="1" applyFill="1" applyBorder="1"/>
    <xf numFmtId="14" fontId="3" fillId="0" borderId="1" xfId="2" applyNumberFormat="1" applyFont="1" applyFill="1" applyBorder="1"/>
    <xf numFmtId="43" fontId="3" fillId="0" borderId="1" xfId="2" applyFont="1" applyBorder="1"/>
    <xf numFmtId="43" fontId="0" fillId="0" borderId="0" xfId="2" applyFont="1"/>
    <xf numFmtId="43" fontId="0" fillId="0" borderId="0" xfId="2" applyFont="1" applyAlignment="1">
      <alignment horizontal="center"/>
    </xf>
    <xf numFmtId="43" fontId="18" fillId="0" borderId="0" xfId="2" applyFont="1" applyAlignment="1">
      <alignment horizontal="center"/>
    </xf>
    <xf numFmtId="43" fontId="0" fillId="20" borderId="1" xfId="2" applyFont="1" applyFill="1" applyBorder="1"/>
    <xf numFmtId="43" fontId="0" fillId="4" borderId="0" xfId="2" applyFont="1" applyFill="1"/>
    <xf numFmtId="43" fontId="12" fillId="0" borderId="1" xfId="2" applyFont="1" applyBorder="1" applyAlignment="1">
      <alignment horizontal="left"/>
    </xf>
    <xf numFmtId="43" fontId="0" fillId="0" borderId="0" xfId="2" applyFont="1" applyAlignment="1">
      <alignment horizontal="center" vertical="center"/>
    </xf>
    <xf numFmtId="43" fontId="18" fillId="0" borderId="0" xfId="2" applyFont="1" applyAlignment="1">
      <alignment horizontal="right"/>
    </xf>
    <xf numFmtId="43" fontId="18" fillId="0" borderId="0" xfId="2" applyFont="1" applyAlignment="1">
      <alignment horizontal="center" vertical="center"/>
    </xf>
    <xf numFmtId="43" fontId="12" fillId="0" borderId="1" xfId="2" applyFont="1" applyFill="1" applyBorder="1" applyAlignment="1">
      <alignment horizontal="left"/>
    </xf>
    <xf numFmtId="43" fontId="3" fillId="20" borderId="1" xfId="2" applyFont="1" applyFill="1" applyBorder="1"/>
    <xf numFmtId="43" fontId="12" fillId="0" borderId="0" xfId="2" applyFont="1" applyAlignment="1">
      <alignment horizontal="center"/>
    </xf>
    <xf numFmtId="0" fontId="0" fillId="0" borderId="0" xfId="0" applyAlignment="1">
      <alignment horizontal="center"/>
    </xf>
    <xf numFmtId="0" fontId="0" fillId="0" borderId="1" xfId="0" applyBorder="1" applyAlignment="1">
      <alignment horizontal="center"/>
    </xf>
    <xf numFmtId="0" fontId="2" fillId="0" borderId="1" xfId="0" applyFont="1" applyFill="1" applyBorder="1"/>
    <xf numFmtId="0" fontId="2" fillId="0" borderId="1" xfId="0" applyFont="1" applyBorder="1"/>
    <xf numFmtId="14" fontId="2" fillId="0" borderId="1" xfId="2" applyNumberFormat="1" applyFont="1" applyFill="1" applyBorder="1"/>
    <xf numFmtId="43" fontId="2" fillId="0" borderId="1" xfId="2" applyFont="1" applyFill="1" applyBorder="1"/>
    <xf numFmtId="43" fontId="2" fillId="0" borderId="1" xfId="2" applyFont="1" applyBorder="1"/>
    <xf numFmtId="0" fontId="0" fillId="16" borderId="8" xfId="0" applyFill="1" applyBorder="1" applyAlignment="1">
      <alignment horizontal="center"/>
    </xf>
    <xf numFmtId="0" fontId="0" fillId="16" borderId="9" xfId="0" applyFill="1" applyBorder="1" applyAlignment="1">
      <alignment horizontal="center"/>
    </xf>
    <xf numFmtId="0" fontId="0" fillId="16" borderId="0" xfId="0" applyFill="1" applyBorder="1" applyAlignment="1">
      <alignment horizontal="center"/>
    </xf>
    <xf numFmtId="43" fontId="11" fillId="9" borderId="8" xfId="2" applyFont="1" applyFill="1" applyBorder="1" applyAlignment="1">
      <alignment horizontal="center" vertical="center"/>
    </xf>
    <xf numFmtId="43" fontId="11" fillId="9" borderId="9" xfId="2" applyFont="1" applyFill="1" applyBorder="1" applyAlignment="1">
      <alignment horizontal="center" vertical="center"/>
    </xf>
    <xf numFmtId="43" fontId="11" fillId="20" borderId="8" xfId="2" applyFont="1" applyFill="1" applyBorder="1" applyAlignment="1">
      <alignment horizontal="center" vertical="center"/>
    </xf>
    <xf numFmtId="43" fontId="11" fillId="20" borderId="9" xfId="2" applyFont="1" applyFill="1" applyBorder="1" applyAlignment="1">
      <alignment horizontal="center" vertical="center"/>
    </xf>
    <xf numFmtId="0" fontId="0" fillId="20" borderId="8" xfId="0" applyFill="1" applyBorder="1" applyAlignment="1">
      <alignment horizontal="center"/>
    </xf>
    <xf numFmtId="0" fontId="0" fillId="20" borderId="9" xfId="0" applyFill="1" applyBorder="1" applyAlignment="1">
      <alignment horizontal="center"/>
    </xf>
    <xf numFmtId="0" fontId="12" fillId="8" borderId="8" xfId="0" applyFont="1" applyFill="1" applyBorder="1" applyAlignment="1">
      <alignment horizontal="center"/>
    </xf>
    <xf numFmtId="0" fontId="12" fillId="8" borderId="6" xfId="0" applyFont="1" applyFill="1" applyBorder="1" applyAlignment="1">
      <alignment horizontal="center"/>
    </xf>
    <xf numFmtId="0" fontId="0" fillId="8" borderId="9" xfId="0" applyFill="1" applyBorder="1" applyAlignment="1">
      <alignment horizontal="center"/>
    </xf>
    <xf numFmtId="0" fontId="12" fillId="20" borderId="1" xfId="0" applyFont="1" applyFill="1" applyBorder="1" applyAlignment="1">
      <alignment horizontal="center"/>
    </xf>
    <xf numFmtId="0" fontId="0" fillId="8" borderId="1" xfId="0" applyFill="1" applyBorder="1" applyAlignment="1">
      <alignment horizontal="center"/>
    </xf>
    <xf numFmtId="0" fontId="0" fillId="0" borderId="0" xfId="0" applyBorder="1" applyAlignment="1">
      <alignment horizontal="center"/>
    </xf>
    <xf numFmtId="0" fontId="0" fillId="20" borderId="1" xfId="0" applyFill="1" applyBorder="1" applyAlignment="1">
      <alignment horizontal="center"/>
    </xf>
    <xf numFmtId="0" fontId="12" fillId="16" borderId="0" xfId="0" applyFont="1" applyFill="1" applyBorder="1" applyAlignment="1">
      <alignment horizontal="center"/>
    </xf>
    <xf numFmtId="0" fontId="0" fillId="4" borderId="0" xfId="0" applyFill="1" applyAlignment="1">
      <alignment horizontal="center" vertical="center" wrapText="1"/>
    </xf>
    <xf numFmtId="0" fontId="0" fillId="4" borderId="0" xfId="0" applyFill="1" applyAlignment="1">
      <alignment horizontal="center" vertical="center"/>
    </xf>
    <xf numFmtId="0" fontId="0" fillId="4" borderId="0" xfId="0" applyFill="1" applyBorder="1" applyAlignment="1">
      <alignment horizontal="center" vertical="center" wrapText="1"/>
    </xf>
    <xf numFmtId="0" fontId="12" fillId="4" borderId="0" xfId="0" applyFont="1" applyFill="1" applyAlignment="1">
      <alignment horizontal="center" vertical="center" wrapText="1"/>
    </xf>
    <xf numFmtId="0" fontId="12" fillId="6" borderId="0" xfId="0" applyFont="1" applyFill="1" applyAlignment="1">
      <alignment horizontal="center" vertical="center"/>
    </xf>
    <xf numFmtId="16" fontId="0" fillId="0" borderId="7" xfId="0" applyNumberFormat="1" applyBorder="1" applyAlignment="1">
      <alignment horizontal="center"/>
    </xf>
    <xf numFmtId="0" fontId="0" fillId="0" borderId="7" xfId="0" applyBorder="1" applyAlignment="1">
      <alignment horizontal="center"/>
    </xf>
    <xf numFmtId="43" fontId="12" fillId="0" borderId="0" xfId="2" applyFont="1" applyAlignment="1">
      <alignment horizontal="center"/>
    </xf>
    <xf numFmtId="43" fontId="11" fillId="0" borderId="0" xfId="2" applyFont="1" applyAlignment="1">
      <alignment horizontal="center"/>
    </xf>
    <xf numFmtId="0" fontId="12" fillId="0" borderId="0" xfId="0" applyFont="1" applyAlignment="1">
      <alignment horizontal="center"/>
    </xf>
    <xf numFmtId="0" fontId="0" fillId="0" borderId="0" xfId="0" applyAlignment="1">
      <alignment horizontal="center"/>
    </xf>
    <xf numFmtId="0" fontId="12" fillId="4" borderId="0" xfId="0" applyFont="1" applyFill="1" applyAlignment="1">
      <alignment horizontal="center"/>
    </xf>
    <xf numFmtId="43" fontId="12" fillId="0" borderId="8" xfId="2" applyFont="1" applyBorder="1" applyAlignment="1">
      <alignment horizontal="center"/>
    </xf>
    <xf numFmtId="43" fontId="12" fillId="0" borderId="9" xfId="2" applyFont="1" applyBorder="1" applyAlignment="1">
      <alignment horizontal="center"/>
    </xf>
    <xf numFmtId="43" fontId="12" fillId="20" borderId="8" xfId="2" applyFont="1" applyFill="1" applyBorder="1" applyAlignment="1">
      <alignment horizontal="center"/>
    </xf>
    <xf numFmtId="43" fontId="12" fillId="20" borderId="9" xfId="2" applyFont="1" applyFill="1" applyBorder="1" applyAlignment="1">
      <alignment horizontal="center"/>
    </xf>
    <xf numFmtId="0" fontId="12" fillId="20" borderId="8" xfId="0" applyFont="1" applyFill="1" applyBorder="1" applyAlignment="1">
      <alignment horizontal="center"/>
    </xf>
    <xf numFmtId="0" fontId="12" fillId="20" borderId="9" xfId="0" applyFont="1" applyFill="1" applyBorder="1" applyAlignment="1">
      <alignment horizont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xf>
    <xf numFmtId="0" fontId="12" fillId="0" borderId="8" xfId="0" applyFont="1" applyBorder="1" applyAlignment="1">
      <alignment horizontal="center"/>
    </xf>
    <xf numFmtId="0" fontId="12" fillId="0" borderId="9" xfId="0" applyFont="1" applyBorder="1" applyAlignment="1">
      <alignment horizontal="center"/>
    </xf>
    <xf numFmtId="0" fontId="24" fillId="4" borderId="0" xfId="0" applyFont="1" applyFill="1" applyAlignment="1">
      <alignment horizontal="center" vertical="center"/>
    </xf>
    <xf numFmtId="0" fontId="12" fillId="0" borderId="7" xfId="0" applyFont="1" applyBorder="1" applyAlignment="1">
      <alignment horizontal="center"/>
    </xf>
    <xf numFmtId="0" fontId="0" fillId="0" borderId="1" xfId="0" applyBorder="1" applyAlignment="1">
      <alignment horizontal="center"/>
    </xf>
    <xf numFmtId="43" fontId="1" fillId="0" borderId="1" xfId="2" applyFont="1" applyFill="1" applyBorder="1"/>
    <xf numFmtId="43" fontId="1" fillId="0" borderId="1" xfId="2" applyFont="1" applyBorder="1"/>
    <xf numFmtId="0" fontId="1" fillId="0" borderId="1" xfId="0" applyFont="1" applyFill="1" applyBorder="1"/>
  </cellXfs>
  <cellStyles count="3">
    <cellStyle name="Обычный" xfId="0" builtinId="0"/>
    <cellStyle name="Обычный 2" xfId="1"/>
    <cellStyle name="Финансовый" xfId="2" builtinId="3"/>
  </cellStyles>
  <dxfs count="3">
    <dxf>
      <font>
        <color rgb="FF9C0006"/>
      </font>
      <fill>
        <patternFill>
          <bgColor rgb="FFFFC7CE"/>
        </patternFill>
      </fill>
    </dxf>
    <dxf>
      <font>
        <color rgb="FF9C0006"/>
      </font>
      <fill>
        <patternFill>
          <bgColor rgb="FFFFC7CE"/>
        </patternFill>
      </fill>
    </dxf>
    <dxf>
      <fill>
        <patternFill patternType="solid">
          <fgColor rgb="FFBDD7E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pageSetUpPr fitToPage="1"/>
  </sheetPr>
  <dimension ref="A1:N1192"/>
  <sheetViews>
    <sheetView zoomScaleNormal="100" workbookViewId="0">
      <selection activeCell="B18" sqref="B18"/>
    </sheetView>
  </sheetViews>
  <sheetFormatPr defaultRowHeight="14.4" zeroHeight="1"/>
  <cols>
    <col min="1" max="1" width="14.44140625" bestFit="1" customWidth="1"/>
    <col min="2" max="2" width="33" bestFit="1" customWidth="1"/>
    <col min="3" max="3" width="16.5546875" customWidth="1"/>
    <col min="4" max="4" width="16.21875" bestFit="1" customWidth="1"/>
    <col min="5" max="5" width="11" bestFit="1" customWidth="1"/>
    <col min="6" max="6" width="11" customWidth="1"/>
    <col min="7" max="7" width="31.5546875" bestFit="1" customWidth="1"/>
    <col min="8" max="8" width="24.44140625" customWidth="1"/>
    <col min="9" max="9" width="24.44140625" style="6" customWidth="1"/>
    <col min="10" max="10" width="13.44140625" customWidth="1"/>
    <col min="11" max="11" width="17.77734375" bestFit="1" customWidth="1"/>
    <col min="12" max="12" width="16.21875" style="3" bestFit="1" customWidth="1"/>
    <col min="13" max="13" width="9.44140625" bestFit="1" customWidth="1"/>
    <col min="14" max="14" width="15.21875" style="3" bestFit="1" customWidth="1"/>
    <col min="15" max="15" width="16.5546875" bestFit="1" customWidth="1"/>
  </cols>
  <sheetData>
    <row r="1" spans="1:14"/>
    <row r="2" spans="1:14"/>
    <row r="3" spans="1:14"/>
    <row r="4" spans="1:14">
      <c r="A4" s="275" t="s">
        <v>708</v>
      </c>
      <c r="B4" s="549" t="s">
        <v>1936</v>
      </c>
      <c r="C4" s="5">
        <v>98529134</v>
      </c>
      <c r="D4" s="5"/>
      <c r="E4" s="5"/>
      <c r="F4" s="5" t="s">
        <v>1937</v>
      </c>
      <c r="G4" s="5"/>
      <c r="H4" s="5">
        <v>2</v>
      </c>
      <c r="J4" s="275">
        <v>4</v>
      </c>
    </row>
    <row r="5" spans="1:14">
      <c r="A5" s="275" t="s">
        <v>1933</v>
      </c>
      <c r="B5" s="276" t="s">
        <v>1934</v>
      </c>
      <c r="C5" s="5">
        <v>40509212</v>
      </c>
      <c r="D5" s="5"/>
      <c r="E5" s="5"/>
      <c r="F5" s="5"/>
      <c r="G5" s="53"/>
      <c r="H5" s="53">
        <v>1</v>
      </c>
      <c r="J5" s="275" t="s">
        <v>1935</v>
      </c>
    </row>
    <row r="6" spans="1:14" s="6" customFormat="1">
      <c r="A6" s="80" t="s">
        <v>730</v>
      </c>
      <c r="B6" s="80" t="s">
        <v>594</v>
      </c>
      <c r="F6" s="6" t="s">
        <v>1869</v>
      </c>
      <c r="G6" s="6" t="s">
        <v>731</v>
      </c>
      <c r="H6" s="6">
        <v>20</v>
      </c>
      <c r="J6" s="63">
        <v>9</v>
      </c>
      <c r="L6" s="140"/>
      <c r="N6" s="140"/>
    </row>
    <row r="7" spans="1:14" s="6" customFormat="1">
      <c r="A7" s="107" t="s">
        <v>644</v>
      </c>
      <c r="B7" s="88"/>
      <c r="F7" s="6" t="s">
        <v>1870</v>
      </c>
      <c r="G7" s="6" t="s">
        <v>823</v>
      </c>
      <c r="H7" s="6">
        <f>18.8*2</f>
        <v>37.6</v>
      </c>
      <c r="J7" s="88"/>
      <c r="K7" s="6">
        <v>2</v>
      </c>
      <c r="L7" s="140"/>
      <c r="N7" s="140"/>
    </row>
    <row r="8" spans="1:14" s="6" customFormat="1">
      <c r="A8" s="112" t="s">
        <v>830</v>
      </c>
      <c r="B8" s="549" t="s">
        <v>837</v>
      </c>
      <c r="C8" s="5">
        <v>26706601</v>
      </c>
      <c r="D8" s="5"/>
      <c r="E8" s="5">
        <v>20</v>
      </c>
      <c r="F8" s="5" t="s">
        <v>1871</v>
      </c>
      <c r="G8" s="5" t="s">
        <v>831</v>
      </c>
      <c r="H8" s="5"/>
      <c r="J8" s="88"/>
      <c r="L8" s="140"/>
      <c r="N8" s="140"/>
    </row>
    <row r="9" spans="1:14" s="6" customFormat="1">
      <c r="A9" s="112" t="s">
        <v>830</v>
      </c>
      <c r="B9" s="115" t="s">
        <v>836</v>
      </c>
      <c r="C9" s="5">
        <v>75591482</v>
      </c>
      <c r="D9" s="5"/>
      <c r="E9" s="5">
        <v>23</v>
      </c>
      <c r="F9" s="5" t="s">
        <v>1872</v>
      </c>
      <c r="G9" s="5" t="s">
        <v>643</v>
      </c>
      <c r="H9" s="5"/>
      <c r="J9" s="88"/>
      <c r="L9" s="140"/>
      <c r="N9" s="140"/>
    </row>
    <row r="10" spans="1:14" s="6" customFormat="1">
      <c r="A10" s="119" t="s">
        <v>871</v>
      </c>
      <c r="B10" s="129" t="s">
        <v>723</v>
      </c>
      <c r="C10" s="5">
        <v>97198640</v>
      </c>
      <c r="D10" s="5"/>
      <c r="E10" s="5">
        <v>23</v>
      </c>
      <c r="F10" s="5" t="s">
        <v>1871</v>
      </c>
      <c r="G10" s="5" t="s">
        <v>724</v>
      </c>
      <c r="H10" s="5"/>
      <c r="J10" s="88"/>
      <c r="L10" s="140"/>
      <c r="N10" s="140"/>
    </row>
    <row r="11" spans="1:14" s="6" customFormat="1">
      <c r="A11" s="121" t="s">
        <v>880</v>
      </c>
      <c r="B11" s="132" t="s">
        <v>878</v>
      </c>
      <c r="C11" s="5">
        <v>69346425</v>
      </c>
      <c r="D11" s="5"/>
      <c r="E11" s="5">
        <v>18</v>
      </c>
      <c r="F11" s="5" t="s">
        <v>1873</v>
      </c>
      <c r="G11" s="5" t="s">
        <v>882</v>
      </c>
      <c r="H11" s="5"/>
      <c r="J11" s="88"/>
      <c r="L11" s="140"/>
      <c r="N11" s="140"/>
    </row>
    <row r="12" spans="1:14" s="6" customFormat="1">
      <c r="A12" s="121" t="s">
        <v>880</v>
      </c>
      <c r="B12" s="124" t="s">
        <v>879</v>
      </c>
      <c r="C12" s="5">
        <v>29675034</v>
      </c>
      <c r="D12" s="5"/>
      <c r="E12" s="5">
        <v>22</v>
      </c>
      <c r="F12" s="5" t="s">
        <v>2740</v>
      </c>
      <c r="G12" s="5" t="s">
        <v>881</v>
      </c>
      <c r="H12" s="5"/>
      <c r="J12" s="121" t="s">
        <v>108</v>
      </c>
      <c r="L12" s="140"/>
      <c r="N12" s="140"/>
    </row>
    <row r="13" spans="1:14" s="6" customFormat="1">
      <c r="A13" s="121" t="s">
        <v>880</v>
      </c>
      <c r="B13" s="138" t="s">
        <v>888</v>
      </c>
      <c r="C13" s="5">
        <v>41699722</v>
      </c>
      <c r="D13" s="5" t="s">
        <v>913</v>
      </c>
      <c r="E13" s="5">
        <v>22</v>
      </c>
      <c r="F13" s="5" t="s">
        <v>1926</v>
      </c>
      <c r="G13" s="5" t="s">
        <v>889</v>
      </c>
      <c r="H13" s="5"/>
      <c r="J13" s="88"/>
      <c r="L13" s="140" t="s">
        <v>1855</v>
      </c>
      <c r="N13" s="140"/>
    </row>
    <row r="14" spans="1:14" s="6" customFormat="1">
      <c r="A14" s="123" t="s">
        <v>894</v>
      </c>
      <c r="B14" s="132" t="s">
        <v>884</v>
      </c>
      <c r="C14" s="5">
        <v>11498321</v>
      </c>
      <c r="D14" s="5"/>
      <c r="E14" s="5">
        <v>22.5</v>
      </c>
      <c r="F14" s="5">
        <v>22.5</v>
      </c>
      <c r="G14" s="5" t="s">
        <v>893</v>
      </c>
      <c r="H14" s="5"/>
      <c r="J14" s="88"/>
      <c r="L14" s="140" t="s">
        <v>2063</v>
      </c>
      <c r="N14" s="140"/>
    </row>
    <row r="15" spans="1:14" s="6" customFormat="1">
      <c r="A15" s="123" t="s">
        <v>894</v>
      </c>
      <c r="B15" s="144" t="s">
        <v>895</v>
      </c>
      <c r="C15" s="5">
        <v>30183671</v>
      </c>
      <c r="D15" s="5"/>
      <c r="E15" s="5"/>
      <c r="F15" s="5" t="s">
        <v>1876</v>
      </c>
      <c r="G15" s="5" t="s">
        <v>896</v>
      </c>
      <c r="H15" s="5"/>
      <c r="J15" s="88"/>
      <c r="L15" s="140"/>
      <c r="N15" s="140"/>
    </row>
    <row r="16" spans="1:14" s="6" customFormat="1">
      <c r="A16" s="123" t="s">
        <v>894</v>
      </c>
      <c r="B16" s="144" t="s">
        <v>965</v>
      </c>
      <c r="C16" s="5"/>
      <c r="D16" s="5"/>
      <c r="E16" s="5">
        <v>25</v>
      </c>
      <c r="F16" s="5" t="s">
        <v>1910</v>
      </c>
      <c r="G16" s="5" t="s">
        <v>693</v>
      </c>
      <c r="H16" s="5"/>
      <c r="J16" s="88">
        <v>2</v>
      </c>
      <c r="L16" s="140"/>
      <c r="N16" s="140"/>
    </row>
    <row r="17" spans="1:14" s="6" customFormat="1">
      <c r="A17" s="123" t="s">
        <v>894</v>
      </c>
      <c r="B17" s="138" t="s">
        <v>966</v>
      </c>
      <c r="C17" s="5">
        <v>91142276</v>
      </c>
      <c r="D17" s="5"/>
      <c r="E17" s="5">
        <v>25</v>
      </c>
      <c r="F17" s="5" t="s">
        <v>1910</v>
      </c>
      <c r="G17" s="5" t="s">
        <v>693</v>
      </c>
      <c r="H17" s="5"/>
      <c r="J17" s="88">
        <v>3</v>
      </c>
      <c r="L17" s="140"/>
      <c r="N17" s="140"/>
    </row>
    <row r="18" spans="1:14" s="6" customFormat="1">
      <c r="A18" s="123" t="s">
        <v>894</v>
      </c>
      <c r="B18" s="135" t="s">
        <v>901</v>
      </c>
      <c r="C18" s="5">
        <v>19605444</v>
      </c>
      <c r="D18" s="5" t="s">
        <v>913</v>
      </c>
      <c r="E18" s="5"/>
      <c r="F18" s="5" t="s">
        <v>1910</v>
      </c>
      <c r="G18" s="5" t="s">
        <v>902</v>
      </c>
      <c r="H18" s="5"/>
      <c r="J18" s="88">
        <v>4</v>
      </c>
      <c r="L18" s="140"/>
      <c r="N18" s="140"/>
    </row>
    <row r="19" spans="1:14" s="6" customFormat="1">
      <c r="A19" s="123" t="s">
        <v>894</v>
      </c>
      <c r="B19" s="144" t="s">
        <v>872</v>
      </c>
      <c r="C19" s="5">
        <v>81026374</v>
      </c>
      <c r="D19" s="5"/>
      <c r="E19" s="5"/>
      <c r="F19" s="5" t="s">
        <v>1910</v>
      </c>
      <c r="G19" s="5" t="s">
        <v>873</v>
      </c>
      <c r="H19" s="5"/>
      <c r="J19" s="126" t="s">
        <v>911</v>
      </c>
      <c r="L19" s="140"/>
      <c r="N19" s="140"/>
    </row>
    <row r="20" spans="1:14" s="6" customFormat="1">
      <c r="A20" s="125" t="s">
        <v>905</v>
      </c>
      <c r="B20" s="165" t="s">
        <v>904</v>
      </c>
      <c r="C20" s="5">
        <v>72673422</v>
      </c>
      <c r="D20" s="5"/>
      <c r="E20" s="5"/>
      <c r="F20" s="5" t="s">
        <v>1870</v>
      </c>
      <c r="G20" s="5" t="s">
        <v>906</v>
      </c>
      <c r="H20" s="5"/>
      <c r="J20" s="88"/>
      <c r="L20" s="140" t="s">
        <v>1397</v>
      </c>
      <c r="N20" s="140"/>
    </row>
    <row r="21" spans="1:14" s="6" customFormat="1">
      <c r="A21" s="125" t="s">
        <v>905</v>
      </c>
      <c r="B21" s="165" t="s">
        <v>907</v>
      </c>
      <c r="C21" s="5">
        <v>29829339</v>
      </c>
      <c r="D21" s="5"/>
      <c r="E21" s="5"/>
      <c r="F21" s="5" t="s">
        <v>1910</v>
      </c>
      <c r="G21" s="5" t="s">
        <v>908</v>
      </c>
      <c r="H21" s="5"/>
      <c r="J21" s="88">
        <v>7</v>
      </c>
      <c r="L21" s="140" t="s">
        <v>1397</v>
      </c>
      <c r="N21" s="140"/>
    </row>
    <row r="22" spans="1:14" s="6" customFormat="1">
      <c r="A22" s="126" t="s">
        <v>905</v>
      </c>
      <c r="B22" s="144" t="s">
        <v>914</v>
      </c>
      <c r="C22" s="5">
        <v>67505033</v>
      </c>
      <c r="D22" s="5"/>
      <c r="E22" s="5">
        <v>25</v>
      </c>
      <c r="F22" s="5" t="s">
        <v>1910</v>
      </c>
      <c r="G22" s="5" t="s">
        <v>910</v>
      </c>
      <c r="H22" s="5"/>
      <c r="J22" s="88">
        <v>8</v>
      </c>
      <c r="L22" s="140"/>
      <c r="N22" s="140"/>
    </row>
    <row r="23" spans="1:14" s="6" customFormat="1">
      <c r="A23" s="127" t="s">
        <v>915</v>
      </c>
      <c r="B23" s="176" t="s">
        <v>919</v>
      </c>
      <c r="C23" s="5">
        <v>34772565</v>
      </c>
      <c r="D23" s="5"/>
      <c r="E23" s="5"/>
      <c r="F23" s="5" t="s">
        <v>912</v>
      </c>
      <c r="G23" s="5" t="s">
        <v>916</v>
      </c>
      <c r="H23" s="5"/>
      <c r="J23" s="88"/>
      <c r="L23" s="140"/>
      <c r="N23" s="140"/>
    </row>
    <row r="24" spans="1:14" s="6" customFormat="1">
      <c r="A24" s="127" t="s">
        <v>915</v>
      </c>
      <c r="B24" s="144" t="s">
        <v>917</v>
      </c>
      <c r="C24" s="5">
        <v>92554392</v>
      </c>
      <c r="D24" s="5"/>
      <c r="E24" s="5">
        <v>33</v>
      </c>
      <c r="F24" s="5" t="s">
        <v>616</v>
      </c>
      <c r="G24" s="5" t="s">
        <v>918</v>
      </c>
      <c r="H24" s="5"/>
      <c r="J24" s="88"/>
      <c r="L24" s="140"/>
      <c r="N24" s="140"/>
    </row>
    <row r="25" spans="1:14" s="6" customFormat="1">
      <c r="A25" s="127" t="s">
        <v>915</v>
      </c>
      <c r="B25" s="144" t="s">
        <v>922</v>
      </c>
      <c r="C25" s="5">
        <v>40316239</v>
      </c>
      <c r="D25" s="5"/>
      <c r="E25" s="5"/>
      <c r="F25" s="5" t="s">
        <v>1870</v>
      </c>
      <c r="G25" s="5" t="s">
        <v>666</v>
      </c>
      <c r="H25" s="5"/>
      <c r="J25" s="88"/>
      <c r="L25" s="140" t="s">
        <v>1397</v>
      </c>
      <c r="N25" s="140"/>
    </row>
    <row r="26" spans="1:14" s="6" customFormat="1">
      <c r="A26" s="127" t="s">
        <v>915</v>
      </c>
      <c r="B26" s="137" t="s">
        <v>925</v>
      </c>
      <c r="C26" s="5">
        <v>27780518</v>
      </c>
      <c r="D26" s="5" t="s">
        <v>913</v>
      </c>
      <c r="E26" s="5">
        <v>25</v>
      </c>
      <c r="F26" s="5" t="s">
        <v>1930</v>
      </c>
      <c r="G26" s="5" t="s">
        <v>693</v>
      </c>
      <c r="H26" s="5"/>
      <c r="J26" s="88"/>
      <c r="L26" s="140"/>
      <c r="N26" s="140"/>
    </row>
    <row r="27" spans="1:14" s="6" customFormat="1">
      <c r="A27" s="127" t="s">
        <v>915</v>
      </c>
      <c r="B27" s="151" t="s">
        <v>926</v>
      </c>
      <c r="C27" s="5">
        <v>56211981</v>
      </c>
      <c r="D27" s="5"/>
      <c r="E27" s="5">
        <v>23</v>
      </c>
      <c r="F27" s="5" t="s">
        <v>1876</v>
      </c>
      <c r="G27" s="5" t="s">
        <v>931</v>
      </c>
      <c r="H27" s="5"/>
      <c r="J27" s="88"/>
      <c r="L27" s="140"/>
      <c r="N27" s="140"/>
    </row>
    <row r="28" spans="1:14" s="6" customFormat="1">
      <c r="A28" s="127" t="s">
        <v>915</v>
      </c>
      <c r="B28" s="138" t="s">
        <v>857</v>
      </c>
      <c r="C28" s="5">
        <v>15215403</v>
      </c>
      <c r="D28" s="5" t="s">
        <v>986</v>
      </c>
      <c r="E28" s="5">
        <v>33</v>
      </c>
      <c r="F28" s="5" t="s">
        <v>1887</v>
      </c>
      <c r="G28" s="5" t="s">
        <v>858</v>
      </c>
      <c r="H28" s="5"/>
      <c r="J28" s="88"/>
      <c r="L28" s="140"/>
      <c r="N28" s="140"/>
    </row>
    <row r="29" spans="1:14" s="6" customFormat="1">
      <c r="A29" s="131" t="s">
        <v>934</v>
      </c>
      <c r="B29" s="135" t="s">
        <v>936</v>
      </c>
      <c r="C29" s="5">
        <v>46213614</v>
      </c>
      <c r="D29" s="5"/>
      <c r="E29" s="5">
        <v>25</v>
      </c>
      <c r="F29" s="5" t="s">
        <v>1878</v>
      </c>
      <c r="G29" s="5" t="s">
        <v>935</v>
      </c>
      <c r="H29" s="5"/>
      <c r="J29" s="88"/>
      <c r="L29" s="140"/>
      <c r="N29" s="140"/>
    </row>
    <row r="30" spans="1:14" s="6" customFormat="1">
      <c r="A30" s="131" t="s">
        <v>941</v>
      </c>
      <c r="B30" s="144" t="s">
        <v>937</v>
      </c>
      <c r="C30" s="5">
        <v>38951800</v>
      </c>
      <c r="D30" s="5"/>
      <c r="E30" s="5">
        <v>33</v>
      </c>
      <c r="F30" s="5" t="s">
        <v>1927</v>
      </c>
      <c r="G30" s="5" t="s">
        <v>938</v>
      </c>
      <c r="H30" s="5"/>
      <c r="J30" s="88"/>
      <c r="L30" s="140"/>
      <c r="N30" s="140"/>
    </row>
    <row r="31" spans="1:14" s="6" customFormat="1">
      <c r="A31" s="131" t="s">
        <v>941</v>
      </c>
      <c r="B31" s="151" t="s">
        <v>945</v>
      </c>
      <c r="C31" s="5">
        <v>30306539</v>
      </c>
      <c r="D31" s="5"/>
      <c r="E31" s="5">
        <v>25</v>
      </c>
      <c r="F31" s="5" t="s">
        <v>1871</v>
      </c>
      <c r="G31" s="5" t="s">
        <v>946</v>
      </c>
      <c r="H31" s="5"/>
      <c r="J31" s="88"/>
      <c r="L31" s="140"/>
      <c r="N31" s="140"/>
    </row>
    <row r="32" spans="1:14" s="6" customFormat="1">
      <c r="A32" s="134" t="s">
        <v>941</v>
      </c>
      <c r="B32" s="169" t="s">
        <v>947</v>
      </c>
      <c r="C32" s="5">
        <v>12539075</v>
      </c>
      <c r="D32" s="5" t="s">
        <v>957</v>
      </c>
      <c r="E32" s="5" t="s">
        <v>994</v>
      </c>
      <c r="F32" s="5" t="s">
        <v>912</v>
      </c>
      <c r="G32" s="5" t="s">
        <v>948</v>
      </c>
      <c r="H32" s="5"/>
      <c r="J32" s="88"/>
      <c r="L32" s="140"/>
      <c r="N32" s="140"/>
    </row>
    <row r="33" spans="1:14" s="6" customFormat="1">
      <c r="A33" s="136" t="s">
        <v>959</v>
      </c>
      <c r="B33" s="138" t="s">
        <v>958</v>
      </c>
      <c r="C33" s="5">
        <v>63804637</v>
      </c>
      <c r="D33" s="5"/>
      <c r="E33" s="5">
        <v>20</v>
      </c>
      <c r="F33" s="5" t="s">
        <v>616</v>
      </c>
      <c r="G33" s="5" t="s">
        <v>960</v>
      </c>
      <c r="H33" s="5"/>
      <c r="J33" s="88"/>
      <c r="L33" s="140"/>
      <c r="N33" s="140"/>
    </row>
    <row r="34" spans="1:14" s="6" customFormat="1">
      <c r="A34" s="136" t="s">
        <v>959</v>
      </c>
      <c r="B34" s="165" t="s">
        <v>885</v>
      </c>
      <c r="C34" s="5">
        <v>95583528</v>
      </c>
      <c r="D34" s="5"/>
      <c r="E34" s="5"/>
      <c r="F34" s="5" t="s">
        <v>1879</v>
      </c>
      <c r="G34" s="5" t="s">
        <v>963</v>
      </c>
      <c r="H34" s="5"/>
      <c r="J34" s="88"/>
      <c r="L34" s="140"/>
      <c r="N34" s="140"/>
    </row>
    <row r="35" spans="1:14" s="6" customFormat="1">
      <c r="A35" s="136" t="s">
        <v>959</v>
      </c>
      <c r="B35" s="211" t="s">
        <v>967</v>
      </c>
      <c r="C35" s="5">
        <v>99087510</v>
      </c>
      <c r="D35" s="5"/>
      <c r="E35" s="5"/>
      <c r="F35" s="5" t="s">
        <v>1871</v>
      </c>
      <c r="G35" s="5" t="s">
        <v>968</v>
      </c>
      <c r="H35" s="5"/>
      <c r="J35" s="88"/>
      <c r="L35" s="140" t="s">
        <v>1618</v>
      </c>
      <c r="N35" s="140"/>
    </row>
    <row r="36" spans="1:14" s="6" customFormat="1">
      <c r="A36" s="136" t="s">
        <v>959</v>
      </c>
      <c r="B36" s="158" t="s">
        <v>970</v>
      </c>
      <c r="C36" s="5"/>
      <c r="D36" s="5"/>
      <c r="E36" s="5"/>
      <c r="F36" s="5" t="s">
        <v>1880</v>
      </c>
      <c r="G36" s="5" t="s">
        <v>971</v>
      </c>
      <c r="H36" s="5"/>
      <c r="J36" s="88"/>
      <c r="L36" s="140"/>
      <c r="N36" s="140"/>
    </row>
    <row r="37" spans="1:14" s="6" customFormat="1">
      <c r="A37" s="139" t="s">
        <v>973</v>
      </c>
      <c r="B37" s="144" t="s">
        <v>974</v>
      </c>
      <c r="C37" s="5">
        <v>40665497</v>
      </c>
      <c r="D37" s="5"/>
      <c r="E37" s="5">
        <v>24</v>
      </c>
      <c r="F37" s="5" t="s">
        <v>1910</v>
      </c>
      <c r="G37" s="5" t="s">
        <v>975</v>
      </c>
      <c r="H37" s="5"/>
      <c r="J37" s="139" t="s">
        <v>985</v>
      </c>
      <c r="L37" s="140"/>
      <c r="N37" s="140"/>
    </row>
    <row r="38" spans="1:14" s="6" customFormat="1">
      <c r="A38" s="139" t="s">
        <v>973</v>
      </c>
      <c r="B38" s="144" t="s">
        <v>992</v>
      </c>
      <c r="C38" s="5">
        <v>57135624</v>
      </c>
      <c r="D38" s="5"/>
      <c r="E38" s="5">
        <v>33</v>
      </c>
      <c r="F38" s="5" t="s">
        <v>1910</v>
      </c>
      <c r="G38" s="5" t="s">
        <v>976</v>
      </c>
      <c r="H38" s="5"/>
      <c r="J38" s="139" t="s">
        <v>986</v>
      </c>
      <c r="L38" s="140"/>
      <c r="N38" s="140"/>
    </row>
    <row r="39" spans="1:14" s="6" customFormat="1">
      <c r="A39" s="139" t="s">
        <v>973</v>
      </c>
      <c r="B39" s="150" t="s">
        <v>978</v>
      </c>
      <c r="C39" s="5">
        <v>43037916</v>
      </c>
      <c r="D39" s="5"/>
      <c r="E39" s="5"/>
      <c r="F39" s="5" t="s">
        <v>1928</v>
      </c>
      <c r="G39" s="5" t="s">
        <v>979</v>
      </c>
      <c r="H39" s="5"/>
      <c r="J39" s="139" t="s">
        <v>987</v>
      </c>
      <c r="L39" s="140"/>
      <c r="N39" s="140"/>
    </row>
    <row r="40" spans="1:14" s="6" customFormat="1">
      <c r="A40" s="139" t="s">
        <v>973</v>
      </c>
      <c r="B40" s="165" t="s">
        <v>982</v>
      </c>
      <c r="C40" s="5">
        <v>57656509</v>
      </c>
      <c r="D40" s="5" t="s">
        <v>993</v>
      </c>
      <c r="E40" s="5"/>
      <c r="F40" s="5" t="s">
        <v>1882</v>
      </c>
      <c r="G40" s="5" t="s">
        <v>1135</v>
      </c>
      <c r="H40" s="5"/>
      <c r="J40" s="139" t="s">
        <v>988</v>
      </c>
      <c r="L40" s="140"/>
      <c r="N40" s="140"/>
    </row>
    <row r="41" spans="1:14" s="6" customFormat="1">
      <c r="A41" s="139" t="s">
        <v>973</v>
      </c>
      <c r="B41" s="144" t="s">
        <v>983</v>
      </c>
      <c r="C41" s="5">
        <v>25491838</v>
      </c>
      <c r="D41" s="5"/>
      <c r="E41" s="5">
        <v>33</v>
      </c>
      <c r="F41" s="5" t="s">
        <v>1910</v>
      </c>
      <c r="G41" s="5" t="s">
        <v>984</v>
      </c>
      <c r="H41" s="5"/>
      <c r="J41" s="139" t="s">
        <v>989</v>
      </c>
      <c r="L41" s="140"/>
      <c r="N41" s="140"/>
    </row>
    <row r="42" spans="1:14" s="6" customFormat="1">
      <c r="A42" s="139" t="s">
        <v>973</v>
      </c>
      <c r="B42" s="211" t="s">
        <v>939</v>
      </c>
      <c r="C42" s="5">
        <v>68347276</v>
      </c>
      <c r="D42" s="242" t="s">
        <v>1685</v>
      </c>
      <c r="E42" s="242" t="s">
        <v>1272</v>
      </c>
      <c r="F42" s="5" t="s">
        <v>666</v>
      </c>
      <c r="G42" s="5" t="s">
        <v>940</v>
      </c>
      <c r="H42" s="5"/>
      <c r="J42" s="88"/>
      <c r="L42" s="140" t="s">
        <v>2063</v>
      </c>
      <c r="N42" s="140"/>
    </row>
    <row r="43" spans="1:14" s="6" customFormat="1">
      <c r="A43" s="143" t="s">
        <v>999</v>
      </c>
      <c r="B43" s="164" t="s">
        <v>1040</v>
      </c>
      <c r="C43" s="5">
        <v>36748622</v>
      </c>
      <c r="D43" s="5" t="s">
        <v>583</v>
      </c>
      <c r="E43" s="5"/>
      <c r="F43" s="5" t="s">
        <v>1929</v>
      </c>
      <c r="G43" s="5" t="s">
        <v>1041</v>
      </c>
      <c r="H43" s="5"/>
      <c r="J43" s="88"/>
      <c r="L43" s="140"/>
      <c r="N43" s="140"/>
    </row>
    <row r="44" spans="1:14" s="6" customFormat="1">
      <c r="A44" s="143" t="s">
        <v>999</v>
      </c>
      <c r="B44" s="144" t="s">
        <v>1000</v>
      </c>
      <c r="C44" s="5"/>
      <c r="D44" s="5"/>
      <c r="E44" s="5">
        <v>24</v>
      </c>
      <c r="F44" s="5" t="s">
        <v>616</v>
      </c>
      <c r="G44" s="5" t="s">
        <v>1001</v>
      </c>
      <c r="H44" s="5"/>
      <c r="J44" s="88"/>
      <c r="L44" s="140"/>
      <c r="N44" s="140"/>
    </row>
    <row r="45" spans="1:14" s="6" customFormat="1">
      <c r="A45" s="143" t="s">
        <v>999</v>
      </c>
      <c r="B45" s="165" t="s">
        <v>1002</v>
      </c>
      <c r="C45" s="5">
        <v>42332860</v>
      </c>
      <c r="D45" s="5"/>
      <c r="E45" s="5"/>
      <c r="F45" s="5" t="s">
        <v>1884</v>
      </c>
      <c r="G45" s="5" t="s">
        <v>1003</v>
      </c>
      <c r="H45" s="5"/>
      <c r="J45" s="88"/>
      <c r="L45" s="140"/>
      <c r="N45" s="140"/>
    </row>
    <row r="46" spans="1:14" s="6" customFormat="1">
      <c r="A46" s="143" t="s">
        <v>1009</v>
      </c>
      <c r="B46" s="144" t="s">
        <v>1004</v>
      </c>
      <c r="C46" s="5">
        <v>90718005</v>
      </c>
      <c r="D46" s="5"/>
      <c r="E46" s="5"/>
      <c r="F46" s="5"/>
      <c r="G46" s="5"/>
      <c r="H46" s="5"/>
      <c r="J46" s="88"/>
      <c r="L46" s="140"/>
      <c r="N46" s="140"/>
    </row>
    <row r="47" spans="1:14" s="6" customFormat="1">
      <c r="A47" s="149" t="s">
        <v>1015</v>
      </c>
      <c r="B47" s="150" t="s">
        <v>1010</v>
      </c>
      <c r="C47" s="5">
        <v>27931029</v>
      </c>
      <c r="D47" s="5"/>
      <c r="E47" s="5"/>
      <c r="F47" s="5" t="s">
        <v>1894</v>
      </c>
      <c r="G47" s="5" t="s">
        <v>1011</v>
      </c>
      <c r="H47" s="5"/>
      <c r="J47" s="88"/>
      <c r="L47" s="140"/>
      <c r="N47" s="140"/>
    </row>
    <row r="48" spans="1:14" s="6" customFormat="1">
      <c r="A48" s="149" t="s">
        <v>1015</v>
      </c>
      <c r="B48" s="259" t="s">
        <v>1012</v>
      </c>
      <c r="C48" s="5">
        <v>72456879</v>
      </c>
      <c r="D48" s="5"/>
      <c r="E48" s="5"/>
      <c r="F48" s="5" t="s">
        <v>1894</v>
      </c>
      <c r="G48" s="5" t="s">
        <v>1011</v>
      </c>
      <c r="H48" s="5"/>
      <c r="J48" s="88"/>
      <c r="L48" s="140"/>
      <c r="N48" s="140"/>
    </row>
    <row r="49" spans="1:14" s="6" customFormat="1">
      <c r="A49" s="149" t="s">
        <v>1015</v>
      </c>
      <c r="B49" s="151" t="s">
        <v>1018</v>
      </c>
      <c r="C49" s="5">
        <v>41777269</v>
      </c>
      <c r="D49" s="5"/>
      <c r="E49" s="5">
        <v>22</v>
      </c>
      <c r="F49" s="5" t="s">
        <v>1885</v>
      </c>
      <c r="G49" s="5" t="s">
        <v>1019</v>
      </c>
      <c r="H49" s="5"/>
      <c r="J49" s="88"/>
      <c r="L49" s="140"/>
      <c r="N49" s="140"/>
    </row>
    <row r="50" spans="1:14" s="6" customFormat="1">
      <c r="A50" s="149" t="s">
        <v>1015</v>
      </c>
      <c r="B50" s="151" t="s">
        <v>1026</v>
      </c>
      <c r="C50" s="5">
        <v>26421370</v>
      </c>
      <c r="D50" s="5"/>
      <c r="E50" s="5"/>
      <c r="F50" s="5" t="s">
        <v>1910</v>
      </c>
      <c r="G50" s="5" t="s">
        <v>1027</v>
      </c>
      <c r="H50" s="5"/>
      <c r="J50" s="88">
        <v>32</v>
      </c>
      <c r="L50" s="140"/>
      <c r="N50" s="140"/>
    </row>
    <row r="51" spans="1:14" s="6" customFormat="1">
      <c r="A51" s="152" t="s">
        <v>1042</v>
      </c>
      <c r="B51" s="178" t="s">
        <v>693</v>
      </c>
      <c r="E51" s="6" t="s">
        <v>1932</v>
      </c>
      <c r="F51" s="6" t="s">
        <v>1930</v>
      </c>
      <c r="G51" s="6" t="s">
        <v>693</v>
      </c>
      <c r="H51" s="178" t="s">
        <v>1224</v>
      </c>
      <c r="I51" s="178"/>
      <c r="J51" s="88"/>
      <c r="L51" s="140"/>
      <c r="N51" s="140"/>
    </row>
    <row r="52" spans="1:14" s="6" customFormat="1">
      <c r="A52" s="152" t="s">
        <v>1042</v>
      </c>
      <c r="B52" s="179" t="s">
        <v>1085</v>
      </c>
      <c r="C52" s="5">
        <v>40578829</v>
      </c>
      <c r="D52" s="5"/>
      <c r="E52" s="5" t="s">
        <v>1274</v>
      </c>
      <c r="F52" s="5" t="s">
        <v>1929</v>
      </c>
      <c r="G52" s="5" t="s">
        <v>1044</v>
      </c>
      <c r="H52" s="5"/>
      <c r="J52" s="88"/>
      <c r="L52" s="140"/>
      <c r="N52" s="140"/>
    </row>
    <row r="53" spans="1:14" s="6" customFormat="1">
      <c r="A53" s="152" t="s">
        <v>1042</v>
      </c>
      <c r="B53" s="165" t="s">
        <v>1049</v>
      </c>
      <c r="C53" s="5">
        <v>65658348</v>
      </c>
      <c r="D53" s="5"/>
      <c r="E53" s="5"/>
      <c r="F53" s="5" t="s">
        <v>1872</v>
      </c>
      <c r="G53" s="5" t="s">
        <v>1052</v>
      </c>
      <c r="H53" s="5"/>
      <c r="J53" s="88"/>
      <c r="L53" s="140"/>
      <c r="N53" s="140"/>
    </row>
    <row r="54" spans="1:14" s="6" customFormat="1">
      <c r="A54" s="152" t="s">
        <v>1042</v>
      </c>
      <c r="B54" s="165" t="s">
        <v>1050</v>
      </c>
      <c r="C54" s="5">
        <v>37816128</v>
      </c>
      <c r="D54" s="5"/>
      <c r="E54" s="5" t="s">
        <v>1274</v>
      </c>
      <c r="F54" s="5" t="s">
        <v>1872</v>
      </c>
      <c r="G54" s="5" t="s">
        <v>1053</v>
      </c>
      <c r="H54" s="5"/>
      <c r="J54" s="88"/>
      <c r="L54" s="140"/>
      <c r="N54" s="140"/>
    </row>
    <row r="55" spans="1:14" s="6" customFormat="1">
      <c r="A55" s="152" t="s">
        <v>1042</v>
      </c>
      <c r="B55" s="177" t="s">
        <v>1186</v>
      </c>
      <c r="C55" s="5">
        <v>25226906</v>
      </c>
      <c r="D55" s="5"/>
      <c r="E55" s="5" t="s">
        <v>1272</v>
      </c>
      <c r="F55" s="5" t="s">
        <v>1894</v>
      </c>
      <c r="G55" s="5" t="s">
        <v>1051</v>
      </c>
      <c r="H55" s="5"/>
      <c r="J55" s="88"/>
      <c r="L55" s="140"/>
      <c r="N55" s="140"/>
    </row>
    <row r="56" spans="1:14" s="6" customFormat="1">
      <c r="A56" s="154" t="s">
        <v>1074</v>
      </c>
      <c r="B56" s="176" t="s">
        <v>1073</v>
      </c>
      <c r="C56" s="5">
        <v>21101008</v>
      </c>
      <c r="D56" s="5"/>
      <c r="E56" s="5"/>
      <c r="F56" s="5" t="s">
        <v>1887</v>
      </c>
      <c r="G56" s="5" t="s">
        <v>1075</v>
      </c>
      <c r="H56" s="5"/>
      <c r="J56" s="88"/>
      <c r="L56" s="140"/>
      <c r="N56" s="140"/>
    </row>
    <row r="57" spans="1:14" s="6" customFormat="1">
      <c r="A57" s="154" t="s">
        <v>1074</v>
      </c>
      <c r="B57" s="158" t="s">
        <v>1090</v>
      </c>
      <c r="C57" s="5">
        <v>41199038</v>
      </c>
      <c r="D57" s="5"/>
      <c r="E57" s="5"/>
      <c r="F57" s="5" t="s">
        <v>1930</v>
      </c>
      <c r="G57" s="5" t="s">
        <v>1105</v>
      </c>
      <c r="H57" s="5"/>
      <c r="J57" s="88"/>
      <c r="L57" s="140"/>
      <c r="N57" s="140"/>
    </row>
    <row r="58" spans="1:14" s="6" customFormat="1">
      <c r="A58" s="154" t="s">
        <v>1074</v>
      </c>
      <c r="B58" s="165" t="s">
        <v>1076</v>
      </c>
      <c r="C58" s="5">
        <v>89285266</v>
      </c>
      <c r="D58" s="5"/>
      <c r="E58" s="5"/>
      <c r="F58" s="5" t="s">
        <v>1878</v>
      </c>
      <c r="G58" s="5" t="s">
        <v>1077</v>
      </c>
      <c r="H58" s="5"/>
      <c r="J58" s="88">
        <v>29.8</v>
      </c>
      <c r="L58" s="140"/>
      <c r="N58" s="140"/>
    </row>
    <row r="59" spans="1:14" s="6" customFormat="1">
      <c r="A59" s="154" t="s">
        <v>1074</v>
      </c>
      <c r="B59" s="164" t="s">
        <v>1078</v>
      </c>
      <c r="C59" s="5">
        <v>44166927</v>
      </c>
      <c r="D59" s="5"/>
      <c r="E59" s="5"/>
      <c r="F59" s="5" t="s">
        <v>1888</v>
      </c>
      <c r="G59" s="5" t="s">
        <v>1079</v>
      </c>
      <c r="H59" s="5"/>
      <c r="J59" s="88"/>
      <c r="L59" s="140"/>
      <c r="N59" s="140"/>
    </row>
    <row r="60" spans="1:14" s="6" customFormat="1">
      <c r="A60" s="154" t="s">
        <v>1074</v>
      </c>
      <c r="B60" s="164" t="s">
        <v>1080</v>
      </c>
      <c r="C60" s="5">
        <v>28545320</v>
      </c>
      <c r="D60" s="5"/>
      <c r="E60" s="5"/>
      <c r="F60" s="5" t="s">
        <v>912</v>
      </c>
      <c r="G60" s="5" t="s">
        <v>1081</v>
      </c>
      <c r="H60" s="5"/>
      <c r="J60" s="88"/>
      <c r="L60" s="140"/>
      <c r="N60" s="140"/>
    </row>
    <row r="61" spans="1:14" s="6" customFormat="1">
      <c r="A61" s="159" t="s">
        <v>1094</v>
      </c>
      <c r="B61" s="165" t="s">
        <v>1093</v>
      </c>
      <c r="C61" s="5">
        <v>25970646</v>
      </c>
      <c r="D61" s="5"/>
      <c r="E61" s="5"/>
      <c r="F61" s="5" t="s">
        <v>1878</v>
      </c>
      <c r="G61" s="5" t="s">
        <v>1095</v>
      </c>
      <c r="H61" s="5"/>
      <c r="J61" s="88"/>
      <c r="L61" s="140"/>
      <c r="N61" s="140"/>
    </row>
    <row r="62" spans="1:14" s="6" customFormat="1">
      <c r="A62" s="159" t="s">
        <v>1094</v>
      </c>
      <c r="B62" s="165" t="s">
        <v>1101</v>
      </c>
      <c r="C62" s="5">
        <v>43923254</v>
      </c>
      <c r="D62" s="5"/>
      <c r="E62" s="5" t="s">
        <v>1272</v>
      </c>
      <c r="F62" s="5" t="s">
        <v>1870</v>
      </c>
      <c r="G62" s="5" t="s">
        <v>1102</v>
      </c>
      <c r="H62" s="5"/>
      <c r="J62" s="88"/>
      <c r="L62" s="140" t="s">
        <v>2063</v>
      </c>
      <c r="N62" s="140"/>
    </row>
    <row r="63" spans="1:14" s="6" customFormat="1">
      <c r="A63" s="159" t="s">
        <v>1094</v>
      </c>
      <c r="B63" s="302" t="s">
        <v>1131</v>
      </c>
      <c r="C63" s="5">
        <v>77939522</v>
      </c>
      <c r="D63" s="5" t="s">
        <v>2069</v>
      </c>
      <c r="E63" s="5" t="s">
        <v>1932</v>
      </c>
      <c r="F63" s="5" t="s">
        <v>1870</v>
      </c>
      <c r="G63" s="5" t="s">
        <v>1103</v>
      </c>
      <c r="H63" s="5"/>
      <c r="I63" s="2" t="s">
        <v>3076</v>
      </c>
      <c r="J63" s="88"/>
      <c r="K63" s="6">
        <v>2</v>
      </c>
      <c r="L63" s="140"/>
      <c r="N63" s="140"/>
    </row>
    <row r="64" spans="1:14" s="6" customFormat="1">
      <c r="A64" s="159" t="s">
        <v>1094</v>
      </c>
      <c r="B64" s="176" t="s">
        <v>1024</v>
      </c>
      <c r="C64" s="5">
        <v>89586855</v>
      </c>
      <c r="D64" s="5"/>
      <c r="E64" s="5" t="s">
        <v>1273</v>
      </c>
      <c r="F64" s="5" t="s">
        <v>1889</v>
      </c>
      <c r="G64" s="5" t="s">
        <v>1025</v>
      </c>
      <c r="H64" s="5"/>
      <c r="J64" s="88"/>
      <c r="L64" s="140"/>
      <c r="N64" s="140"/>
    </row>
    <row r="65" spans="1:14" s="6" customFormat="1">
      <c r="A65" s="160" t="s">
        <v>1107</v>
      </c>
      <c r="B65" s="164" t="s">
        <v>1106</v>
      </c>
      <c r="C65" s="5">
        <v>65519116</v>
      </c>
      <c r="D65" s="5"/>
      <c r="E65" s="5"/>
      <c r="F65" s="5" t="s">
        <v>1877</v>
      </c>
      <c r="G65" s="5" t="s">
        <v>1108</v>
      </c>
      <c r="H65" s="5"/>
      <c r="J65" s="88"/>
      <c r="L65" s="140"/>
      <c r="N65" s="140"/>
    </row>
    <row r="66" spans="1:14" s="6" customFormat="1">
      <c r="A66" s="160" t="s">
        <v>1107</v>
      </c>
      <c r="B66" s="164" t="s">
        <v>1104</v>
      </c>
      <c r="C66" s="5">
        <v>55755913</v>
      </c>
      <c r="D66" s="5"/>
      <c r="E66" s="5" t="s">
        <v>1275</v>
      </c>
      <c r="F66" s="5" t="s">
        <v>1890</v>
      </c>
      <c r="G66" s="5" t="s">
        <v>1109</v>
      </c>
      <c r="H66" s="5"/>
      <c r="J66" s="88"/>
      <c r="L66" s="140"/>
      <c r="N66" s="140"/>
    </row>
    <row r="67" spans="1:14" s="6" customFormat="1">
      <c r="A67" s="160" t="s">
        <v>1107</v>
      </c>
      <c r="B67" s="306" t="s">
        <v>1110</v>
      </c>
      <c r="C67" s="2">
        <v>92694277</v>
      </c>
      <c r="D67" s="2" t="s">
        <v>2068</v>
      </c>
      <c r="E67" s="2" t="s">
        <v>2057</v>
      </c>
      <c r="F67" s="2" t="s">
        <v>1870</v>
      </c>
      <c r="G67" s="2" t="s">
        <v>1111</v>
      </c>
      <c r="H67" s="2">
        <v>23</v>
      </c>
      <c r="J67" s="88"/>
      <c r="K67" s="6">
        <v>2</v>
      </c>
      <c r="L67" s="140"/>
      <c r="N67" s="140"/>
    </row>
    <row r="68" spans="1:14" s="6" customFormat="1">
      <c r="A68" s="163" t="s">
        <v>1118</v>
      </c>
      <c r="B68" s="164" t="s">
        <v>1114</v>
      </c>
      <c r="C68" s="5">
        <v>92856984</v>
      </c>
      <c r="D68" s="5"/>
      <c r="E68" s="5"/>
      <c r="F68" s="5" t="s">
        <v>1881</v>
      </c>
      <c r="G68" s="5" t="s">
        <v>1115</v>
      </c>
      <c r="H68" s="5"/>
      <c r="J68" s="88"/>
      <c r="L68" s="140"/>
      <c r="N68" s="140"/>
    </row>
    <row r="69" spans="1:14" s="6" customFormat="1">
      <c r="A69" s="163" t="s">
        <v>1118</v>
      </c>
      <c r="B69" s="179" t="s">
        <v>1116</v>
      </c>
      <c r="C69" s="5">
        <v>64184532</v>
      </c>
      <c r="D69" s="5"/>
      <c r="E69" s="5" t="s">
        <v>1272</v>
      </c>
      <c r="F69" s="5" t="s">
        <v>1870</v>
      </c>
      <c r="G69" s="5" t="s">
        <v>1117</v>
      </c>
      <c r="H69" s="5"/>
      <c r="J69" s="88"/>
      <c r="L69" s="140" t="s">
        <v>2063</v>
      </c>
      <c r="N69" s="140"/>
    </row>
    <row r="70" spans="1:14" s="6" customFormat="1">
      <c r="A70" s="163" t="s">
        <v>1118</v>
      </c>
      <c r="B70" s="167" t="s">
        <v>1119</v>
      </c>
      <c r="C70" s="5">
        <v>63877171</v>
      </c>
      <c r="D70" s="5"/>
      <c r="E70" s="5"/>
      <c r="F70" s="5" t="s">
        <v>1891</v>
      </c>
      <c r="G70" s="5" t="s">
        <v>1120</v>
      </c>
      <c r="H70" s="5"/>
      <c r="J70" s="88"/>
      <c r="L70" s="140"/>
      <c r="N70" s="140"/>
    </row>
    <row r="71" spans="1:14" s="6" customFormat="1">
      <c r="A71" s="163" t="s">
        <v>1118</v>
      </c>
      <c r="B71" s="198" t="s">
        <v>1123</v>
      </c>
      <c r="C71" s="5">
        <v>63638334</v>
      </c>
      <c r="D71" s="5"/>
      <c r="E71" s="5"/>
      <c r="F71" s="5" t="s">
        <v>1892</v>
      </c>
      <c r="G71" s="5" t="s">
        <v>1124</v>
      </c>
      <c r="H71" s="5"/>
      <c r="J71" s="88"/>
      <c r="L71" s="222" t="s">
        <v>1443</v>
      </c>
      <c r="N71" s="140"/>
    </row>
    <row r="72" spans="1:14" s="6" customFormat="1">
      <c r="A72" s="166" t="s">
        <v>1145</v>
      </c>
      <c r="B72" s="177" t="s">
        <v>1143</v>
      </c>
      <c r="C72" s="5">
        <v>37191548</v>
      </c>
      <c r="D72" s="5"/>
      <c r="E72" s="5"/>
      <c r="F72" s="5" t="s">
        <v>1893</v>
      </c>
      <c r="G72" s="5" t="s">
        <v>1144</v>
      </c>
      <c r="H72" s="5"/>
      <c r="J72" s="88"/>
      <c r="L72" s="140"/>
      <c r="N72" s="140"/>
    </row>
    <row r="73" spans="1:14" s="6" customFormat="1">
      <c r="A73" s="168" t="s">
        <v>1152</v>
      </c>
      <c r="B73" s="176" t="s">
        <v>1133</v>
      </c>
      <c r="C73" s="5">
        <v>31541163</v>
      </c>
      <c r="D73" s="5"/>
      <c r="E73" s="5"/>
      <c r="F73" s="5" t="s">
        <v>1875</v>
      </c>
      <c r="G73" s="5" t="s">
        <v>1134</v>
      </c>
      <c r="H73" s="5"/>
      <c r="J73" s="88"/>
      <c r="L73" s="140"/>
      <c r="N73" s="140"/>
    </row>
    <row r="74" spans="1:14" s="6" customFormat="1">
      <c r="A74" s="168" t="s">
        <v>1152</v>
      </c>
      <c r="B74" s="176" t="s">
        <v>1153</v>
      </c>
      <c r="C74" s="5">
        <v>55979210</v>
      </c>
      <c r="D74" s="5"/>
      <c r="E74" s="5" t="s">
        <v>1275</v>
      </c>
      <c r="F74" s="5" t="s">
        <v>1894</v>
      </c>
      <c r="G74" s="5" t="s">
        <v>1154</v>
      </c>
      <c r="H74" s="5"/>
      <c r="J74" s="88"/>
      <c r="L74" s="140"/>
      <c r="N74" s="140"/>
    </row>
    <row r="75" spans="1:14" s="6" customFormat="1">
      <c r="A75" s="168" t="s">
        <v>1152</v>
      </c>
      <c r="B75" s="168" t="s">
        <v>757</v>
      </c>
      <c r="E75" s="6" t="s">
        <v>1932</v>
      </c>
      <c r="H75" s="6">
        <f>29.5-5</f>
        <v>24.5</v>
      </c>
      <c r="J75" s="88"/>
      <c r="L75" s="140"/>
      <c r="N75" s="140"/>
    </row>
    <row r="76" spans="1:14" s="6" customFormat="1">
      <c r="A76" s="168" t="s">
        <v>1152</v>
      </c>
      <c r="B76" s="176" t="s">
        <v>1156</v>
      </c>
      <c r="C76" s="5">
        <v>76400542</v>
      </c>
      <c r="D76" s="5"/>
      <c r="E76" s="5"/>
      <c r="F76" s="5" t="s">
        <v>1878</v>
      </c>
      <c r="G76" s="169" t="s">
        <v>1157</v>
      </c>
      <c r="H76" s="5"/>
      <c r="J76" s="88"/>
      <c r="L76" s="140"/>
      <c r="N76" s="140"/>
    </row>
    <row r="77" spans="1:14" s="6" customFormat="1">
      <c r="A77" s="170" t="s">
        <v>1174</v>
      </c>
      <c r="B77" s="177" t="s">
        <v>1173</v>
      </c>
      <c r="C77" s="5">
        <v>41041576</v>
      </c>
      <c r="D77" s="5"/>
      <c r="E77" s="5" t="s">
        <v>1274</v>
      </c>
      <c r="F77" s="5" t="s">
        <v>1910</v>
      </c>
      <c r="G77" s="5" t="s">
        <v>1175</v>
      </c>
      <c r="H77" s="5"/>
      <c r="J77" s="170" t="s">
        <v>1176</v>
      </c>
      <c r="K77" s="2">
        <v>1.5</v>
      </c>
      <c r="L77" s="44" t="s">
        <v>1396</v>
      </c>
      <c r="N77" s="140"/>
    </row>
    <row r="78" spans="1:14" s="6" customFormat="1">
      <c r="A78" s="170" t="s">
        <v>1174</v>
      </c>
      <c r="B78" s="179" t="s">
        <v>1180</v>
      </c>
      <c r="C78" s="5">
        <v>70020043</v>
      </c>
      <c r="D78" s="5"/>
      <c r="E78" s="5" t="s">
        <v>1273</v>
      </c>
      <c r="F78" s="5" t="s">
        <v>1878</v>
      </c>
      <c r="G78" s="5" t="s">
        <v>1181</v>
      </c>
      <c r="H78" s="5"/>
      <c r="J78" s="88"/>
      <c r="L78" s="140"/>
      <c r="N78" s="140"/>
    </row>
    <row r="79" spans="1:14" s="6" customFormat="1">
      <c r="A79" s="170" t="s">
        <v>1174</v>
      </c>
      <c r="B79" s="177" t="s">
        <v>1182</v>
      </c>
      <c r="C79" s="5">
        <v>71495170</v>
      </c>
      <c r="D79" s="5"/>
      <c r="E79" s="5" t="s">
        <v>1275</v>
      </c>
      <c r="F79" s="5" t="s">
        <v>1910</v>
      </c>
      <c r="G79" s="5" t="s">
        <v>1183</v>
      </c>
      <c r="H79" s="5"/>
      <c r="J79" s="170" t="s">
        <v>1176</v>
      </c>
      <c r="L79" s="140"/>
      <c r="N79" s="140"/>
    </row>
    <row r="80" spans="1:14" s="6" customFormat="1">
      <c r="A80" s="170" t="s">
        <v>1174</v>
      </c>
      <c r="B80" s="242" t="s">
        <v>1387</v>
      </c>
      <c r="C80" s="5">
        <v>29506023</v>
      </c>
      <c r="D80" s="5"/>
      <c r="E80" s="5"/>
      <c r="F80" s="5" t="s">
        <v>1910</v>
      </c>
      <c r="G80" s="202" t="s">
        <v>1194</v>
      </c>
      <c r="H80" s="5"/>
      <c r="J80" s="170" t="s">
        <v>1176</v>
      </c>
      <c r="K80" s="178" t="s">
        <v>1220</v>
      </c>
      <c r="L80" s="140"/>
      <c r="N80" s="140"/>
    </row>
    <row r="81" spans="1:14" s="6" customFormat="1">
      <c r="A81" s="170" t="s">
        <v>1174</v>
      </c>
      <c r="B81" s="177" t="s">
        <v>1202</v>
      </c>
      <c r="C81" s="5">
        <v>28075206</v>
      </c>
      <c r="D81" s="5"/>
      <c r="E81" s="5" t="s">
        <v>1275</v>
      </c>
      <c r="F81" s="5" t="s">
        <v>1910</v>
      </c>
      <c r="G81" s="5" t="s">
        <v>1203</v>
      </c>
      <c r="H81" s="5"/>
      <c r="J81" s="170" t="s">
        <v>1177</v>
      </c>
      <c r="L81" s="140"/>
      <c r="N81" s="140"/>
    </row>
    <row r="82" spans="1:14" s="6" customFormat="1" ht="13.8" customHeight="1">
      <c r="A82" s="172" t="s">
        <v>1209</v>
      </c>
      <c r="B82" s="224" t="s">
        <v>1538</v>
      </c>
      <c r="C82" s="5">
        <v>29201871</v>
      </c>
      <c r="D82" s="242" t="s">
        <v>1685</v>
      </c>
      <c r="E82" s="242" t="s">
        <v>1273</v>
      </c>
      <c r="F82" s="5" t="s">
        <v>1910</v>
      </c>
      <c r="G82" s="5" t="s">
        <v>1210</v>
      </c>
      <c r="H82" s="5"/>
      <c r="J82" s="172" t="s">
        <v>1176</v>
      </c>
      <c r="L82" s="140"/>
      <c r="N82" s="140"/>
    </row>
    <row r="83" spans="1:14" s="6" customFormat="1">
      <c r="A83" s="173" t="s">
        <v>1212</v>
      </c>
      <c r="B83" s="231" t="s">
        <v>1211</v>
      </c>
      <c r="C83" s="5">
        <v>44716439</v>
      </c>
      <c r="D83" s="242" t="s">
        <v>1685</v>
      </c>
      <c r="E83" s="242" t="s">
        <v>1688</v>
      </c>
      <c r="F83" s="294" t="s">
        <v>1896</v>
      </c>
      <c r="G83" s="231" t="s">
        <v>1620</v>
      </c>
      <c r="H83" s="291"/>
      <c r="I83" s="173"/>
      <c r="J83" s="173" t="s">
        <v>1176</v>
      </c>
      <c r="L83" s="140"/>
      <c r="M83" s="6" t="s">
        <v>2020</v>
      </c>
      <c r="N83" s="140"/>
    </row>
    <row r="84" spans="1:14" s="6" customFormat="1" ht="43.2">
      <c r="A84" s="174" t="s">
        <v>1215</v>
      </c>
      <c r="B84" s="311" t="s">
        <v>2098</v>
      </c>
      <c r="C84" s="5">
        <v>77593076</v>
      </c>
      <c r="D84" s="5" t="s">
        <v>2069</v>
      </c>
      <c r="E84" s="5" t="s">
        <v>1932</v>
      </c>
      <c r="F84" s="5" t="s">
        <v>1899</v>
      </c>
      <c r="G84" s="5" t="s">
        <v>1748</v>
      </c>
      <c r="H84" s="5"/>
      <c r="J84" s="174" t="s">
        <v>1176</v>
      </c>
      <c r="K84" s="6">
        <v>23</v>
      </c>
      <c r="L84" s="140"/>
      <c r="N84" s="140"/>
    </row>
    <row r="85" spans="1:14" s="6" customFormat="1">
      <c r="A85" s="174" t="s">
        <v>1215</v>
      </c>
      <c r="B85" s="179" t="s">
        <v>1242</v>
      </c>
      <c r="C85" s="5">
        <v>26610061</v>
      </c>
      <c r="D85" s="5"/>
      <c r="E85" s="5"/>
      <c r="F85" s="5" t="s">
        <v>1910</v>
      </c>
      <c r="G85" s="5" t="s">
        <v>935</v>
      </c>
      <c r="H85" s="5"/>
      <c r="J85" s="174" t="s">
        <v>1176</v>
      </c>
      <c r="L85" s="140"/>
      <c r="N85" s="140"/>
    </row>
    <row r="86" spans="1:14" s="6" customFormat="1">
      <c r="A86" s="174" t="s">
        <v>1215</v>
      </c>
      <c r="B86" s="201" t="s">
        <v>1367</v>
      </c>
      <c r="C86" s="5">
        <v>40113265</v>
      </c>
      <c r="D86" s="242" t="s">
        <v>1685</v>
      </c>
      <c r="E86" s="242"/>
      <c r="F86" s="5" t="s">
        <v>2096</v>
      </c>
      <c r="G86" s="5" t="s">
        <v>1291</v>
      </c>
      <c r="H86" s="5"/>
      <c r="J86" s="174" t="s">
        <v>1176</v>
      </c>
      <c r="L86" s="140"/>
      <c r="N86" s="140"/>
    </row>
    <row r="87" spans="1:14" s="6" customFormat="1" ht="25.35" customHeight="1">
      <c r="A87" s="174" t="s">
        <v>1215</v>
      </c>
      <c r="B87" s="248" t="s">
        <v>1732</v>
      </c>
      <c r="C87" s="5"/>
      <c r="D87" s="5"/>
      <c r="E87" s="5"/>
      <c r="F87" s="5" t="s">
        <v>1910</v>
      </c>
      <c r="G87" s="5" t="s">
        <v>693</v>
      </c>
      <c r="H87" s="5"/>
      <c r="J87" s="174" t="s">
        <v>1176</v>
      </c>
      <c r="L87" s="140" t="s">
        <v>1854</v>
      </c>
      <c r="N87" s="140"/>
    </row>
    <row r="88" spans="1:14" s="6" customFormat="1">
      <c r="A88" s="175" t="s">
        <v>1216</v>
      </c>
      <c r="B88" s="182" t="s">
        <v>1294</v>
      </c>
      <c r="C88" s="5">
        <v>48264618</v>
      </c>
      <c r="D88" s="5"/>
      <c r="E88" s="5"/>
      <c r="F88" s="5" t="s">
        <v>1910</v>
      </c>
      <c r="G88" s="5" t="s">
        <v>1217</v>
      </c>
      <c r="H88" s="5"/>
      <c r="J88" s="175" t="s">
        <v>1218</v>
      </c>
      <c r="L88" s="140" t="s">
        <v>108</v>
      </c>
      <c r="N88" s="140"/>
    </row>
    <row r="89" spans="1:14" s="6" customFormat="1">
      <c r="A89" s="175" t="s">
        <v>1216</v>
      </c>
      <c r="B89" s="157" t="s">
        <v>1687</v>
      </c>
      <c r="C89" s="5">
        <v>38173626</v>
      </c>
      <c r="D89" s="5" t="s">
        <v>2070</v>
      </c>
      <c r="E89" s="5" t="s">
        <v>1932</v>
      </c>
      <c r="F89" s="5" t="s">
        <v>1871</v>
      </c>
      <c r="G89" s="325" t="s">
        <v>2196</v>
      </c>
      <c r="H89" s="5"/>
      <c r="J89" s="88"/>
      <c r="K89" s="6">
        <v>1</v>
      </c>
      <c r="L89" s="140"/>
      <c r="M89" s="6" t="s">
        <v>2330</v>
      </c>
      <c r="N89" s="140"/>
    </row>
    <row r="90" spans="1:14" s="6" customFormat="1">
      <c r="A90" s="175" t="s">
        <v>1216</v>
      </c>
      <c r="B90" s="211" t="s">
        <v>1329</v>
      </c>
      <c r="C90" s="5">
        <v>76162609</v>
      </c>
      <c r="D90" s="5"/>
      <c r="E90" s="5"/>
      <c r="F90" s="5"/>
      <c r="G90" s="192" t="s">
        <v>1313</v>
      </c>
      <c r="H90" s="5"/>
      <c r="J90" s="88"/>
      <c r="K90" s="241" t="s">
        <v>1692</v>
      </c>
      <c r="L90" s="140"/>
      <c r="N90" s="140"/>
    </row>
    <row r="91" spans="1:14" s="6" customFormat="1">
      <c r="A91" s="175" t="s">
        <v>1216</v>
      </c>
      <c r="B91" s="231" t="s">
        <v>1470</v>
      </c>
      <c r="C91" s="5">
        <v>72279341</v>
      </c>
      <c r="D91" s="242" t="s">
        <v>1685</v>
      </c>
      <c r="E91" s="242" t="s">
        <v>1273</v>
      </c>
      <c r="F91" s="5" t="s">
        <v>1874</v>
      </c>
      <c r="G91" s="225" t="s">
        <v>1219</v>
      </c>
      <c r="H91" s="5"/>
      <c r="J91" s="88"/>
      <c r="L91" s="140"/>
      <c r="M91" s="6" t="s">
        <v>1855</v>
      </c>
      <c r="N91" s="140"/>
    </row>
    <row r="92" spans="1:14" s="6" customFormat="1">
      <c r="A92" s="178" t="s">
        <v>1222</v>
      </c>
      <c r="B92" s="211" t="s">
        <v>1221</v>
      </c>
      <c r="C92" s="5">
        <v>81115891</v>
      </c>
      <c r="D92" s="5"/>
      <c r="E92" s="5" t="s">
        <v>1274</v>
      </c>
      <c r="F92" s="5" t="s">
        <v>1931</v>
      </c>
      <c r="G92" s="177" t="s">
        <v>1223</v>
      </c>
      <c r="H92" s="5"/>
      <c r="J92" s="88"/>
      <c r="L92" s="140"/>
      <c r="N92" s="140"/>
    </row>
    <row r="93" spans="1:14" s="6" customFormat="1">
      <c r="A93" s="178" t="s">
        <v>1222</v>
      </c>
      <c r="B93" s="259" t="s">
        <v>1227</v>
      </c>
      <c r="C93" s="5">
        <v>82210723</v>
      </c>
      <c r="D93" s="5"/>
      <c r="E93" s="5" t="s">
        <v>1273</v>
      </c>
      <c r="F93" s="5" t="s">
        <v>1897</v>
      </c>
      <c r="G93" s="177" t="s">
        <v>1231</v>
      </c>
      <c r="H93" s="5"/>
      <c r="J93" s="88"/>
      <c r="L93" s="140"/>
      <c r="N93" s="140"/>
    </row>
    <row r="94" spans="1:14" s="6" customFormat="1">
      <c r="A94" s="178" t="s">
        <v>1222</v>
      </c>
      <c r="B94" s="179" t="s">
        <v>1228</v>
      </c>
      <c r="C94" s="5">
        <v>79361527</v>
      </c>
      <c r="D94" s="5"/>
      <c r="E94" s="5" t="s">
        <v>1273</v>
      </c>
      <c r="F94" s="5" t="s">
        <v>1896</v>
      </c>
      <c r="G94" s="205" t="s">
        <v>1419</v>
      </c>
      <c r="H94" s="5"/>
      <c r="J94" s="88"/>
      <c r="L94" s="140"/>
      <c r="M94" s="6" t="s">
        <v>2044</v>
      </c>
      <c r="N94" s="140"/>
    </row>
    <row r="95" spans="1:14" s="6" customFormat="1">
      <c r="A95" s="178" t="s">
        <v>1222</v>
      </c>
      <c r="B95" s="179" t="s">
        <v>1229</v>
      </c>
      <c r="C95" s="5">
        <v>30875959</v>
      </c>
      <c r="D95" s="5"/>
      <c r="E95" s="5"/>
      <c r="F95" s="5" t="s">
        <v>1873</v>
      </c>
      <c r="G95" s="177" t="s">
        <v>1230</v>
      </c>
      <c r="H95" s="5"/>
      <c r="J95" s="88"/>
      <c r="L95" s="140"/>
      <c r="N95" s="140"/>
    </row>
    <row r="96" spans="1:14" s="6" customFormat="1">
      <c r="A96" s="177" t="s">
        <v>1222</v>
      </c>
      <c r="B96" s="205" t="s">
        <v>1232</v>
      </c>
      <c r="C96" s="5">
        <v>81181734</v>
      </c>
      <c r="D96" s="5"/>
      <c r="E96" s="5" t="s">
        <v>1274</v>
      </c>
      <c r="F96" s="5" t="s">
        <v>1897</v>
      </c>
      <c r="G96" s="177" t="s">
        <v>1233</v>
      </c>
      <c r="H96" s="5"/>
      <c r="J96" s="88"/>
      <c r="L96" s="140"/>
      <c r="N96" s="140"/>
    </row>
    <row r="97" spans="1:14" s="6" customFormat="1">
      <c r="A97" s="178" t="s">
        <v>1222</v>
      </c>
      <c r="B97" s="182" t="s">
        <v>1234</v>
      </c>
      <c r="C97" s="5"/>
      <c r="D97" s="5"/>
      <c r="E97" s="5"/>
      <c r="F97" s="5" t="s">
        <v>1898</v>
      </c>
      <c r="G97" s="177" t="s">
        <v>1235</v>
      </c>
      <c r="H97" s="5"/>
      <c r="J97" s="88"/>
      <c r="L97" s="140" t="s">
        <v>1633</v>
      </c>
      <c r="N97" s="140"/>
    </row>
    <row r="98" spans="1:14" s="6" customFormat="1">
      <c r="A98" s="178" t="s">
        <v>1222</v>
      </c>
      <c r="B98" s="205" t="s">
        <v>1416</v>
      </c>
      <c r="C98" s="5"/>
      <c r="D98" s="5"/>
      <c r="E98" s="5"/>
      <c r="F98" s="5" t="s">
        <v>1930</v>
      </c>
      <c r="G98" s="177" t="s">
        <v>693</v>
      </c>
      <c r="H98" s="5"/>
      <c r="J98" s="88"/>
      <c r="L98" s="140" t="s">
        <v>1855</v>
      </c>
      <c r="N98" s="140"/>
    </row>
    <row r="99" spans="1:14" s="6" customFormat="1">
      <c r="A99" s="178" t="s">
        <v>1222</v>
      </c>
      <c r="B99" s="194" t="s">
        <v>1236</v>
      </c>
      <c r="C99" s="5">
        <v>44279882</v>
      </c>
      <c r="D99" s="242" t="s">
        <v>1685</v>
      </c>
      <c r="E99" s="242" t="s">
        <v>1273</v>
      </c>
      <c r="F99" s="242" t="s">
        <v>1870</v>
      </c>
      <c r="G99" s="177" t="s">
        <v>1237</v>
      </c>
      <c r="H99" s="5"/>
      <c r="J99" s="88"/>
      <c r="L99" s="140" t="s">
        <v>2063</v>
      </c>
      <c r="N99" s="140"/>
    </row>
    <row r="100" spans="1:14" s="6" customFormat="1">
      <c r="A100" s="178" t="s">
        <v>1222</v>
      </c>
      <c r="B100" s="182" t="s">
        <v>1238</v>
      </c>
      <c r="C100" s="5">
        <v>17602036</v>
      </c>
      <c r="D100" s="5"/>
      <c r="E100" s="5"/>
      <c r="F100" s="5" t="s">
        <v>1875</v>
      </c>
      <c r="G100" s="177" t="s">
        <v>1240</v>
      </c>
      <c r="H100" s="177"/>
      <c r="I100" s="178"/>
      <c r="J100" s="88"/>
      <c r="L100" s="222" t="s">
        <v>1443</v>
      </c>
      <c r="N100" s="140"/>
    </row>
    <row r="101" spans="1:14" s="6" customFormat="1">
      <c r="A101" s="178" t="s">
        <v>1222</v>
      </c>
      <c r="B101" s="179" t="s">
        <v>1239</v>
      </c>
      <c r="C101" s="5">
        <v>51830800</v>
      </c>
      <c r="D101" s="5"/>
      <c r="E101" s="5"/>
      <c r="F101" s="5" t="s">
        <v>1878</v>
      </c>
      <c r="G101" s="177" t="s">
        <v>1241</v>
      </c>
      <c r="H101" s="5"/>
      <c r="J101" s="88"/>
      <c r="L101" s="140"/>
      <c r="N101" s="140"/>
    </row>
    <row r="102" spans="1:14" s="6" customFormat="1">
      <c r="A102" s="178" t="s">
        <v>1222</v>
      </c>
      <c r="B102" s="179" t="s">
        <v>1244</v>
      </c>
      <c r="C102" s="5">
        <v>18498694</v>
      </c>
      <c r="D102" s="5"/>
      <c r="E102" s="5" t="s">
        <v>1273</v>
      </c>
      <c r="F102" s="5" t="s">
        <v>1881</v>
      </c>
      <c r="G102" s="177" t="s">
        <v>1245</v>
      </c>
      <c r="H102" s="5"/>
      <c r="J102" s="88"/>
      <c r="L102" s="140"/>
      <c r="N102" s="140"/>
    </row>
    <row r="103" spans="1:14" s="6" customFormat="1">
      <c r="A103" s="178" t="s">
        <v>1222</v>
      </c>
      <c r="B103" s="192" t="s">
        <v>1162</v>
      </c>
      <c r="C103" s="5">
        <v>37631834</v>
      </c>
      <c r="D103" s="5"/>
      <c r="E103" s="5"/>
      <c r="F103" s="5" t="s">
        <v>1886</v>
      </c>
      <c r="G103" s="5" t="s">
        <v>1163</v>
      </c>
      <c r="H103" s="5"/>
      <c r="J103" s="88"/>
      <c r="L103" s="140"/>
      <c r="N103" s="140"/>
    </row>
    <row r="104" spans="1:14" s="6" customFormat="1">
      <c r="A104" s="180" t="s">
        <v>1276</v>
      </c>
      <c r="B104" s="179" t="s">
        <v>1281</v>
      </c>
      <c r="C104" s="5">
        <v>87543539</v>
      </c>
      <c r="D104" s="5"/>
      <c r="E104" s="5"/>
      <c r="F104" s="5" t="s">
        <v>1881</v>
      </c>
      <c r="G104" s="5" t="s">
        <v>1284</v>
      </c>
      <c r="H104" s="5"/>
      <c r="J104" s="88"/>
      <c r="L104" s="140"/>
      <c r="N104" s="140"/>
    </row>
    <row r="105" spans="1:14" s="6" customFormat="1">
      <c r="A105" s="180" t="s">
        <v>1276</v>
      </c>
      <c r="B105" s="194" t="s">
        <v>1289</v>
      </c>
      <c r="C105" s="5">
        <v>77797132</v>
      </c>
      <c r="D105" s="242" t="s">
        <v>1685</v>
      </c>
      <c r="E105" s="242" t="s">
        <v>1273</v>
      </c>
      <c r="F105" s="5" t="s">
        <v>1899</v>
      </c>
      <c r="G105" s="5" t="s">
        <v>1290</v>
      </c>
      <c r="H105" s="5"/>
      <c r="J105" s="88"/>
      <c r="L105" s="140"/>
      <c r="N105" s="140"/>
    </row>
    <row r="106" spans="1:14" s="6" customFormat="1">
      <c r="A106" s="183" t="s">
        <v>1299</v>
      </c>
      <c r="B106" s="211" t="s">
        <v>1297</v>
      </c>
      <c r="C106" s="5">
        <v>62416283</v>
      </c>
      <c r="D106" s="5"/>
      <c r="E106" s="5"/>
      <c r="F106" s="5" t="s">
        <v>1877</v>
      </c>
      <c r="G106" s="5" t="s">
        <v>1298</v>
      </c>
      <c r="H106" s="5"/>
      <c r="J106" s="88"/>
      <c r="L106" s="140"/>
      <c r="N106" s="140"/>
    </row>
    <row r="107" spans="1:14" s="6" customFormat="1">
      <c r="A107" s="191" t="s">
        <v>1324</v>
      </c>
      <c r="B107" s="211" t="s">
        <v>1466</v>
      </c>
      <c r="C107" s="5">
        <v>21447098</v>
      </c>
      <c r="D107" s="242" t="s">
        <v>1685</v>
      </c>
      <c r="E107" s="242"/>
      <c r="F107" s="242" t="s">
        <v>1914</v>
      </c>
      <c r="G107" s="5" t="s">
        <v>1388</v>
      </c>
      <c r="H107" s="5"/>
      <c r="J107" s="88"/>
      <c r="L107" s="140"/>
      <c r="N107" s="140"/>
    </row>
    <row r="108" spans="1:14" s="6" customFormat="1">
      <c r="A108" s="191" t="s">
        <v>1324</v>
      </c>
      <c r="B108" s="429" t="s">
        <v>1463</v>
      </c>
      <c r="C108" s="5">
        <v>70915322</v>
      </c>
      <c r="D108" s="448" t="s">
        <v>2894</v>
      </c>
      <c r="E108" s="429" t="s">
        <v>1688</v>
      </c>
      <c r="F108" s="309" t="s">
        <v>1921</v>
      </c>
      <c r="G108" s="207" t="s">
        <v>1325</v>
      </c>
      <c r="H108" s="5"/>
      <c r="I108" s="2"/>
      <c r="J108" s="88">
        <v>24</v>
      </c>
      <c r="L108" s="140"/>
      <c r="N108" s="140"/>
    </row>
    <row r="109" spans="1:14" s="6" customFormat="1">
      <c r="A109" s="191" t="s">
        <v>1324</v>
      </c>
      <c r="B109" s="224" t="s">
        <v>1305</v>
      </c>
      <c r="C109" s="5">
        <v>31525283</v>
      </c>
      <c r="D109" s="5"/>
      <c r="E109" s="5" t="s">
        <v>1306</v>
      </c>
      <c r="F109" s="5" t="s">
        <v>1878</v>
      </c>
      <c r="G109" s="5" t="s">
        <v>1326</v>
      </c>
      <c r="H109" s="5"/>
      <c r="J109" s="88"/>
      <c r="L109" s="140"/>
      <c r="N109" s="140"/>
    </row>
    <row r="110" spans="1:14" s="6" customFormat="1">
      <c r="A110" s="191" t="s">
        <v>1324</v>
      </c>
      <c r="B110" s="194" t="s">
        <v>1349</v>
      </c>
      <c r="C110" s="5"/>
      <c r="D110" s="5"/>
      <c r="E110" s="5"/>
      <c r="F110" s="5" t="s">
        <v>1873</v>
      </c>
      <c r="G110" s="5" t="s">
        <v>1327</v>
      </c>
      <c r="H110" s="5"/>
      <c r="J110" s="88"/>
      <c r="L110" s="140"/>
      <c r="N110" s="140"/>
    </row>
    <row r="111" spans="1:14" s="6" customFormat="1">
      <c r="A111" s="191" t="s">
        <v>1324</v>
      </c>
      <c r="B111" s="303" t="s">
        <v>1467</v>
      </c>
      <c r="C111" s="102">
        <v>43125634</v>
      </c>
      <c r="D111" s="102" t="s">
        <v>2068</v>
      </c>
      <c r="E111" s="102" t="s">
        <v>1932</v>
      </c>
      <c r="F111" s="102" t="s">
        <v>1870</v>
      </c>
      <c r="G111" s="102" t="s">
        <v>1376</v>
      </c>
      <c r="H111" s="102">
        <v>23.5</v>
      </c>
      <c r="J111" s="88"/>
      <c r="K111" s="6">
        <v>2</v>
      </c>
      <c r="L111" s="140"/>
      <c r="N111" s="140"/>
    </row>
    <row r="112" spans="1:14" s="6" customFormat="1">
      <c r="A112" s="191" t="s">
        <v>1324</v>
      </c>
      <c r="B112" s="207" t="s">
        <v>1338</v>
      </c>
      <c r="C112" s="5">
        <v>11999024</v>
      </c>
      <c r="D112" s="5"/>
      <c r="E112" s="5"/>
      <c r="F112" s="5" t="s">
        <v>1910</v>
      </c>
      <c r="G112" s="5" t="s">
        <v>1328</v>
      </c>
      <c r="H112" s="5"/>
      <c r="J112" s="88">
        <v>24</v>
      </c>
      <c r="L112" s="140"/>
      <c r="N112" s="140"/>
    </row>
    <row r="113" spans="1:14" s="6" customFormat="1">
      <c r="A113" s="191" t="s">
        <v>1322</v>
      </c>
      <c r="B113" s="205" t="s">
        <v>1417</v>
      </c>
      <c r="C113" s="5"/>
      <c r="D113" s="5"/>
      <c r="E113" s="5"/>
      <c r="F113" s="5" t="s">
        <v>1930</v>
      </c>
      <c r="G113" s="5" t="s">
        <v>693</v>
      </c>
      <c r="H113" s="5"/>
      <c r="J113" s="88"/>
      <c r="L113" s="140" t="s">
        <v>1855</v>
      </c>
      <c r="N113" s="140"/>
    </row>
    <row r="114" spans="1:14" s="6" customFormat="1">
      <c r="A114" s="191" t="s">
        <v>1322</v>
      </c>
      <c r="B114" s="303" t="s">
        <v>1432</v>
      </c>
      <c r="C114" s="102">
        <v>37174774</v>
      </c>
      <c r="D114" s="102" t="s">
        <v>2069</v>
      </c>
      <c r="E114" s="102" t="s">
        <v>1932</v>
      </c>
      <c r="F114" s="102" t="s">
        <v>1870</v>
      </c>
      <c r="G114" s="102" t="s">
        <v>1323</v>
      </c>
      <c r="H114" s="102">
        <v>24</v>
      </c>
      <c r="J114" s="88"/>
      <c r="K114" s="6">
        <v>2</v>
      </c>
      <c r="L114" s="140"/>
      <c r="N114" s="140"/>
    </row>
    <row r="115" spans="1:14" s="6" customFormat="1">
      <c r="A115" s="191" t="s">
        <v>1322</v>
      </c>
      <c r="B115" s="224" t="s">
        <v>1576</v>
      </c>
      <c r="C115" s="5"/>
      <c r="D115" s="5"/>
      <c r="E115" s="5"/>
      <c r="F115" s="5" t="s">
        <v>1930</v>
      </c>
      <c r="G115" s="5" t="s">
        <v>693</v>
      </c>
      <c r="H115" s="5"/>
      <c r="J115" s="88"/>
      <c r="L115" s="140" t="s">
        <v>1855</v>
      </c>
      <c r="M115" s="6">
        <f>37-10-4-8-2</f>
        <v>13</v>
      </c>
      <c r="N115" s="140"/>
    </row>
    <row r="116" spans="1:14" s="6" customFormat="1" ht="20.55" customHeight="1">
      <c r="A116" s="191" t="s">
        <v>1322</v>
      </c>
      <c r="B116" s="214" t="s">
        <v>1478</v>
      </c>
      <c r="C116" s="5"/>
      <c r="D116" s="5"/>
      <c r="E116" s="5"/>
      <c r="F116" s="5" t="s">
        <v>1930</v>
      </c>
      <c r="G116" s="5" t="s">
        <v>693</v>
      </c>
      <c r="H116" s="5"/>
      <c r="J116" s="88"/>
      <c r="L116" s="140" t="s">
        <v>1855</v>
      </c>
      <c r="N116" s="140"/>
    </row>
    <row r="117" spans="1:14" s="6" customFormat="1">
      <c r="A117" s="191" t="s">
        <v>1322</v>
      </c>
      <c r="B117" s="157" t="s">
        <v>1330</v>
      </c>
      <c r="C117" s="5">
        <v>40855598</v>
      </c>
      <c r="D117" s="5"/>
      <c r="E117" s="5"/>
      <c r="F117" s="5" t="s">
        <v>616</v>
      </c>
      <c r="G117" s="192" t="s">
        <v>1331</v>
      </c>
      <c r="H117" s="5"/>
      <c r="J117" s="88"/>
      <c r="L117" s="140"/>
      <c r="M117" s="227" t="s">
        <v>1590</v>
      </c>
      <c r="N117" s="140"/>
    </row>
    <row r="118" spans="1:14" s="6" customFormat="1">
      <c r="A118" s="191" t="s">
        <v>1322</v>
      </c>
      <c r="B118" s="242" t="s">
        <v>1699</v>
      </c>
      <c r="C118" s="5">
        <v>67357805</v>
      </c>
      <c r="D118" s="5"/>
      <c r="E118" s="5"/>
      <c r="F118" s="5" t="s">
        <v>551</v>
      </c>
      <c r="G118" s="5" t="s">
        <v>1332</v>
      </c>
      <c r="H118" s="5"/>
      <c r="J118" s="88"/>
      <c r="L118" s="140"/>
      <c r="N118" s="140"/>
    </row>
    <row r="119" spans="1:14" s="6" customFormat="1">
      <c r="A119" s="191" t="s">
        <v>1322</v>
      </c>
      <c r="B119" s="211" t="s">
        <v>1414</v>
      </c>
      <c r="C119" s="5">
        <v>94789970</v>
      </c>
      <c r="D119" s="5"/>
      <c r="E119" s="5"/>
      <c r="F119" s="5" t="s">
        <v>1894</v>
      </c>
      <c r="G119" s="5" t="s">
        <v>1333</v>
      </c>
      <c r="H119" s="5"/>
      <c r="J119" s="88"/>
      <c r="L119" s="140"/>
      <c r="N119" s="140"/>
    </row>
    <row r="120" spans="1:14" s="6" customFormat="1">
      <c r="A120" s="191" t="s">
        <v>1322</v>
      </c>
      <c r="B120" s="236" t="s">
        <v>1336</v>
      </c>
      <c r="C120" s="5">
        <v>66761535</v>
      </c>
      <c r="D120" s="5"/>
      <c r="E120" s="5"/>
      <c r="F120" s="5" t="s">
        <v>1874</v>
      </c>
      <c r="G120" s="5" t="s">
        <v>1337</v>
      </c>
      <c r="H120" s="5"/>
      <c r="J120" s="88"/>
      <c r="L120" s="140" t="s">
        <v>1718</v>
      </c>
      <c r="N120" s="140"/>
    </row>
    <row r="121" spans="1:14" s="6" customFormat="1">
      <c r="A121" s="191" t="s">
        <v>1322</v>
      </c>
      <c r="B121" s="211" t="s">
        <v>1334</v>
      </c>
      <c r="C121" s="5">
        <v>63184280</v>
      </c>
      <c r="D121" s="5"/>
      <c r="E121" s="5"/>
      <c r="F121" s="5" t="s">
        <v>2026</v>
      </c>
      <c r="G121" s="5" t="s">
        <v>1335</v>
      </c>
      <c r="H121" s="5"/>
      <c r="J121" s="88"/>
      <c r="L121" s="140" t="s">
        <v>1718</v>
      </c>
      <c r="N121" s="140"/>
    </row>
    <row r="122" spans="1:14" s="6" customFormat="1">
      <c r="A122" s="191" t="s">
        <v>1322</v>
      </c>
      <c r="B122" s="198" t="s">
        <v>1339</v>
      </c>
      <c r="C122" s="5">
        <v>84322065</v>
      </c>
      <c r="D122" s="5"/>
      <c r="E122" s="5"/>
      <c r="F122" s="5" t="s">
        <v>1881</v>
      </c>
      <c r="G122" s="5" t="s">
        <v>597</v>
      </c>
      <c r="H122" s="5"/>
      <c r="J122" s="88"/>
      <c r="L122" s="140"/>
      <c r="N122" s="140"/>
    </row>
    <row r="123" spans="1:14" s="6" customFormat="1">
      <c r="A123" s="191" t="s">
        <v>1322</v>
      </c>
      <c r="B123" s="278" t="s">
        <v>1959</v>
      </c>
      <c r="C123" s="5">
        <v>10212792</v>
      </c>
      <c r="D123" s="5"/>
      <c r="E123" s="5"/>
      <c r="F123" s="5" t="s">
        <v>643</v>
      </c>
      <c r="G123" s="5" t="s">
        <v>1683</v>
      </c>
      <c r="H123" s="5"/>
      <c r="J123" s="88"/>
      <c r="L123" s="140">
        <v>1</v>
      </c>
      <c r="M123" s="6" t="s">
        <v>2374</v>
      </c>
      <c r="N123" s="140"/>
    </row>
    <row r="124" spans="1:14" s="6" customFormat="1">
      <c r="A124" s="193" t="s">
        <v>1346</v>
      </c>
      <c r="B124" s="495" t="s">
        <v>1539</v>
      </c>
      <c r="C124" s="102">
        <v>96503632</v>
      </c>
      <c r="D124" s="102" t="s">
        <v>2068</v>
      </c>
      <c r="E124" s="102" t="s">
        <v>1932</v>
      </c>
      <c r="F124" s="102" t="s">
        <v>1870</v>
      </c>
      <c r="G124" s="102" t="s">
        <v>1381</v>
      </c>
      <c r="H124" s="102">
        <v>19</v>
      </c>
      <c r="J124" s="88"/>
      <c r="L124" s="140">
        <v>1</v>
      </c>
      <c r="N124" s="140"/>
    </row>
    <row r="125" spans="1:14" s="6" customFormat="1">
      <c r="A125" s="193" t="s">
        <v>1346</v>
      </c>
      <c r="B125" s="224" t="s">
        <v>1577</v>
      </c>
      <c r="C125" s="5"/>
      <c r="D125" s="5"/>
      <c r="E125" s="5"/>
      <c r="F125" s="5"/>
      <c r="G125" s="5"/>
      <c r="H125" s="5"/>
      <c r="J125" s="88"/>
      <c r="L125" s="140"/>
      <c r="M125" s="6" t="s">
        <v>1590</v>
      </c>
      <c r="N125" s="140"/>
    </row>
    <row r="126" spans="1:14" s="6" customFormat="1">
      <c r="A126" s="193" t="s">
        <v>1346</v>
      </c>
      <c r="B126" s="205" t="s">
        <v>1435</v>
      </c>
      <c r="C126" s="5"/>
      <c r="D126" s="5"/>
      <c r="E126" s="5"/>
      <c r="F126" s="5" t="s">
        <v>1930</v>
      </c>
      <c r="G126" s="5" t="s">
        <v>693</v>
      </c>
      <c r="H126" s="5"/>
      <c r="J126" s="88"/>
      <c r="L126" s="140"/>
      <c r="M126" s="6" t="s">
        <v>1590</v>
      </c>
      <c r="N126" s="140"/>
    </row>
    <row r="127" spans="1:14" s="6" customFormat="1">
      <c r="A127" s="193" t="s">
        <v>1346</v>
      </c>
      <c r="B127" s="201" t="s">
        <v>1351</v>
      </c>
      <c r="C127" s="5">
        <v>70671628</v>
      </c>
      <c r="D127" s="242" t="s">
        <v>1685</v>
      </c>
      <c r="E127" s="242" t="s">
        <v>1273</v>
      </c>
      <c r="F127" s="5" t="s">
        <v>1910</v>
      </c>
      <c r="G127" s="194" t="s">
        <v>1359</v>
      </c>
      <c r="H127" s="5"/>
      <c r="J127" s="88">
        <v>24</v>
      </c>
      <c r="L127" s="140">
        <v>2</v>
      </c>
      <c r="N127" s="140"/>
    </row>
    <row r="128" spans="1:14" s="6" customFormat="1">
      <c r="A128" s="193" t="s">
        <v>1346</v>
      </c>
      <c r="B128" s="211" t="s">
        <v>1355</v>
      </c>
      <c r="C128" s="5"/>
      <c r="D128" s="5"/>
      <c r="E128" s="5"/>
      <c r="F128" s="5" t="s">
        <v>1898</v>
      </c>
      <c r="G128" s="194" t="s">
        <v>1356</v>
      </c>
      <c r="H128" s="5"/>
      <c r="J128" s="88"/>
      <c r="L128" s="140"/>
      <c r="M128" s="6" t="s">
        <v>1633</v>
      </c>
      <c r="N128" s="140"/>
    </row>
    <row r="129" spans="1:14" s="6" customFormat="1">
      <c r="A129" s="193" t="s">
        <v>1346</v>
      </c>
      <c r="B129" s="429" t="s">
        <v>1357</v>
      </c>
      <c r="C129" s="5">
        <v>79202315</v>
      </c>
      <c r="D129" s="429" t="s">
        <v>2790</v>
      </c>
      <c r="E129" s="431" t="s">
        <v>2816</v>
      </c>
      <c r="F129" s="242" t="s">
        <v>1914</v>
      </c>
      <c r="G129" s="194" t="s">
        <v>1358</v>
      </c>
      <c r="H129" s="5"/>
      <c r="J129" s="88"/>
      <c r="L129" s="140"/>
      <c r="N129" s="140"/>
    </row>
    <row r="130" spans="1:14" s="6" customFormat="1">
      <c r="A130" s="194" t="s">
        <v>1346</v>
      </c>
      <c r="B130" s="198" t="s">
        <v>1377</v>
      </c>
      <c r="C130" s="5"/>
      <c r="D130" s="5"/>
      <c r="E130" s="5"/>
      <c r="F130" s="5" t="s">
        <v>1886</v>
      </c>
      <c r="G130" s="194" t="s">
        <v>1363</v>
      </c>
      <c r="H130" s="5"/>
      <c r="J130" s="88"/>
      <c r="L130" s="140"/>
      <c r="N130" s="140"/>
    </row>
    <row r="131" spans="1:14" s="6" customFormat="1">
      <c r="A131" s="197" t="s">
        <v>1382</v>
      </c>
      <c r="B131" s="201" t="s">
        <v>1368</v>
      </c>
      <c r="C131" s="5">
        <v>97606964</v>
      </c>
      <c r="D131" s="5"/>
      <c r="E131" s="5"/>
      <c r="F131" s="5" t="s">
        <v>1883</v>
      </c>
      <c r="G131" s="198" t="s">
        <v>1369</v>
      </c>
      <c r="H131" s="5"/>
      <c r="J131" s="88"/>
      <c r="L131" s="140"/>
      <c r="N131" s="140"/>
    </row>
    <row r="132" spans="1:14" s="6" customFormat="1">
      <c r="A132" s="197" t="s">
        <v>1382</v>
      </c>
      <c r="B132" s="224" t="s">
        <v>1370</v>
      </c>
      <c r="C132" s="5">
        <v>68468739</v>
      </c>
      <c r="D132" s="5"/>
      <c r="E132" s="5"/>
      <c r="F132" s="5" t="s">
        <v>1874</v>
      </c>
      <c r="G132" s="218" t="s">
        <v>1510</v>
      </c>
      <c r="H132" s="5"/>
      <c r="J132" s="88"/>
      <c r="L132" s="140"/>
      <c r="M132" s="6" t="s">
        <v>1718</v>
      </c>
      <c r="N132" s="140"/>
    </row>
    <row r="133" spans="1:14" s="6" customFormat="1">
      <c r="A133" s="197" t="s">
        <v>1382</v>
      </c>
      <c r="B133" s="207" t="s">
        <v>1371</v>
      </c>
      <c r="C133" s="5">
        <v>24006739</v>
      </c>
      <c r="D133" s="5"/>
      <c r="E133" s="5"/>
      <c r="F133" s="5" t="s">
        <v>1894</v>
      </c>
      <c r="G133" s="198" t="s">
        <v>1372</v>
      </c>
      <c r="H133" s="5"/>
      <c r="J133" s="88"/>
      <c r="L133" s="140"/>
      <c r="N133" s="140"/>
    </row>
    <row r="134" spans="1:14" s="6" customFormat="1" ht="13.8" customHeight="1">
      <c r="A134" s="200" t="s">
        <v>1397</v>
      </c>
      <c r="B134" s="243" t="s">
        <v>1715</v>
      </c>
      <c r="C134" s="5"/>
      <c r="D134" s="5"/>
      <c r="E134" s="5"/>
      <c r="F134" s="5" t="s">
        <v>1910</v>
      </c>
      <c r="G134" s="201" t="s">
        <v>693</v>
      </c>
      <c r="H134" s="5"/>
      <c r="J134" s="88">
        <v>2</v>
      </c>
      <c r="L134" s="140"/>
      <c r="M134" s="6" t="s">
        <v>1855</v>
      </c>
      <c r="N134" s="140"/>
    </row>
    <row r="135" spans="1:14" s="6" customFormat="1" ht="13.8" customHeight="1">
      <c r="A135" s="200" t="s">
        <v>1397</v>
      </c>
      <c r="B135" s="207" t="s">
        <v>1398</v>
      </c>
      <c r="C135" s="5">
        <v>80607965</v>
      </c>
      <c r="D135" s="5"/>
      <c r="E135" s="5"/>
      <c r="F135" s="5" t="s">
        <v>1894</v>
      </c>
      <c r="G135" s="201" t="s">
        <v>1372</v>
      </c>
      <c r="H135" s="5"/>
      <c r="J135" s="88"/>
      <c r="L135" s="140"/>
      <c r="N135" s="140"/>
    </row>
    <row r="136" spans="1:14" s="6" customFormat="1">
      <c r="A136" s="200" t="s">
        <v>1397</v>
      </c>
      <c r="B136" s="490" t="s">
        <v>1400</v>
      </c>
      <c r="C136" s="6">
        <v>12175990</v>
      </c>
      <c r="E136" s="6" t="s">
        <v>1932</v>
      </c>
      <c r="F136" s="6" t="s">
        <v>1870</v>
      </c>
      <c r="G136" s="200" t="s">
        <v>666</v>
      </c>
      <c r="H136" s="6">
        <v>24</v>
      </c>
      <c r="J136" s="88"/>
      <c r="L136" s="140">
        <v>2</v>
      </c>
      <c r="N136" s="140"/>
    </row>
    <row r="137" spans="1:14" s="6" customFormat="1">
      <c r="A137" s="200" t="s">
        <v>1397</v>
      </c>
      <c r="B137" s="211" t="s">
        <v>1401</v>
      </c>
      <c r="C137" s="5">
        <v>28304836</v>
      </c>
      <c r="D137" s="5"/>
      <c r="E137" s="5"/>
      <c r="F137" s="5" t="s">
        <v>616</v>
      </c>
      <c r="G137" s="201" t="s">
        <v>1402</v>
      </c>
      <c r="H137" s="5"/>
      <c r="J137" s="88"/>
      <c r="L137" s="140"/>
      <c r="M137" s="227" t="s">
        <v>1590</v>
      </c>
      <c r="N137" s="140"/>
    </row>
    <row r="138" spans="1:14" s="6" customFormat="1">
      <c r="A138" s="200" t="s">
        <v>1397</v>
      </c>
      <c r="B138" s="211" t="s">
        <v>1394</v>
      </c>
      <c r="C138" s="5">
        <v>24172568</v>
      </c>
      <c r="D138" s="5"/>
      <c r="E138" s="5"/>
      <c r="F138" s="5" t="s">
        <v>2026</v>
      </c>
      <c r="G138" s="216" t="s">
        <v>1395</v>
      </c>
      <c r="H138" s="5"/>
      <c r="J138" s="88"/>
      <c r="L138" s="140"/>
      <c r="M138" s="6" t="s">
        <v>1718</v>
      </c>
      <c r="N138" s="140"/>
    </row>
    <row r="139" spans="1:14" s="6" customFormat="1">
      <c r="A139" s="200" t="s">
        <v>1412</v>
      </c>
      <c r="B139" s="211" t="s">
        <v>1403</v>
      </c>
      <c r="C139" s="5">
        <v>73926259</v>
      </c>
      <c r="D139" s="242" t="s">
        <v>1685</v>
      </c>
      <c r="E139" s="242" t="s">
        <v>1273</v>
      </c>
      <c r="F139" s="242" t="s">
        <v>1870</v>
      </c>
      <c r="G139" s="201" t="s">
        <v>1404</v>
      </c>
      <c r="H139" s="5"/>
      <c r="J139" s="88"/>
      <c r="L139" s="140"/>
      <c r="M139" s="6" t="s">
        <v>2063</v>
      </c>
      <c r="N139" s="140"/>
    </row>
    <row r="140" spans="1:14" s="6" customFormat="1">
      <c r="A140" s="203" t="s">
        <v>1412</v>
      </c>
      <c r="B140" s="224" t="s">
        <v>1427</v>
      </c>
      <c r="C140" s="5">
        <v>66401939</v>
      </c>
      <c r="D140" s="242" t="s">
        <v>1685</v>
      </c>
      <c r="E140" s="242" t="s">
        <v>1273</v>
      </c>
      <c r="F140" s="242" t="s">
        <v>1870</v>
      </c>
      <c r="G140" s="205" t="s">
        <v>1415</v>
      </c>
      <c r="H140" s="5"/>
      <c r="J140" s="88"/>
      <c r="L140" s="140"/>
      <c r="M140" s="6" t="s">
        <v>2063</v>
      </c>
      <c r="N140" s="140"/>
    </row>
    <row r="141" spans="1:14" s="6" customFormat="1">
      <c r="A141" s="203" t="s">
        <v>1412</v>
      </c>
      <c r="B141" s="205" t="s">
        <v>1436</v>
      </c>
      <c r="C141" s="5"/>
      <c r="D141" s="5"/>
      <c r="E141" s="5"/>
      <c r="F141" s="5" t="s">
        <v>1930</v>
      </c>
      <c r="G141" s="205" t="s">
        <v>1424</v>
      </c>
      <c r="H141" s="5"/>
      <c r="J141" s="88"/>
      <c r="L141" s="140"/>
      <c r="M141" s="6" t="s">
        <v>1855</v>
      </c>
      <c r="N141" s="140"/>
    </row>
    <row r="142" spans="1:14" s="6" customFormat="1">
      <c r="A142" s="203" t="s">
        <v>1412</v>
      </c>
      <c r="B142" s="278" t="s">
        <v>1851</v>
      </c>
      <c r="C142" s="5">
        <v>77684782</v>
      </c>
      <c r="D142" s="5"/>
      <c r="E142" s="5"/>
      <c r="F142" s="5" t="s">
        <v>1915</v>
      </c>
      <c r="G142" s="262" t="s">
        <v>1852</v>
      </c>
      <c r="H142" s="5"/>
      <c r="J142" s="88"/>
      <c r="L142" s="140"/>
      <c r="N142" s="140"/>
    </row>
    <row r="143" spans="1:14" s="6" customFormat="1">
      <c r="A143" s="206" t="s">
        <v>1443</v>
      </c>
      <c r="B143" s="220" t="s">
        <v>1433</v>
      </c>
      <c r="C143" s="220">
        <v>80364094</v>
      </c>
      <c r="D143" s="242" t="s">
        <v>1685</v>
      </c>
      <c r="E143" s="242" t="s">
        <v>1273</v>
      </c>
      <c r="F143" s="242" t="s">
        <v>1870</v>
      </c>
      <c r="G143" s="220" t="s">
        <v>1434</v>
      </c>
      <c r="H143" s="220"/>
      <c r="I143" s="219"/>
      <c r="J143" s="88"/>
      <c r="L143" s="140"/>
      <c r="M143" s="6" t="s">
        <v>2063</v>
      </c>
      <c r="N143" s="140"/>
    </row>
    <row r="144" spans="1:14" s="6" customFormat="1">
      <c r="A144" s="197"/>
      <c r="B144" s="236" t="s">
        <v>1375</v>
      </c>
      <c r="C144" s="5">
        <v>33650104</v>
      </c>
      <c r="D144" s="5"/>
      <c r="E144" s="5"/>
      <c r="F144" s="5" t="s">
        <v>1910</v>
      </c>
      <c r="G144" s="198" t="s">
        <v>1378</v>
      </c>
      <c r="H144" s="5"/>
      <c r="J144" s="88">
        <v>24</v>
      </c>
      <c r="L144" s="140"/>
      <c r="N144" s="140"/>
    </row>
    <row r="145" spans="1:14" s="6" customFormat="1">
      <c r="A145" s="197"/>
      <c r="B145" s="303" t="s">
        <v>1444</v>
      </c>
      <c r="C145" s="102">
        <v>46431380</v>
      </c>
      <c r="D145" s="102" t="s">
        <v>2068</v>
      </c>
      <c r="E145" s="6" t="s">
        <v>1932</v>
      </c>
      <c r="F145" s="102" t="s">
        <v>1870</v>
      </c>
      <c r="G145" s="208" t="s">
        <v>1445</v>
      </c>
      <c r="H145" s="102">
        <v>24</v>
      </c>
      <c r="J145" s="88">
        <v>24</v>
      </c>
      <c r="L145" s="140">
        <v>2</v>
      </c>
      <c r="N145" s="140"/>
    </row>
    <row r="146" spans="1:14" s="6" customFormat="1">
      <c r="A146" s="206" t="s">
        <v>1443</v>
      </c>
      <c r="B146" s="211" t="s">
        <v>1446</v>
      </c>
      <c r="C146" s="5">
        <v>91731812</v>
      </c>
      <c r="D146" s="5"/>
      <c r="E146" s="5"/>
      <c r="F146" s="5" t="s">
        <v>1903</v>
      </c>
      <c r="G146" s="207" t="s">
        <v>1447</v>
      </c>
      <c r="H146" s="5"/>
      <c r="J146" s="88"/>
      <c r="L146" s="140"/>
      <c r="M146" s="6" t="s">
        <v>1805</v>
      </c>
      <c r="N146" s="140"/>
    </row>
    <row r="147" spans="1:14" s="6" customFormat="1">
      <c r="A147" s="206" t="s">
        <v>1443</v>
      </c>
      <c r="B147" s="316" t="s">
        <v>1450</v>
      </c>
      <c r="C147" s="5">
        <v>97328453</v>
      </c>
      <c r="D147" s="5"/>
      <c r="E147" s="5"/>
      <c r="F147" s="5" t="s">
        <v>1904</v>
      </c>
      <c r="G147" s="207" t="s">
        <v>1451</v>
      </c>
      <c r="H147" s="5"/>
      <c r="J147" s="88"/>
      <c r="L147" s="140"/>
      <c r="N147" s="140"/>
    </row>
    <row r="148" spans="1:14" s="6" customFormat="1">
      <c r="A148" s="206" t="s">
        <v>1443</v>
      </c>
      <c r="B148" s="213" t="s">
        <v>1453</v>
      </c>
      <c r="C148" s="102">
        <v>34783388</v>
      </c>
      <c r="D148" s="102" t="s">
        <v>2068</v>
      </c>
      <c r="E148" s="6" t="s">
        <v>1932</v>
      </c>
      <c r="F148" s="102" t="s">
        <v>1870</v>
      </c>
      <c r="G148" s="208" t="s">
        <v>1454</v>
      </c>
      <c r="H148" s="102">
        <v>23</v>
      </c>
      <c r="J148" s="88"/>
      <c r="L148" s="140">
        <v>1</v>
      </c>
      <c r="N148" s="140"/>
    </row>
    <row r="149" spans="1:14" s="6" customFormat="1">
      <c r="A149" s="206" t="s">
        <v>1443</v>
      </c>
      <c r="B149" s="303" t="s">
        <v>1455</v>
      </c>
      <c r="C149" s="102">
        <v>98785941</v>
      </c>
      <c r="D149" s="102" t="s">
        <v>2068</v>
      </c>
      <c r="E149" s="6" t="s">
        <v>1932</v>
      </c>
      <c r="F149" s="102" t="s">
        <v>1870</v>
      </c>
      <c r="G149" s="208" t="s">
        <v>1456</v>
      </c>
      <c r="H149" s="102">
        <v>24</v>
      </c>
      <c r="J149" s="88"/>
      <c r="L149" s="140">
        <v>2</v>
      </c>
      <c r="N149" s="140"/>
    </row>
    <row r="150" spans="1:14" s="6" customFormat="1">
      <c r="A150" s="206" t="s">
        <v>1443</v>
      </c>
      <c r="B150" s="298" t="s">
        <v>1457</v>
      </c>
      <c r="C150" s="5">
        <v>82862180</v>
      </c>
      <c r="D150" s="5"/>
      <c r="E150" s="5"/>
      <c r="F150" s="5" t="s">
        <v>1903</v>
      </c>
      <c r="G150" s="207" t="s">
        <v>1458</v>
      </c>
      <c r="H150" s="5"/>
      <c r="J150" s="88"/>
      <c r="L150" s="140"/>
      <c r="M150" s="6" t="s">
        <v>1805</v>
      </c>
      <c r="N150" s="140"/>
    </row>
    <row r="151" spans="1:14" s="6" customFormat="1">
      <c r="A151" s="206" t="s">
        <v>1443</v>
      </c>
      <c r="B151" s="211" t="s">
        <v>1460</v>
      </c>
      <c r="C151" s="5">
        <v>34419218</v>
      </c>
      <c r="D151" s="242" t="s">
        <v>1685</v>
      </c>
      <c r="E151" s="242" t="s">
        <v>1273</v>
      </c>
      <c r="F151" s="292" t="s">
        <v>2019</v>
      </c>
      <c r="G151" s="207" t="s">
        <v>1461</v>
      </c>
      <c r="H151" s="5"/>
      <c r="J151" s="206" t="s">
        <v>1459</v>
      </c>
      <c r="L151" s="140"/>
      <c r="N151" s="140"/>
    </row>
    <row r="152" spans="1:14" s="6" customFormat="1">
      <c r="A152" s="206" t="s">
        <v>1443</v>
      </c>
      <c r="B152" s="206" t="s">
        <v>1465</v>
      </c>
      <c r="D152" s="6" t="s">
        <v>2071</v>
      </c>
      <c r="E152" s="6" t="s">
        <v>1932</v>
      </c>
      <c r="F152" s="6" t="s">
        <v>666</v>
      </c>
      <c r="G152" s="490" t="s">
        <v>1464</v>
      </c>
      <c r="H152" s="6">
        <v>24</v>
      </c>
      <c r="J152" s="88"/>
      <c r="L152" s="140">
        <v>2</v>
      </c>
      <c r="N152" s="140"/>
    </row>
    <row r="153" spans="1:14" s="6" customFormat="1">
      <c r="A153" s="206" t="s">
        <v>1443</v>
      </c>
      <c r="B153" s="236" t="s">
        <v>1425</v>
      </c>
      <c r="C153" s="5">
        <v>37743024</v>
      </c>
      <c r="D153" s="5"/>
      <c r="E153" s="5"/>
      <c r="F153" s="5" t="s">
        <v>1885</v>
      </c>
      <c r="G153" s="205" t="s">
        <v>1426</v>
      </c>
      <c r="H153" s="5"/>
      <c r="J153" s="88"/>
      <c r="K153" s="206"/>
      <c r="L153" s="140"/>
      <c r="N153" s="140"/>
    </row>
    <row r="154" spans="1:14" s="6" customFormat="1">
      <c r="A154" s="212" t="s">
        <v>1472</v>
      </c>
      <c r="B154" s="231" t="s">
        <v>1471</v>
      </c>
      <c r="C154" s="5">
        <v>76443557</v>
      </c>
      <c r="D154" s="5"/>
      <c r="E154" s="5"/>
      <c r="F154" s="5" t="s">
        <v>1896</v>
      </c>
      <c r="G154" s="211" t="s">
        <v>1473</v>
      </c>
      <c r="H154" s="5"/>
      <c r="J154" s="88"/>
      <c r="K154" s="206"/>
      <c r="L154" s="140"/>
      <c r="M154" s="6" t="s">
        <v>1781</v>
      </c>
      <c r="N154" s="140"/>
    </row>
    <row r="155" spans="1:14" s="6" customFormat="1">
      <c r="A155" s="212" t="s">
        <v>1472</v>
      </c>
      <c r="B155" s="224" t="s">
        <v>1474</v>
      </c>
      <c r="C155" s="5">
        <v>56245999</v>
      </c>
      <c r="D155" s="5"/>
      <c r="E155" s="5"/>
      <c r="F155" s="5" t="s">
        <v>1896</v>
      </c>
      <c r="G155" s="211" t="s">
        <v>1475</v>
      </c>
      <c r="H155" s="5"/>
      <c r="J155" s="88"/>
      <c r="K155" s="206"/>
      <c r="L155" s="140"/>
      <c r="M155" s="6" t="s">
        <v>1781</v>
      </c>
      <c r="N155" s="140"/>
    </row>
    <row r="156" spans="1:14" s="6" customFormat="1">
      <c r="A156" s="212" t="s">
        <v>1472</v>
      </c>
      <c r="B156" s="256" t="s">
        <v>1476</v>
      </c>
      <c r="C156" s="5">
        <v>14147905</v>
      </c>
      <c r="D156" s="5" t="s">
        <v>1698</v>
      </c>
      <c r="E156" s="5"/>
      <c r="F156" s="5" t="s">
        <v>1899</v>
      </c>
      <c r="G156" s="211" t="s">
        <v>1477</v>
      </c>
      <c r="H156" s="5"/>
      <c r="J156" s="88"/>
      <c r="K156" s="206"/>
      <c r="L156" s="140"/>
      <c r="N156" s="140"/>
    </row>
    <row r="157" spans="1:14" s="6" customFormat="1">
      <c r="A157" s="212" t="s">
        <v>1472</v>
      </c>
      <c r="B157" s="220" t="s">
        <v>1485</v>
      </c>
      <c r="C157" s="5">
        <v>10688764</v>
      </c>
      <c r="D157" s="5"/>
      <c r="E157" s="5"/>
      <c r="F157" s="5" t="s">
        <v>616</v>
      </c>
      <c r="G157" s="211" t="s">
        <v>1486</v>
      </c>
      <c r="H157" s="5"/>
      <c r="J157" s="88"/>
      <c r="K157" s="206"/>
      <c r="L157" s="140"/>
      <c r="M157" s="6" t="s">
        <v>1769</v>
      </c>
      <c r="N157" s="140"/>
    </row>
    <row r="158" spans="1:14" s="6" customFormat="1">
      <c r="A158" s="212" t="s">
        <v>1472</v>
      </c>
      <c r="B158" s="224" t="s">
        <v>1487</v>
      </c>
      <c r="C158" s="5">
        <v>12823840</v>
      </c>
      <c r="D158" s="5"/>
      <c r="E158" s="5"/>
      <c r="F158" s="5" t="s">
        <v>1874</v>
      </c>
      <c r="G158" s="211" t="s">
        <v>1488</v>
      </c>
      <c r="H158" s="5"/>
      <c r="J158" s="215"/>
      <c r="K158" s="206"/>
      <c r="L158" s="140"/>
      <c r="M158" s="6" t="s">
        <v>1718</v>
      </c>
      <c r="N158" s="140"/>
    </row>
    <row r="159" spans="1:14" s="6" customFormat="1">
      <c r="A159" s="212" t="s">
        <v>1472</v>
      </c>
      <c r="B159" s="224" t="s">
        <v>1490</v>
      </c>
      <c r="C159" s="5" t="s">
        <v>1489</v>
      </c>
      <c r="D159" s="242" t="s">
        <v>1685</v>
      </c>
      <c r="E159" s="242" t="s">
        <v>1273</v>
      </c>
      <c r="F159" s="5" t="s">
        <v>1884</v>
      </c>
      <c r="G159" s="211" t="s">
        <v>1491</v>
      </c>
      <c r="H159" s="5"/>
      <c r="J159" s="88"/>
      <c r="K159" s="206"/>
      <c r="L159" s="140"/>
      <c r="N159" s="140"/>
    </row>
    <row r="160" spans="1:14" s="6" customFormat="1">
      <c r="A160" s="212" t="s">
        <v>1472</v>
      </c>
      <c r="B160" s="228" t="s">
        <v>1514</v>
      </c>
      <c r="C160" s="5">
        <v>21838528</v>
      </c>
      <c r="D160" s="5"/>
      <c r="E160" s="5"/>
      <c r="F160" s="5" t="s">
        <v>1873</v>
      </c>
      <c r="G160" s="211" t="s">
        <v>1492</v>
      </c>
      <c r="H160" s="5"/>
      <c r="J160" s="88"/>
      <c r="K160" s="206"/>
      <c r="L160" s="140"/>
      <c r="M160" s="227" t="s">
        <v>1590</v>
      </c>
      <c r="N160" s="140"/>
    </row>
    <row r="161" spans="1:14" s="6" customFormat="1">
      <c r="A161" s="212" t="s">
        <v>1472</v>
      </c>
      <c r="B161" s="443" t="s">
        <v>1497</v>
      </c>
      <c r="C161" s="5">
        <v>18290363</v>
      </c>
      <c r="D161" s="242" t="s">
        <v>1685</v>
      </c>
      <c r="E161" s="242" t="s">
        <v>1273</v>
      </c>
      <c r="F161" s="5" t="s">
        <v>691</v>
      </c>
      <c r="G161" s="211" t="s">
        <v>1498</v>
      </c>
      <c r="H161" s="5"/>
      <c r="I161" s="438" t="s">
        <v>2891</v>
      </c>
      <c r="J161" s="88">
        <v>23</v>
      </c>
      <c r="K161" s="206"/>
      <c r="L161" s="140"/>
      <c r="M161" s="6" t="s">
        <v>1805</v>
      </c>
      <c r="N161" s="140"/>
    </row>
    <row r="162" spans="1:14" s="6" customFormat="1">
      <c r="A162" s="212" t="s">
        <v>1472</v>
      </c>
      <c r="B162" s="259" t="s">
        <v>1501</v>
      </c>
      <c r="C162" s="5">
        <v>52109350</v>
      </c>
      <c r="D162" s="242"/>
      <c r="E162" s="242"/>
      <c r="F162" s="5" t="s">
        <v>1910</v>
      </c>
      <c r="G162" s="211" t="s">
        <v>1502</v>
      </c>
      <c r="H162" s="5"/>
      <c r="J162" s="88">
        <v>32</v>
      </c>
      <c r="K162" s="206">
        <v>23</v>
      </c>
      <c r="L162" s="140"/>
      <c r="N162" s="140"/>
    </row>
    <row r="163" spans="1:14" s="6" customFormat="1">
      <c r="A163" s="212" t="s">
        <v>1472</v>
      </c>
      <c r="B163" s="228" t="s">
        <v>1596</v>
      </c>
      <c r="C163" s="5"/>
      <c r="D163" s="5" t="s">
        <v>1505</v>
      </c>
      <c r="E163" s="242" t="s">
        <v>1273</v>
      </c>
      <c r="F163" s="5" t="s">
        <v>1905</v>
      </c>
      <c r="G163" s="5" t="s">
        <v>1505</v>
      </c>
      <c r="H163" s="5"/>
      <c r="J163" s="88"/>
      <c r="K163" s="206"/>
      <c r="L163" s="140"/>
      <c r="N163" s="140"/>
    </row>
    <row r="164" spans="1:14" s="6" customFormat="1">
      <c r="A164" s="212" t="s">
        <v>1472</v>
      </c>
      <c r="B164" s="224" t="s">
        <v>1507</v>
      </c>
      <c r="C164" s="5">
        <v>76825160</v>
      </c>
      <c r="D164" s="429" t="s">
        <v>2790</v>
      </c>
      <c r="E164" s="448" t="s">
        <v>2903</v>
      </c>
      <c r="F164" s="242" t="s">
        <v>1916</v>
      </c>
      <c r="G164" s="211" t="s">
        <v>1508</v>
      </c>
      <c r="H164" s="5"/>
      <c r="I164" s="2"/>
      <c r="J164" s="88"/>
      <c r="K164" s="206"/>
      <c r="L164" s="140"/>
      <c r="N164" s="140"/>
    </row>
    <row r="165" spans="1:14" s="6" customFormat="1" ht="19.350000000000001" customHeight="1">
      <c r="A165" s="212" t="s">
        <v>1472</v>
      </c>
      <c r="B165" s="157" t="s">
        <v>1609</v>
      </c>
      <c r="C165" s="5">
        <v>51039797</v>
      </c>
      <c r="D165" s="242" t="s">
        <v>1685</v>
      </c>
      <c r="E165" s="242" t="s">
        <v>1273</v>
      </c>
      <c r="F165" s="5" t="s">
        <v>931</v>
      </c>
      <c r="G165" s="211" t="s">
        <v>1509</v>
      </c>
      <c r="H165" s="5"/>
      <c r="J165" s="88"/>
      <c r="K165" s="206"/>
      <c r="L165" s="140">
        <v>1</v>
      </c>
      <c r="N165" s="140"/>
    </row>
    <row r="166" spans="1:14" s="6" customFormat="1">
      <c r="A166" s="212" t="s">
        <v>1472</v>
      </c>
      <c r="B166" s="516" t="s">
        <v>1573</v>
      </c>
      <c r="C166" s="5">
        <v>60556699</v>
      </c>
      <c r="D166" s="448" t="s">
        <v>2894</v>
      </c>
      <c r="E166" s="429" t="s">
        <v>1688</v>
      </c>
      <c r="F166" s="274" t="s">
        <v>935</v>
      </c>
      <c r="G166" s="224" t="s">
        <v>1574</v>
      </c>
      <c r="H166" s="5">
        <v>23</v>
      </c>
      <c r="I166" s="2">
        <v>5</v>
      </c>
      <c r="J166" s="88"/>
      <c r="K166" s="206"/>
      <c r="L166" s="140"/>
      <c r="N166" s="140"/>
    </row>
    <row r="167" spans="1:14" s="6" customFormat="1">
      <c r="A167" s="217" t="s">
        <v>1517</v>
      </c>
      <c r="B167" s="339" t="s">
        <v>2308</v>
      </c>
      <c r="C167" s="6">
        <v>50157854</v>
      </c>
      <c r="D167" s="301" t="s">
        <v>2071</v>
      </c>
      <c r="E167" s="6" t="s">
        <v>1932</v>
      </c>
      <c r="F167" s="6" t="s">
        <v>1914</v>
      </c>
      <c r="G167" s="277" t="s">
        <v>1515</v>
      </c>
      <c r="H167" s="6">
        <v>22</v>
      </c>
      <c r="J167" s="88"/>
      <c r="K167" s="206"/>
      <c r="L167" s="140"/>
      <c r="N167" s="140"/>
    </row>
    <row r="168" spans="1:14" s="6" customFormat="1">
      <c r="A168" s="217" t="s">
        <v>1517</v>
      </c>
      <c r="B168" s="217" t="s">
        <v>1516</v>
      </c>
      <c r="C168" s="277" t="s">
        <v>1980</v>
      </c>
      <c r="D168" s="301" t="s">
        <v>2071</v>
      </c>
      <c r="E168" s="6" t="s">
        <v>1932</v>
      </c>
      <c r="F168" s="6" t="s">
        <v>1914</v>
      </c>
      <c r="G168" s="277" t="s">
        <v>1979</v>
      </c>
      <c r="H168" s="6">
        <v>22</v>
      </c>
      <c r="J168" s="88"/>
      <c r="K168" s="206">
        <v>26.75</v>
      </c>
      <c r="L168" s="140"/>
      <c r="N168" s="140"/>
    </row>
    <row r="169" spans="1:14" s="6" customFormat="1">
      <c r="A169" s="217" t="s">
        <v>1517</v>
      </c>
      <c r="B169" s="344" t="s">
        <v>2350</v>
      </c>
      <c r="C169" s="6">
        <v>65016391</v>
      </c>
      <c r="D169" s="344" t="s">
        <v>2068</v>
      </c>
      <c r="E169" s="6" t="s">
        <v>1932</v>
      </c>
      <c r="F169" s="6" t="s">
        <v>1914</v>
      </c>
      <c r="G169" s="277" t="s">
        <v>1978</v>
      </c>
      <c r="H169" s="6">
        <v>22</v>
      </c>
      <c r="J169" s="88"/>
      <c r="K169" s="206">
        <v>27.35</v>
      </c>
      <c r="L169" s="140"/>
      <c r="N169" s="140"/>
    </row>
    <row r="170" spans="1:14" s="6" customFormat="1">
      <c r="A170" s="219" t="s">
        <v>1519</v>
      </c>
      <c r="B170" s="224" t="s">
        <v>1518</v>
      </c>
      <c r="C170" s="5">
        <v>17237769</v>
      </c>
      <c r="D170" s="5"/>
      <c r="E170" s="5"/>
      <c r="F170" s="5" t="s">
        <v>1906</v>
      </c>
      <c r="G170" s="220" t="s">
        <v>1520</v>
      </c>
      <c r="H170" s="5"/>
      <c r="J170" s="88"/>
      <c r="K170" s="206">
        <f>28.25*3</f>
        <v>84.75</v>
      </c>
      <c r="L170" s="140"/>
      <c r="N170" s="140"/>
    </row>
    <row r="171" spans="1:14" s="6" customFormat="1">
      <c r="A171" s="219" t="s">
        <v>1519</v>
      </c>
      <c r="B171" s="236" t="s">
        <v>1536</v>
      </c>
      <c r="C171" s="5">
        <v>74583640</v>
      </c>
      <c r="D171" s="242" t="s">
        <v>1685</v>
      </c>
      <c r="E171" s="242" t="s">
        <v>1273</v>
      </c>
      <c r="F171" s="5" t="s">
        <v>1901</v>
      </c>
      <c r="G171" s="220" t="s">
        <v>1537</v>
      </c>
      <c r="H171" s="5"/>
      <c r="J171" s="88"/>
      <c r="K171" s="244" t="s">
        <v>1740</v>
      </c>
      <c r="L171" s="140"/>
      <c r="N171" s="140"/>
    </row>
    <row r="172" spans="1:14" s="6" customFormat="1">
      <c r="A172" s="219" t="s">
        <v>1519</v>
      </c>
      <c r="B172" s="262" t="s">
        <v>1542</v>
      </c>
      <c r="C172" s="5">
        <v>54496206</v>
      </c>
      <c r="D172" s="242" t="s">
        <v>1685</v>
      </c>
      <c r="E172" s="242" t="s">
        <v>1273</v>
      </c>
      <c r="F172" s="5" t="s">
        <v>1901</v>
      </c>
      <c r="G172" s="220" t="s">
        <v>1543</v>
      </c>
      <c r="H172" s="5"/>
      <c r="J172" s="219" t="s">
        <v>1544</v>
      </c>
      <c r="K172" s="206"/>
      <c r="L172" s="140"/>
      <c r="N172" s="140"/>
    </row>
    <row r="173" spans="1:14" s="6" customFormat="1">
      <c r="A173" s="219" t="s">
        <v>1519</v>
      </c>
      <c r="B173" s="233" t="s">
        <v>1540</v>
      </c>
      <c r="C173" s="5">
        <v>85837563</v>
      </c>
      <c r="D173" s="242" t="s">
        <v>1685</v>
      </c>
      <c r="E173" s="242" t="s">
        <v>1689</v>
      </c>
      <c r="F173" s="5" t="s">
        <v>1896</v>
      </c>
      <c r="G173" s="220" t="s">
        <v>1541</v>
      </c>
      <c r="H173" s="5"/>
      <c r="J173" s="88"/>
      <c r="K173" s="206"/>
      <c r="L173" s="140"/>
      <c r="M173" s="6" t="s">
        <v>1781</v>
      </c>
      <c r="N173" s="140"/>
    </row>
    <row r="174" spans="1:14" s="6" customFormat="1">
      <c r="A174" s="219" t="s">
        <v>1519</v>
      </c>
      <c r="B174" s="231" t="s">
        <v>1547</v>
      </c>
      <c r="C174" s="5">
        <v>20256458</v>
      </c>
      <c r="D174" s="242" t="s">
        <v>1685</v>
      </c>
      <c r="E174" s="242" t="s">
        <v>1273</v>
      </c>
      <c r="F174" s="5" t="s">
        <v>1873</v>
      </c>
      <c r="G174" s="220" t="s">
        <v>1548</v>
      </c>
      <c r="H174" s="5"/>
      <c r="J174" s="88"/>
      <c r="K174" s="206"/>
      <c r="L174" s="140"/>
      <c r="M174" s="227" t="s">
        <v>1590</v>
      </c>
      <c r="N174" s="140"/>
    </row>
    <row r="175" spans="1:14" s="6" customFormat="1">
      <c r="A175" s="219" t="s">
        <v>1519</v>
      </c>
      <c r="B175" s="224" t="s">
        <v>1567</v>
      </c>
      <c r="C175" s="5">
        <v>22839851</v>
      </c>
      <c r="D175" s="5"/>
      <c r="E175" s="5"/>
      <c r="F175" s="5" t="s">
        <v>1930</v>
      </c>
      <c r="G175" s="220" t="s">
        <v>1568</v>
      </c>
      <c r="H175" s="5"/>
      <c r="J175" s="88"/>
      <c r="K175" s="206"/>
      <c r="L175" s="140"/>
      <c r="M175" s="6" t="s">
        <v>1855</v>
      </c>
      <c r="N175" s="140"/>
    </row>
    <row r="176" spans="1:14" s="6" customFormat="1">
      <c r="A176" s="219" t="s">
        <v>1519</v>
      </c>
      <c r="B176" s="233" t="s">
        <v>1551</v>
      </c>
      <c r="C176" s="5">
        <v>17072617</v>
      </c>
      <c r="D176" s="5"/>
      <c r="E176" s="5"/>
      <c r="F176" s="5" t="s">
        <v>1874</v>
      </c>
      <c r="G176" s="220" t="s">
        <v>1552</v>
      </c>
      <c r="H176" s="5"/>
      <c r="J176" s="88"/>
      <c r="K176" s="206"/>
      <c r="L176" s="140"/>
      <c r="M176" s="6" t="s">
        <v>1826</v>
      </c>
      <c r="N176" s="140"/>
    </row>
    <row r="177" spans="1:14" s="6" customFormat="1">
      <c r="A177" s="219" t="s">
        <v>1519</v>
      </c>
      <c r="B177" s="301" t="s">
        <v>1553</v>
      </c>
      <c r="C177" s="6">
        <v>79027757</v>
      </c>
      <c r="D177" s="301" t="s">
        <v>2068</v>
      </c>
      <c r="E177" s="6" t="s">
        <v>1932</v>
      </c>
      <c r="F177" s="6" t="s">
        <v>1870</v>
      </c>
      <c r="G177" s="219" t="s">
        <v>1554</v>
      </c>
      <c r="H177" s="6">
        <v>24</v>
      </c>
      <c r="J177" s="88"/>
      <c r="K177" s="206"/>
      <c r="L177" s="140">
        <v>2</v>
      </c>
      <c r="N177" s="140"/>
    </row>
    <row r="178" spans="1:14" s="6" customFormat="1">
      <c r="A178" s="219" t="s">
        <v>1519</v>
      </c>
      <c r="B178" s="242" t="s">
        <v>1555</v>
      </c>
      <c r="C178" s="5">
        <v>12133758</v>
      </c>
      <c r="D178" s="5" t="s">
        <v>1619</v>
      </c>
      <c r="E178" s="220" t="s">
        <v>1556</v>
      </c>
      <c r="F178" s="220" t="s">
        <v>1917</v>
      </c>
      <c r="G178" s="251" t="s">
        <v>1761</v>
      </c>
      <c r="H178" s="5">
        <v>1</v>
      </c>
      <c r="J178" s="88"/>
      <c r="K178" s="206"/>
      <c r="L178" s="140"/>
      <c r="N178" s="140"/>
    </row>
    <row r="179" spans="1:14" s="6" customFormat="1">
      <c r="A179" s="219" t="s">
        <v>1519</v>
      </c>
      <c r="B179" s="247" t="s">
        <v>1561</v>
      </c>
      <c r="C179" s="5">
        <v>87456700</v>
      </c>
      <c r="D179" s="5"/>
      <c r="E179" s="5"/>
      <c r="F179" s="5" t="s">
        <v>1912</v>
      </c>
      <c r="G179" s="220" t="s">
        <v>1562</v>
      </c>
      <c r="H179" s="5"/>
      <c r="J179" s="219"/>
      <c r="K179" s="206"/>
      <c r="L179" s="140"/>
      <c r="N179" s="140"/>
    </row>
    <row r="180" spans="1:14" s="6" customFormat="1">
      <c r="A180" s="219" t="s">
        <v>1519</v>
      </c>
      <c r="B180" s="301" t="s">
        <v>1563</v>
      </c>
      <c r="C180" s="6">
        <v>85451230</v>
      </c>
      <c r="D180" s="6" t="s">
        <v>2068</v>
      </c>
      <c r="E180" s="6" t="s">
        <v>1932</v>
      </c>
      <c r="F180" s="6" t="s">
        <v>1870</v>
      </c>
      <c r="G180" s="219" t="s">
        <v>1564</v>
      </c>
      <c r="H180" s="6">
        <v>24</v>
      </c>
      <c r="J180" s="219"/>
      <c r="K180" s="206"/>
      <c r="L180" s="140">
        <v>2</v>
      </c>
      <c r="N180" s="140"/>
    </row>
    <row r="181" spans="1:14" s="6" customFormat="1">
      <c r="A181" s="219" t="s">
        <v>1519</v>
      </c>
      <c r="B181" s="490" t="s">
        <v>1565</v>
      </c>
      <c r="C181" s="6">
        <v>37404420</v>
      </c>
      <c r="D181" s="6" t="s">
        <v>2075</v>
      </c>
      <c r="E181" s="6" t="s">
        <v>1932</v>
      </c>
      <c r="F181" s="6" t="s">
        <v>1870</v>
      </c>
      <c r="G181" s="219" t="s">
        <v>1566</v>
      </c>
      <c r="H181" s="6">
        <v>24</v>
      </c>
      <c r="J181" s="219"/>
      <c r="K181" s="206"/>
      <c r="L181" s="140">
        <v>2</v>
      </c>
      <c r="N181" s="140"/>
    </row>
    <row r="182" spans="1:14" s="6" customFormat="1">
      <c r="A182" s="219" t="s">
        <v>1519</v>
      </c>
      <c r="B182" s="287" t="s">
        <v>1733</v>
      </c>
      <c r="C182" s="5">
        <v>23351970</v>
      </c>
      <c r="D182" s="5"/>
      <c r="E182" s="5"/>
      <c r="F182" s="5" t="s">
        <v>1918</v>
      </c>
      <c r="G182" s="247" t="s">
        <v>1734</v>
      </c>
      <c r="H182" s="5"/>
      <c r="J182" s="219"/>
      <c r="K182" s="206"/>
      <c r="L182" s="140"/>
      <c r="M182" s="6" t="s">
        <v>2090</v>
      </c>
      <c r="N182" s="140"/>
    </row>
    <row r="183" spans="1:14" s="6" customFormat="1">
      <c r="A183" s="221" t="s">
        <v>1519</v>
      </c>
      <c r="B183" s="490" t="s">
        <v>2313</v>
      </c>
      <c r="E183" s="6" t="s">
        <v>1932</v>
      </c>
      <c r="F183" s="6" t="s">
        <v>1870</v>
      </c>
      <c r="G183" s="339" t="s">
        <v>2314</v>
      </c>
      <c r="H183" s="6">
        <v>22</v>
      </c>
      <c r="J183" s="219"/>
      <c r="K183" s="223">
        <f>88200+12400</f>
        <v>100600</v>
      </c>
      <c r="L183" s="140"/>
      <c r="N183" s="140"/>
    </row>
    <row r="184" spans="1:14" s="6" customFormat="1">
      <c r="A184" s="223" t="s">
        <v>1575</v>
      </c>
      <c r="B184" s="242" t="s">
        <v>1716</v>
      </c>
      <c r="C184" s="5">
        <v>71646036</v>
      </c>
      <c r="D184" s="5"/>
      <c r="E184" s="5"/>
      <c r="F184" s="5" t="s">
        <v>1896</v>
      </c>
      <c r="G184" s="224" t="s">
        <v>1578</v>
      </c>
      <c r="H184" s="5"/>
      <c r="J184" s="219"/>
      <c r="K184" s="222"/>
      <c r="L184" s="140"/>
      <c r="M184" s="6" t="s">
        <v>2020</v>
      </c>
      <c r="N184" s="140"/>
    </row>
    <row r="185" spans="1:14" s="6" customFormat="1">
      <c r="A185" s="223" t="s">
        <v>1575</v>
      </c>
      <c r="B185" s="233" t="s">
        <v>1628</v>
      </c>
      <c r="C185" s="5">
        <v>50198954</v>
      </c>
      <c r="D185" s="5"/>
      <c r="E185" s="5"/>
      <c r="F185" s="5" t="s">
        <v>1907</v>
      </c>
      <c r="G185" s="224" t="s">
        <v>1579</v>
      </c>
      <c r="H185" s="5"/>
      <c r="J185" s="219"/>
      <c r="K185" s="222"/>
      <c r="L185" s="140"/>
      <c r="M185" s="6" t="s">
        <v>2020</v>
      </c>
      <c r="N185" s="140"/>
    </row>
    <row r="186" spans="1:14" s="6" customFormat="1">
      <c r="A186" s="223" t="s">
        <v>1575</v>
      </c>
      <c r="B186" s="538" t="s">
        <v>1580</v>
      </c>
      <c r="C186" s="6">
        <v>21771394</v>
      </c>
      <c r="D186" s="542" t="s">
        <v>2933</v>
      </c>
      <c r="E186" s="6" t="s">
        <v>1932</v>
      </c>
      <c r="F186" s="6" t="s">
        <v>1919</v>
      </c>
      <c r="G186" s="223" t="s">
        <v>1581</v>
      </c>
      <c r="H186" s="6">
        <v>24</v>
      </c>
      <c r="J186" s="219"/>
      <c r="K186" s="222"/>
      <c r="L186" s="140">
        <v>2</v>
      </c>
      <c r="N186" s="140"/>
    </row>
    <row r="187" spans="1:14" s="6" customFormat="1">
      <c r="A187" s="223" t="s">
        <v>1575</v>
      </c>
      <c r="B187" s="236" t="s">
        <v>1557</v>
      </c>
      <c r="C187" s="5">
        <v>28317231</v>
      </c>
      <c r="D187" s="5"/>
      <c r="E187" s="220" t="s">
        <v>1558</v>
      </c>
      <c r="F187" s="294" t="s">
        <v>1134</v>
      </c>
      <c r="G187" s="224" t="s">
        <v>1584</v>
      </c>
      <c r="H187" s="5"/>
      <c r="J187" s="219"/>
      <c r="K187" s="222"/>
      <c r="L187" s="386"/>
      <c r="M187" s="6" t="s">
        <v>2020</v>
      </c>
      <c r="N187" s="140"/>
    </row>
    <row r="188" spans="1:14" s="6" customFormat="1">
      <c r="A188" s="223" t="s">
        <v>1575</v>
      </c>
      <c r="B188" s="278" t="s">
        <v>1749</v>
      </c>
      <c r="C188" s="5" t="s">
        <v>1583</v>
      </c>
      <c r="D188" s="5"/>
      <c r="E188" s="5"/>
      <c r="F188" s="5" t="s">
        <v>1920</v>
      </c>
      <c r="G188" s="224" t="s">
        <v>1582</v>
      </c>
      <c r="H188" s="5"/>
      <c r="J188" s="219"/>
      <c r="K188" s="222"/>
      <c r="L188" s="140">
        <v>2</v>
      </c>
      <c r="N188" s="140"/>
    </row>
    <row r="189" spans="1:14" s="6" customFormat="1">
      <c r="A189" s="223" t="s">
        <v>1575</v>
      </c>
      <c r="B189" s="355" t="s">
        <v>1585</v>
      </c>
      <c r="C189" s="5">
        <v>48460023</v>
      </c>
      <c r="D189" s="242" t="s">
        <v>1685</v>
      </c>
      <c r="E189" s="242" t="s">
        <v>1273</v>
      </c>
      <c r="F189" s="242" t="s">
        <v>1921</v>
      </c>
      <c r="G189" s="224" t="s">
        <v>1586</v>
      </c>
      <c r="H189" s="5"/>
      <c r="J189" s="219"/>
      <c r="K189" s="222"/>
      <c r="L189" s="140"/>
      <c r="N189" s="140"/>
    </row>
    <row r="190" spans="1:14" s="6" customFormat="1">
      <c r="A190" s="223" t="s">
        <v>1575</v>
      </c>
      <c r="B190" s="247" t="s">
        <v>1644</v>
      </c>
      <c r="C190" s="5">
        <v>43649418</v>
      </c>
      <c r="D190" s="5"/>
      <c r="E190" s="5"/>
      <c r="F190" s="5" t="s">
        <v>1921</v>
      </c>
      <c r="G190" s="236" t="s">
        <v>1645</v>
      </c>
      <c r="H190" s="5"/>
      <c r="J190" s="219"/>
      <c r="K190" s="222"/>
      <c r="L190" s="140"/>
      <c r="N190" s="140"/>
    </row>
    <row r="191" spans="1:14" s="6" customFormat="1">
      <c r="A191" s="227" t="s">
        <v>1590</v>
      </c>
      <c r="B191" s="228" t="s">
        <v>1589</v>
      </c>
      <c r="C191" s="5">
        <v>24337396</v>
      </c>
      <c r="D191" s="5"/>
      <c r="E191" s="5"/>
      <c r="F191" s="5" t="s">
        <v>1908</v>
      </c>
      <c r="G191" s="228" t="s">
        <v>1591</v>
      </c>
      <c r="H191" s="5"/>
      <c r="J191" s="325" t="s">
        <v>562</v>
      </c>
      <c r="K191" s="222"/>
      <c r="L191" s="140"/>
      <c r="N191" s="140"/>
    </row>
    <row r="192" spans="1:14" s="6" customFormat="1">
      <c r="A192" s="227" t="s">
        <v>1590</v>
      </c>
      <c r="B192" s="236" t="s">
        <v>1625</v>
      </c>
      <c r="C192" s="5">
        <v>50936046</v>
      </c>
      <c r="D192" s="242" t="s">
        <v>1685</v>
      </c>
      <c r="E192" s="242" t="s">
        <v>1273</v>
      </c>
      <c r="F192" s="5" t="s">
        <v>616</v>
      </c>
      <c r="G192" s="228" t="s">
        <v>1592</v>
      </c>
      <c r="H192" s="5"/>
      <c r="J192" s="219"/>
      <c r="K192" s="222"/>
      <c r="L192" s="140"/>
      <c r="M192" s="6" t="s">
        <v>2063</v>
      </c>
      <c r="N192" s="140"/>
    </row>
    <row r="193" spans="1:14" s="6" customFormat="1">
      <c r="A193" s="304" t="s">
        <v>1590</v>
      </c>
      <c r="B193" s="301" t="s">
        <v>1593</v>
      </c>
      <c r="C193" s="219">
        <v>58809582</v>
      </c>
      <c r="D193" s="6" t="s">
        <v>2068</v>
      </c>
      <c r="E193" s="6" t="s">
        <v>1932</v>
      </c>
      <c r="F193" s="6" t="s">
        <v>1870</v>
      </c>
      <c r="G193" s="227" t="s">
        <v>1594</v>
      </c>
      <c r="H193" s="6">
        <v>24</v>
      </c>
      <c r="J193" s="219"/>
      <c r="K193" s="222"/>
      <c r="L193" s="140">
        <v>2</v>
      </c>
      <c r="N193" s="140"/>
    </row>
    <row r="194" spans="1:14" s="6" customFormat="1" ht="21.6" customHeight="1">
      <c r="A194" s="227" t="s">
        <v>1590</v>
      </c>
      <c r="B194" s="229" t="s">
        <v>1597</v>
      </c>
      <c r="C194" s="5">
        <v>68640308</v>
      </c>
      <c r="D194" s="5"/>
      <c r="E194" s="5"/>
      <c r="F194" s="428" t="s">
        <v>2283</v>
      </c>
      <c r="G194" s="228" t="s">
        <v>1598</v>
      </c>
      <c r="H194" s="5"/>
      <c r="J194" s="219"/>
      <c r="K194" s="222"/>
      <c r="L194" s="140"/>
      <c r="N194" s="140"/>
    </row>
    <row r="195" spans="1:14" s="6" customFormat="1">
      <c r="A195" s="227" t="s">
        <v>1590</v>
      </c>
      <c r="B195" s="228" t="s">
        <v>1599</v>
      </c>
      <c r="C195" s="5">
        <v>98927127</v>
      </c>
      <c r="D195" s="5"/>
      <c r="E195" s="5"/>
      <c r="F195" s="5" t="s">
        <v>1906</v>
      </c>
      <c r="G195" s="228" t="s">
        <v>1600</v>
      </c>
      <c r="H195" s="5"/>
      <c r="J195" s="219"/>
      <c r="K195" s="222"/>
      <c r="L195" s="140"/>
      <c r="N195" s="140"/>
    </row>
    <row r="196" spans="1:14" s="6" customFormat="1">
      <c r="A196" s="227" t="s">
        <v>1590</v>
      </c>
      <c r="B196" s="310" t="s">
        <v>1602</v>
      </c>
      <c r="C196" s="6">
        <v>66356377</v>
      </c>
      <c r="D196" s="6" t="s">
        <v>1631</v>
      </c>
      <c r="E196" s="6" t="s">
        <v>1932</v>
      </c>
      <c r="F196" s="6" t="s">
        <v>1870</v>
      </c>
      <c r="G196" s="227" t="s">
        <v>1603</v>
      </c>
      <c r="H196" s="6">
        <v>33</v>
      </c>
      <c r="J196" s="324" t="s">
        <v>562</v>
      </c>
      <c r="K196" s="222"/>
      <c r="L196" s="140"/>
      <c r="N196" s="140"/>
    </row>
    <row r="197" spans="1:14" s="6" customFormat="1">
      <c r="A197" s="227" t="s">
        <v>1590</v>
      </c>
      <c r="B197" s="247" t="s">
        <v>1605</v>
      </c>
      <c r="C197" s="5">
        <v>82530709</v>
      </c>
      <c r="D197" s="5"/>
      <c r="E197" s="5"/>
      <c r="F197" s="5" t="s">
        <v>1871</v>
      </c>
      <c r="G197" s="228" t="s">
        <v>1606</v>
      </c>
      <c r="H197" s="5"/>
      <c r="J197" s="325" t="s">
        <v>562</v>
      </c>
      <c r="K197" s="222"/>
      <c r="L197" s="140"/>
      <c r="M197" s="6" t="s">
        <v>2330</v>
      </c>
      <c r="N197" s="140"/>
    </row>
    <row r="198" spans="1:14" s="6" customFormat="1">
      <c r="A198" s="227" t="s">
        <v>1590</v>
      </c>
      <c r="B198" s="236" t="s">
        <v>1607</v>
      </c>
      <c r="C198" s="5">
        <v>67733603</v>
      </c>
      <c r="D198" s="5"/>
      <c r="E198" s="5"/>
      <c r="F198" s="5" t="s">
        <v>1909</v>
      </c>
      <c r="G198" s="228" t="s">
        <v>1608</v>
      </c>
      <c r="H198" s="5"/>
      <c r="J198" s="219"/>
      <c r="K198" s="222"/>
      <c r="L198" s="140"/>
      <c r="N198" s="140"/>
    </row>
    <row r="199" spans="1:14" s="6" customFormat="1">
      <c r="A199" s="227" t="s">
        <v>1590</v>
      </c>
      <c r="B199" s="236" t="s">
        <v>1610</v>
      </c>
      <c r="C199" s="5">
        <v>52219413</v>
      </c>
      <c r="D199" s="242" t="s">
        <v>1685</v>
      </c>
      <c r="E199" s="242" t="s">
        <v>1273</v>
      </c>
      <c r="F199" s="5" t="s">
        <v>616</v>
      </c>
      <c r="G199" s="228" t="s">
        <v>1611</v>
      </c>
      <c r="H199" s="5"/>
      <c r="J199" s="219"/>
      <c r="K199" s="222"/>
      <c r="L199" s="140"/>
      <c r="M199" s="6" t="s">
        <v>1769</v>
      </c>
      <c r="N199" s="140"/>
    </row>
    <row r="200" spans="1:14" s="6" customFormat="1">
      <c r="A200" s="227" t="s">
        <v>1590</v>
      </c>
      <c r="B200" s="338" t="s">
        <v>1987</v>
      </c>
      <c r="C200" s="23">
        <v>38478539</v>
      </c>
      <c r="D200" s="23" t="s">
        <v>913</v>
      </c>
      <c r="E200" s="23" t="s">
        <v>1932</v>
      </c>
      <c r="F200" s="23" t="s">
        <v>1974</v>
      </c>
      <c r="G200" s="305" t="s">
        <v>1612</v>
      </c>
      <c r="H200" s="305">
        <v>22</v>
      </c>
      <c r="I200" s="227"/>
      <c r="J200" s="227" t="s">
        <v>1615</v>
      </c>
      <c r="K200" s="222"/>
      <c r="L200" s="140"/>
      <c r="N200" s="140"/>
    </row>
    <row r="201" spans="1:14" s="6" customFormat="1">
      <c r="A201" s="227" t="s">
        <v>1590</v>
      </c>
      <c r="B201" s="310" t="s">
        <v>1616</v>
      </c>
      <c r="C201" s="6">
        <v>54664003</v>
      </c>
      <c r="D201" s="6" t="s">
        <v>2104</v>
      </c>
      <c r="E201" s="6" t="s">
        <v>1932</v>
      </c>
      <c r="F201" s="6" t="s">
        <v>1870</v>
      </c>
      <c r="G201" s="227" t="s">
        <v>666</v>
      </c>
      <c r="H201" s="6">
        <v>24</v>
      </c>
      <c r="J201" s="219"/>
      <c r="K201" s="222"/>
      <c r="L201" s="140">
        <v>2</v>
      </c>
      <c r="N201" s="140"/>
    </row>
    <row r="202" spans="1:14" s="6" customFormat="1">
      <c r="A202" s="227" t="s">
        <v>1590</v>
      </c>
      <c r="B202" s="302" t="s">
        <v>1717</v>
      </c>
      <c r="C202" s="5">
        <v>24668628</v>
      </c>
      <c r="D202" s="5"/>
      <c r="E202" s="5"/>
      <c r="F202" s="5" t="s">
        <v>1911</v>
      </c>
      <c r="G202" s="228" t="s">
        <v>1617</v>
      </c>
      <c r="H202" s="5"/>
      <c r="J202" s="219"/>
      <c r="K202" s="222"/>
      <c r="L202" s="140"/>
      <c r="N202" s="140"/>
    </row>
    <row r="203" spans="1:14" s="6" customFormat="1">
      <c r="A203" s="230" t="s">
        <v>1618</v>
      </c>
      <c r="B203" s="395" t="s">
        <v>2119</v>
      </c>
      <c r="C203" s="5">
        <v>65745950</v>
      </c>
      <c r="D203" s="5"/>
      <c r="E203" s="5"/>
      <c r="F203" s="5" t="s">
        <v>1984</v>
      </c>
      <c r="G203" s="231" t="s">
        <v>1621</v>
      </c>
      <c r="H203" s="5"/>
      <c r="J203" s="219"/>
      <c r="K203" s="222"/>
      <c r="L203" s="140"/>
      <c r="N203" s="140"/>
    </row>
    <row r="204" spans="1:14" s="6" customFormat="1">
      <c r="A204" s="230" t="s">
        <v>1618</v>
      </c>
      <c r="B204" s="236" t="s">
        <v>1622</v>
      </c>
      <c r="C204" s="5">
        <v>43623021</v>
      </c>
      <c r="D204" s="242" t="s">
        <v>1685</v>
      </c>
      <c r="E204" s="242" t="s">
        <v>1273</v>
      </c>
      <c r="F204" s="5" t="s">
        <v>1912</v>
      </c>
      <c r="G204" s="231" t="s">
        <v>1623</v>
      </c>
      <c r="H204" s="5"/>
      <c r="J204" s="219"/>
      <c r="K204" s="222"/>
      <c r="L204" s="140"/>
      <c r="N204" s="140"/>
    </row>
    <row r="205" spans="1:14" s="6" customFormat="1">
      <c r="A205" s="230" t="s">
        <v>1618</v>
      </c>
      <c r="B205" s="247" t="s">
        <v>1640</v>
      </c>
      <c r="C205" s="5">
        <v>30411495</v>
      </c>
      <c r="D205" s="5"/>
      <c r="E205" s="5"/>
      <c r="F205" s="5" t="s">
        <v>1914</v>
      </c>
      <c r="G205" s="231" t="s">
        <v>1624</v>
      </c>
      <c r="H205" s="5"/>
      <c r="J205" s="219"/>
      <c r="K205" s="222"/>
      <c r="L205" s="140">
        <v>1</v>
      </c>
      <c r="N205" s="140"/>
    </row>
    <row r="206" spans="1:14" s="6" customFormat="1">
      <c r="A206" s="230" t="s">
        <v>1618</v>
      </c>
      <c r="B206" s="236" t="s">
        <v>1626</v>
      </c>
      <c r="C206" s="5"/>
      <c r="D206" s="5"/>
      <c r="E206" s="5"/>
      <c r="F206" s="5" t="s">
        <v>1902</v>
      </c>
      <c r="G206" s="233" t="s">
        <v>1627</v>
      </c>
      <c r="H206" s="5"/>
      <c r="J206" s="219"/>
      <c r="K206" s="222"/>
      <c r="L206" s="140"/>
      <c r="M206" s="6" t="s">
        <v>2020</v>
      </c>
      <c r="N206" s="140"/>
    </row>
    <row r="207" spans="1:14" s="6" customFormat="1">
      <c r="A207" s="230" t="s">
        <v>1618</v>
      </c>
      <c r="B207" s="251" t="s">
        <v>1629</v>
      </c>
      <c r="C207" s="5">
        <v>10198061</v>
      </c>
      <c r="D207" s="5"/>
      <c r="E207" s="5"/>
      <c r="F207" s="5" t="s">
        <v>1874</v>
      </c>
      <c r="G207" s="231" t="s">
        <v>1630</v>
      </c>
      <c r="H207" s="5"/>
      <c r="J207" s="219"/>
      <c r="K207" s="222"/>
      <c r="L207" s="140"/>
      <c r="M207" s="6" t="s">
        <v>1855</v>
      </c>
      <c r="N207" s="140"/>
    </row>
    <row r="208" spans="1:14" s="6" customFormat="1" ht="28.8">
      <c r="A208" s="230" t="s">
        <v>1618</v>
      </c>
      <c r="B208" s="263" t="s">
        <v>1848</v>
      </c>
      <c r="C208" s="5"/>
      <c r="D208" s="5"/>
      <c r="E208" s="5"/>
      <c r="F208" s="5" t="s">
        <v>1962</v>
      </c>
      <c r="G208" s="231" t="s">
        <v>1632</v>
      </c>
      <c r="H208" s="5"/>
      <c r="J208" s="219"/>
      <c r="K208" s="222"/>
      <c r="L208" s="140"/>
      <c r="M208" s="6" t="s">
        <v>2562</v>
      </c>
      <c r="N208" s="140"/>
    </row>
    <row r="209" spans="1:14" s="6" customFormat="1">
      <c r="A209" s="232" t="s">
        <v>1633</v>
      </c>
      <c r="B209" s="310" t="s">
        <v>2066</v>
      </c>
      <c r="C209" s="6">
        <v>52202536</v>
      </c>
      <c r="D209" s="6" t="s">
        <v>2068</v>
      </c>
      <c r="E209" s="6" t="s">
        <v>1932</v>
      </c>
      <c r="F209" s="6" t="s">
        <v>1914</v>
      </c>
      <c r="G209" s="269" t="s">
        <v>1634</v>
      </c>
      <c r="H209" s="6">
        <v>22</v>
      </c>
      <c r="J209" s="219"/>
      <c r="K209" s="222"/>
      <c r="L209" s="140">
        <f>5000*11430</f>
        <v>57150000</v>
      </c>
      <c r="N209" s="140"/>
    </row>
    <row r="210" spans="1:14" s="6" customFormat="1">
      <c r="A210" s="234" t="s">
        <v>1633</v>
      </c>
      <c r="B210" s="381" t="s">
        <v>1635</v>
      </c>
      <c r="C210" s="5">
        <v>96678506</v>
      </c>
      <c r="D210" s="5" t="s">
        <v>2068</v>
      </c>
      <c r="E210" s="5" t="s">
        <v>1932</v>
      </c>
      <c r="F210" s="5" t="s">
        <v>1911</v>
      </c>
      <c r="G210" s="236" t="s">
        <v>1636</v>
      </c>
      <c r="H210" s="5"/>
      <c r="J210" s="361">
        <v>31</v>
      </c>
      <c r="K210" s="222"/>
      <c r="L210" s="140"/>
      <c r="N210" s="140"/>
    </row>
    <row r="211" spans="1:14" s="6" customFormat="1">
      <c r="A211" s="234" t="s">
        <v>1642</v>
      </c>
      <c r="B211" s="310" t="s">
        <v>1641</v>
      </c>
      <c r="C211" s="6">
        <v>45241571</v>
      </c>
      <c r="D211" s="6" t="s">
        <v>2067</v>
      </c>
      <c r="E211" s="6" t="s">
        <v>1932</v>
      </c>
      <c r="F211" s="6" t="s">
        <v>1914</v>
      </c>
      <c r="G211" s="234" t="s">
        <v>1643</v>
      </c>
      <c r="H211" s="6">
        <v>23</v>
      </c>
      <c r="J211" s="219"/>
      <c r="K211" s="222"/>
      <c r="L211" s="140"/>
      <c r="N211" s="140"/>
    </row>
    <row r="212" spans="1:14" s="6" customFormat="1">
      <c r="A212" s="234" t="s">
        <v>1642</v>
      </c>
      <c r="B212" s="247" t="s">
        <v>1647</v>
      </c>
      <c r="C212" s="5">
        <v>58346091</v>
      </c>
      <c r="D212" s="5"/>
      <c r="E212" s="5"/>
      <c r="F212" s="5" t="s">
        <v>1134</v>
      </c>
      <c r="G212" s="236" t="s">
        <v>1646</v>
      </c>
      <c r="H212" s="5"/>
      <c r="J212" s="323" t="s">
        <v>562</v>
      </c>
      <c r="K212" s="222"/>
      <c r="L212" s="140"/>
      <c r="M212" s="6" t="s">
        <v>2238</v>
      </c>
      <c r="N212" s="140"/>
    </row>
    <row r="213" spans="1:14" s="6" customFormat="1">
      <c r="A213" s="234" t="s">
        <v>1649</v>
      </c>
      <c r="B213" s="247" t="s">
        <v>1727</v>
      </c>
      <c r="C213" s="5">
        <v>20610723</v>
      </c>
      <c r="D213" s="5"/>
      <c r="E213" s="5"/>
      <c r="F213" s="5" t="s">
        <v>1910</v>
      </c>
      <c r="G213" s="236" t="s">
        <v>1648</v>
      </c>
      <c r="H213" s="5"/>
      <c r="J213" s="234" t="s">
        <v>1661</v>
      </c>
      <c r="K213" s="222"/>
      <c r="L213" s="140"/>
      <c r="N213" s="140"/>
    </row>
    <row r="214" spans="1:14" s="6" customFormat="1">
      <c r="A214" s="234" t="s">
        <v>1649</v>
      </c>
      <c r="B214" s="395" t="s">
        <v>1960</v>
      </c>
      <c r="C214" s="5">
        <v>45988414</v>
      </c>
      <c r="D214" s="5" t="s">
        <v>1723</v>
      </c>
      <c r="E214" s="5" t="s">
        <v>1932</v>
      </c>
      <c r="F214" s="5" t="s">
        <v>1896</v>
      </c>
      <c r="G214" s="236" t="s">
        <v>1662</v>
      </c>
      <c r="H214" s="5"/>
      <c r="J214" s="219">
        <v>27.5</v>
      </c>
      <c r="K214" s="222"/>
      <c r="L214" s="140"/>
      <c r="M214" s="6" t="s">
        <v>2431</v>
      </c>
      <c r="N214" s="140"/>
    </row>
    <row r="215" spans="1:14" s="6" customFormat="1">
      <c r="A215" s="234" t="s">
        <v>1649</v>
      </c>
      <c r="B215" s="278" t="s">
        <v>1663</v>
      </c>
      <c r="C215" s="5">
        <v>49091040</v>
      </c>
      <c r="D215" s="5"/>
      <c r="E215" s="5"/>
      <c r="F215" s="5" t="s">
        <v>1874</v>
      </c>
      <c r="G215" s="236" t="s">
        <v>1664</v>
      </c>
      <c r="H215" s="5"/>
      <c r="J215" s="219"/>
      <c r="K215" s="222"/>
      <c r="L215" s="140"/>
      <c r="M215" s="6" t="s">
        <v>1855</v>
      </c>
      <c r="N215" s="140"/>
    </row>
    <row r="216" spans="1:14" s="6" customFormat="1">
      <c r="A216" s="234" t="s">
        <v>1649</v>
      </c>
      <c r="B216" s="247" t="s">
        <v>1677</v>
      </c>
      <c r="C216" s="5">
        <v>92138207</v>
      </c>
      <c r="D216" s="5">
        <v>619146160</v>
      </c>
      <c r="E216" s="5"/>
      <c r="F216" s="5" t="s">
        <v>1871</v>
      </c>
      <c r="G216" s="236" t="s">
        <v>1678</v>
      </c>
      <c r="H216" s="5"/>
      <c r="J216" s="219"/>
      <c r="K216" s="222"/>
      <c r="L216" s="140"/>
      <c r="M216" s="6" t="s">
        <v>1855</v>
      </c>
      <c r="N216" s="140"/>
    </row>
    <row r="217" spans="1:14" s="6" customFormat="1">
      <c r="A217" s="241" t="s">
        <v>1685</v>
      </c>
      <c r="B217" s="476" t="s">
        <v>1684</v>
      </c>
      <c r="C217" s="5">
        <v>95732316</v>
      </c>
      <c r="D217" s="5" t="s">
        <v>2068</v>
      </c>
      <c r="E217" s="5" t="s">
        <v>2057</v>
      </c>
      <c r="F217" s="5" t="s">
        <v>1883</v>
      </c>
      <c r="G217" s="242" t="s">
        <v>1686</v>
      </c>
      <c r="H217" s="5">
        <v>22</v>
      </c>
      <c r="I217" s="6">
        <v>5</v>
      </c>
      <c r="J217" s="219"/>
      <c r="K217" s="222"/>
      <c r="L217" s="140"/>
      <c r="N217" s="140"/>
    </row>
    <row r="218" spans="1:14" s="6" customFormat="1">
      <c r="A218" s="241" t="s">
        <v>1685</v>
      </c>
      <c r="B218" s="459" t="s">
        <v>1690</v>
      </c>
      <c r="C218" s="6">
        <v>92466322</v>
      </c>
      <c r="D218" s="6" t="s">
        <v>2068</v>
      </c>
      <c r="E218" s="6" t="s">
        <v>2057</v>
      </c>
      <c r="F218" s="6" t="s">
        <v>1883</v>
      </c>
      <c r="G218" s="241" t="s">
        <v>1691</v>
      </c>
      <c r="H218" s="6">
        <v>22</v>
      </c>
      <c r="J218" s="219"/>
      <c r="K218" s="222"/>
      <c r="L218" s="140"/>
      <c r="N218" s="140"/>
    </row>
    <row r="219" spans="1:14" s="6" customFormat="1">
      <c r="A219" s="241" t="s">
        <v>1685</v>
      </c>
      <c r="B219" s="261" t="s">
        <v>1695</v>
      </c>
      <c r="C219" s="6">
        <v>27606617</v>
      </c>
      <c r="D219" s="6" t="s">
        <v>2068</v>
      </c>
      <c r="E219" s="6" t="s">
        <v>1932</v>
      </c>
      <c r="F219" s="6" t="s">
        <v>1914</v>
      </c>
      <c r="G219" s="241" t="s">
        <v>1696</v>
      </c>
      <c r="H219" s="6">
        <v>22</v>
      </c>
      <c r="J219" s="219"/>
      <c r="K219" s="222"/>
      <c r="L219" s="140"/>
      <c r="N219" s="140"/>
    </row>
    <row r="220" spans="1:14" s="6" customFormat="1">
      <c r="A220" s="241" t="s">
        <v>1685</v>
      </c>
      <c r="B220" s="446" t="s">
        <v>1721</v>
      </c>
      <c r="C220" s="6">
        <v>36384791</v>
      </c>
      <c r="D220" s="6" t="s">
        <v>2068</v>
      </c>
      <c r="E220" s="6" t="s">
        <v>2057</v>
      </c>
      <c r="F220" s="6" t="s">
        <v>1883</v>
      </c>
      <c r="G220" s="241" t="s">
        <v>1712</v>
      </c>
      <c r="H220" s="6">
        <v>22</v>
      </c>
      <c r="J220" s="219"/>
      <c r="K220" s="222"/>
      <c r="L220" s="140"/>
      <c r="N220" s="140"/>
    </row>
    <row r="221" spans="1:14" s="6" customFormat="1">
      <c r="A221" s="241" t="s">
        <v>1685</v>
      </c>
      <c r="B221" s="549" t="s">
        <v>1713</v>
      </c>
      <c r="C221" s="5">
        <v>51880906</v>
      </c>
      <c r="D221" s="5"/>
      <c r="E221" s="5"/>
      <c r="F221" s="5" t="s">
        <v>1913</v>
      </c>
      <c r="G221" s="242" t="s">
        <v>1714</v>
      </c>
      <c r="H221" s="5"/>
      <c r="J221" s="219"/>
      <c r="K221" s="222"/>
      <c r="L221" s="140"/>
      <c r="N221" s="140"/>
    </row>
    <row r="222" spans="1:14" s="6" customFormat="1">
      <c r="A222" s="244" t="s">
        <v>1718</v>
      </c>
      <c r="B222" s="278" t="s">
        <v>1804</v>
      </c>
      <c r="C222" s="5">
        <v>79414424</v>
      </c>
      <c r="D222" s="5"/>
      <c r="E222" s="5"/>
      <c r="F222" s="5" t="s">
        <v>1958</v>
      </c>
      <c r="G222" s="247" t="s">
        <v>1722</v>
      </c>
      <c r="H222" s="5"/>
      <c r="J222" s="219"/>
      <c r="K222" s="222"/>
      <c r="L222" s="140"/>
      <c r="N222" s="140"/>
    </row>
    <row r="223" spans="1:14" s="6" customFormat="1">
      <c r="A223" s="244" t="s">
        <v>1718</v>
      </c>
      <c r="B223" s="312" t="s">
        <v>1719</v>
      </c>
      <c r="C223" s="102">
        <v>14848487</v>
      </c>
      <c r="D223" s="102" t="s">
        <v>1752</v>
      </c>
      <c r="E223" s="6" t="s">
        <v>1932</v>
      </c>
      <c r="F223" s="102" t="s">
        <v>1914</v>
      </c>
      <c r="G223" s="246" t="s">
        <v>1720</v>
      </c>
      <c r="H223" s="102">
        <v>22</v>
      </c>
      <c r="J223" s="219"/>
      <c r="K223" s="222"/>
      <c r="L223" s="140"/>
      <c r="N223" s="140"/>
    </row>
    <row r="224" spans="1:14" s="6" customFormat="1">
      <c r="A224" s="244" t="s">
        <v>1718</v>
      </c>
      <c r="B224" s="298" t="s">
        <v>2060</v>
      </c>
      <c r="C224" s="5"/>
      <c r="D224" s="5"/>
      <c r="E224" s="5"/>
      <c r="F224" s="5" t="s">
        <v>616</v>
      </c>
      <c r="G224" s="247" t="s">
        <v>1724</v>
      </c>
      <c r="H224" s="5"/>
      <c r="J224" s="219"/>
      <c r="K224" s="222"/>
      <c r="L224" s="140"/>
      <c r="M224" s="6" t="s">
        <v>2063</v>
      </c>
      <c r="N224" s="140"/>
    </row>
    <row r="225" spans="1:14" s="6" customFormat="1">
      <c r="A225" s="244" t="s">
        <v>1718</v>
      </c>
      <c r="B225" s="287" t="s">
        <v>1725</v>
      </c>
      <c r="C225" s="5">
        <v>36473390</v>
      </c>
      <c r="D225" s="5"/>
      <c r="E225" s="5"/>
      <c r="F225" s="5" t="s">
        <v>1871</v>
      </c>
      <c r="G225" s="247" t="s">
        <v>1726</v>
      </c>
      <c r="H225" s="5"/>
      <c r="J225" s="219"/>
      <c r="K225" s="222"/>
      <c r="L225" s="140"/>
      <c r="M225" s="6" t="s">
        <v>2090</v>
      </c>
      <c r="N225" s="140"/>
    </row>
    <row r="226" spans="1:14" s="6" customFormat="1" ht="13.8" customHeight="1">
      <c r="A226" s="244" t="s">
        <v>1718</v>
      </c>
      <c r="B226" s="278" t="s">
        <v>1728</v>
      </c>
      <c r="C226" s="5">
        <v>67650164</v>
      </c>
      <c r="D226" s="5"/>
      <c r="E226" s="5"/>
      <c r="F226" s="5" t="s">
        <v>1906</v>
      </c>
      <c r="G226" s="247" t="s">
        <v>1729</v>
      </c>
      <c r="H226" s="5"/>
      <c r="J226" s="219"/>
      <c r="K226" s="222"/>
      <c r="L226" s="140"/>
      <c r="N226" s="140"/>
    </row>
    <row r="227" spans="1:14" s="6" customFormat="1">
      <c r="A227" s="244" t="s">
        <v>1718</v>
      </c>
      <c r="B227" s="247" t="s">
        <v>1736</v>
      </c>
      <c r="C227" s="5"/>
      <c r="D227" s="5"/>
      <c r="E227" s="5"/>
      <c r="F227" s="5" t="s">
        <v>1958</v>
      </c>
      <c r="G227" s="247" t="s">
        <v>1737</v>
      </c>
      <c r="H227" s="5"/>
      <c r="J227" s="219"/>
      <c r="K227" s="222"/>
      <c r="L227" s="140"/>
      <c r="N227" s="140"/>
    </row>
    <row r="228" spans="1:14" s="6" customFormat="1">
      <c r="A228" s="252" t="s">
        <v>1769</v>
      </c>
      <c r="B228" s="251" t="s">
        <v>1767</v>
      </c>
      <c r="C228" s="5">
        <v>30180059</v>
      </c>
      <c r="D228" s="5"/>
      <c r="E228" s="5"/>
      <c r="F228" s="5" t="s">
        <v>1910</v>
      </c>
      <c r="G228" s="251" t="s">
        <v>1770</v>
      </c>
      <c r="H228" s="5"/>
      <c r="J228" s="219">
        <v>27</v>
      </c>
      <c r="K228" s="222"/>
      <c r="L228" s="140"/>
      <c r="N228" s="140"/>
    </row>
    <row r="229" spans="1:14" s="6" customFormat="1">
      <c r="A229" s="252" t="s">
        <v>1769</v>
      </c>
      <c r="B229" s="278" t="s">
        <v>1773</v>
      </c>
      <c r="C229" s="5">
        <v>91478324</v>
      </c>
      <c r="D229" s="5"/>
      <c r="E229" s="5"/>
      <c r="F229" s="5" t="s">
        <v>1874</v>
      </c>
      <c r="G229" s="251" t="s">
        <v>1774</v>
      </c>
      <c r="H229" s="5"/>
      <c r="J229" s="219"/>
      <c r="K229" s="222"/>
      <c r="L229" s="140"/>
      <c r="M229" s="6" t="s">
        <v>2112</v>
      </c>
      <c r="N229" s="140"/>
    </row>
    <row r="230" spans="1:14" s="6" customFormat="1">
      <c r="A230" s="252" t="s">
        <v>1769</v>
      </c>
      <c r="B230" s="278" t="s">
        <v>1973</v>
      </c>
      <c r="C230" s="5"/>
      <c r="D230" s="5"/>
      <c r="E230" s="5"/>
      <c r="F230" s="5" t="s">
        <v>1873</v>
      </c>
      <c r="G230" s="251" t="s">
        <v>1775</v>
      </c>
      <c r="H230" s="5"/>
      <c r="J230" s="219"/>
      <c r="K230" s="222"/>
      <c r="L230" s="140"/>
      <c r="M230" s="6" t="s">
        <v>2562</v>
      </c>
      <c r="N230" s="140"/>
    </row>
    <row r="231" spans="1:14" s="6" customFormat="1">
      <c r="A231" s="255" t="s">
        <v>1781</v>
      </c>
      <c r="B231" s="278" t="s">
        <v>1807</v>
      </c>
      <c r="C231" s="5">
        <v>15846882</v>
      </c>
      <c r="D231" s="5"/>
      <c r="E231" s="5"/>
      <c r="F231" s="5" t="s">
        <v>1894</v>
      </c>
      <c r="G231" s="256" t="s">
        <v>1782</v>
      </c>
      <c r="H231" s="5"/>
      <c r="J231" s="219"/>
      <c r="K231" s="222"/>
      <c r="L231" s="140"/>
      <c r="N231" s="140"/>
    </row>
    <row r="232" spans="1:14" s="6" customFormat="1">
      <c r="A232" s="255" t="s">
        <v>1781</v>
      </c>
      <c r="B232" s="446" t="s">
        <v>1779</v>
      </c>
      <c r="C232" s="6">
        <v>38682088</v>
      </c>
      <c r="D232" s="6" t="s">
        <v>2068</v>
      </c>
      <c r="E232" s="6" t="s">
        <v>2057</v>
      </c>
      <c r="F232" s="6" t="s">
        <v>1883</v>
      </c>
      <c r="G232" s="255" t="s">
        <v>1783</v>
      </c>
      <c r="H232" s="6">
        <v>22</v>
      </c>
      <c r="J232" s="219"/>
      <c r="K232" s="222"/>
      <c r="L232" s="140"/>
      <c r="N232" s="140"/>
    </row>
    <row r="233" spans="1:14" s="6" customFormat="1">
      <c r="A233" s="255" t="s">
        <v>1781</v>
      </c>
      <c r="B233" s="278" t="s">
        <v>1784</v>
      </c>
      <c r="C233" s="5">
        <v>84629784</v>
      </c>
      <c r="D233" s="5"/>
      <c r="E233" s="5"/>
      <c r="F233" s="5" t="s">
        <v>1896</v>
      </c>
      <c r="G233" s="279" t="s">
        <v>1856</v>
      </c>
      <c r="H233" s="5"/>
      <c r="J233" s="219"/>
      <c r="K233" s="257">
        <f>45*1400</f>
        <v>63000</v>
      </c>
      <c r="L233" s="140"/>
      <c r="M233" s="6" t="s">
        <v>2431</v>
      </c>
      <c r="N233" s="140"/>
    </row>
    <row r="234" spans="1:14" s="6" customFormat="1">
      <c r="A234" s="255" t="s">
        <v>1781</v>
      </c>
      <c r="B234" s="278" t="s">
        <v>1785</v>
      </c>
      <c r="C234" s="5">
        <v>59369524</v>
      </c>
      <c r="D234" s="5"/>
      <c r="E234" s="5"/>
      <c r="F234" s="5" t="s">
        <v>1882</v>
      </c>
      <c r="G234" s="256" t="s">
        <v>1786</v>
      </c>
      <c r="H234" s="5"/>
      <c r="J234" s="219"/>
      <c r="K234" s="222"/>
      <c r="L234" s="140"/>
      <c r="N234" s="140"/>
    </row>
    <row r="235" spans="1:14" s="6" customFormat="1">
      <c r="A235" s="255" t="s">
        <v>1781</v>
      </c>
      <c r="B235" s="335" t="s">
        <v>1787</v>
      </c>
      <c r="C235" s="5">
        <v>14101987</v>
      </c>
      <c r="D235" s="5"/>
      <c r="E235" s="5"/>
      <c r="F235" s="5" t="s">
        <v>1882</v>
      </c>
      <c r="G235" s="335" t="s">
        <v>2304</v>
      </c>
      <c r="H235" s="5"/>
      <c r="J235" s="219"/>
      <c r="K235" s="222"/>
      <c r="L235" s="140"/>
      <c r="N235" s="140"/>
    </row>
    <row r="236" spans="1:14" s="6" customFormat="1">
      <c r="A236" s="255" t="s">
        <v>1781</v>
      </c>
      <c r="B236" s="278" t="s">
        <v>1788</v>
      </c>
      <c r="C236" s="5">
        <v>12345678</v>
      </c>
      <c r="D236" s="5"/>
      <c r="E236" s="5"/>
      <c r="F236" s="5" t="s">
        <v>1882</v>
      </c>
      <c r="G236" s="256" t="s">
        <v>1789</v>
      </c>
      <c r="H236" s="5"/>
      <c r="J236" s="219"/>
      <c r="K236" s="222"/>
      <c r="L236" s="140"/>
      <c r="N236" s="140"/>
    </row>
    <row r="237" spans="1:14" s="6" customFormat="1">
      <c r="A237" s="255" t="s">
        <v>1781</v>
      </c>
      <c r="B237" s="278" t="s">
        <v>1790</v>
      </c>
      <c r="C237" s="5">
        <v>42882667</v>
      </c>
      <c r="D237" s="5"/>
      <c r="E237" s="5"/>
      <c r="F237" s="5" t="s">
        <v>1882</v>
      </c>
      <c r="G237" s="256" t="s">
        <v>1786</v>
      </c>
      <c r="H237" s="5"/>
      <c r="J237" s="219"/>
      <c r="K237" s="222"/>
      <c r="L237" s="140"/>
      <c r="N237" s="140"/>
    </row>
    <row r="238" spans="1:14" s="6" customFormat="1">
      <c r="A238" s="255" t="s">
        <v>1781</v>
      </c>
      <c r="B238" s="256" t="s">
        <v>1791</v>
      </c>
      <c r="C238" s="5">
        <v>48339428</v>
      </c>
      <c r="D238" s="5"/>
      <c r="E238" s="5"/>
      <c r="F238" s="5" t="s">
        <v>1910</v>
      </c>
      <c r="G238" s="256" t="s">
        <v>1792</v>
      </c>
      <c r="H238" s="5"/>
      <c r="J238" s="219">
        <v>25</v>
      </c>
      <c r="K238" s="222"/>
      <c r="L238" s="140"/>
      <c r="M238" s="6" t="s">
        <v>1855</v>
      </c>
      <c r="N238" s="140"/>
    </row>
    <row r="239" spans="1:14" s="6" customFormat="1">
      <c r="A239" s="255" t="s">
        <v>1781</v>
      </c>
      <c r="B239" s="429" t="s">
        <v>1793</v>
      </c>
      <c r="C239" s="5">
        <v>20071965</v>
      </c>
      <c r="D239" s="5" t="s">
        <v>2790</v>
      </c>
      <c r="E239" s="2" t="s">
        <v>2800</v>
      </c>
      <c r="F239" s="5" t="s">
        <v>1922</v>
      </c>
      <c r="G239" s="256" t="s">
        <v>1803</v>
      </c>
      <c r="H239" s="5"/>
      <c r="J239" s="219"/>
      <c r="K239" s="222"/>
      <c r="L239" s="140"/>
      <c r="N239" s="140"/>
    </row>
    <row r="240" spans="1:14" s="6" customFormat="1">
      <c r="A240" s="255" t="s">
        <v>1781</v>
      </c>
      <c r="B240" s="278" t="s">
        <v>1796</v>
      </c>
      <c r="C240" s="5">
        <v>97203357</v>
      </c>
      <c r="D240" s="5"/>
      <c r="E240" s="5"/>
      <c r="F240" s="428" t="s">
        <v>2283</v>
      </c>
      <c r="G240" s="256" t="s">
        <v>1797</v>
      </c>
      <c r="H240" s="5"/>
      <c r="J240" s="219"/>
      <c r="K240" s="222"/>
      <c r="L240" s="140"/>
      <c r="M240" s="6" t="s">
        <v>2047</v>
      </c>
      <c r="N240" s="140"/>
    </row>
    <row r="241" spans="1:14" s="6" customFormat="1">
      <c r="A241" s="255" t="s">
        <v>1781</v>
      </c>
      <c r="B241" s="256" t="s">
        <v>1798</v>
      </c>
      <c r="C241" s="5">
        <v>91432213</v>
      </c>
      <c r="D241" s="5"/>
      <c r="E241" s="5"/>
      <c r="F241" s="5" t="s">
        <v>1923</v>
      </c>
      <c r="G241" s="256" t="s">
        <v>1802</v>
      </c>
      <c r="H241" s="5"/>
      <c r="J241" s="219"/>
      <c r="K241" s="222"/>
      <c r="L241" s="140"/>
      <c r="M241" s="6" t="s">
        <v>2136</v>
      </c>
      <c r="N241" s="140"/>
    </row>
    <row r="242" spans="1:14" s="6" customFormat="1">
      <c r="A242" s="255" t="s">
        <v>1781</v>
      </c>
      <c r="B242" s="256" t="s">
        <v>1768</v>
      </c>
      <c r="C242" s="5">
        <v>49755672</v>
      </c>
      <c r="D242" s="5"/>
      <c r="E242" s="5"/>
      <c r="F242" s="5" t="s">
        <v>1895</v>
      </c>
      <c r="G242" s="256" t="s">
        <v>1799</v>
      </c>
      <c r="H242" s="5"/>
      <c r="J242" s="219"/>
      <c r="K242" s="222"/>
      <c r="L242" s="140"/>
      <c r="N242" s="140"/>
    </row>
    <row r="243" spans="1:14" s="6" customFormat="1">
      <c r="A243" s="255" t="s">
        <v>1781</v>
      </c>
      <c r="B243" s="256" t="s">
        <v>1800</v>
      </c>
      <c r="C243" s="5">
        <v>75519136</v>
      </c>
      <c r="D243" s="5"/>
      <c r="E243" s="5"/>
      <c r="F243" s="5" t="s">
        <v>2031</v>
      </c>
      <c r="G243" s="256" t="s">
        <v>1801</v>
      </c>
      <c r="H243" s="5"/>
      <c r="J243" s="219">
        <v>6.5</v>
      </c>
      <c r="K243" s="222"/>
      <c r="L243" s="140"/>
      <c r="N243" s="140"/>
    </row>
    <row r="244" spans="1:14" s="6" customFormat="1">
      <c r="A244" s="258" t="s">
        <v>1805</v>
      </c>
      <c r="B244" s="259" t="s">
        <v>1738</v>
      </c>
      <c r="C244" s="5">
        <v>75552198</v>
      </c>
      <c r="D244" s="5"/>
      <c r="E244" s="5"/>
      <c r="F244" s="5" t="s">
        <v>1910</v>
      </c>
      <c r="G244" s="247" t="s">
        <v>1739</v>
      </c>
      <c r="H244" s="5"/>
      <c r="J244" s="219">
        <v>27</v>
      </c>
      <c r="K244" s="222"/>
      <c r="L244" s="140"/>
      <c r="N244" s="140"/>
    </row>
    <row r="245" spans="1:14" s="6" customFormat="1">
      <c r="A245" s="258" t="s">
        <v>1805</v>
      </c>
      <c r="B245" s="376" t="s">
        <v>1808</v>
      </c>
      <c r="C245" s="2">
        <v>18902346</v>
      </c>
      <c r="D245" s="2" t="s">
        <v>2068</v>
      </c>
      <c r="E245" s="2" t="s">
        <v>2057</v>
      </c>
      <c r="F245" s="2" t="s">
        <v>1874</v>
      </c>
      <c r="G245" s="280" t="s">
        <v>1809</v>
      </c>
      <c r="H245" s="2"/>
      <c r="J245" s="219"/>
      <c r="K245" s="222"/>
      <c r="L245" s="140"/>
      <c r="N245" s="140"/>
    </row>
    <row r="246" spans="1:14" s="6" customFormat="1">
      <c r="A246" s="258" t="s">
        <v>1805</v>
      </c>
      <c r="B246" s="278" t="s">
        <v>1810</v>
      </c>
      <c r="C246" s="5">
        <v>88888888</v>
      </c>
      <c r="D246" s="5"/>
      <c r="E246" s="5"/>
      <c r="F246" s="5" t="s">
        <v>2049</v>
      </c>
      <c r="G246" s="259" t="s">
        <v>1811</v>
      </c>
      <c r="H246" s="5"/>
      <c r="J246" s="219">
        <v>23</v>
      </c>
      <c r="K246" s="222"/>
      <c r="L246" s="387"/>
      <c r="N246" s="140"/>
    </row>
    <row r="247" spans="1:14" s="6" customFormat="1">
      <c r="A247" s="261" t="s">
        <v>1816</v>
      </c>
      <c r="B247" s="278" t="s">
        <v>1818</v>
      </c>
      <c r="C247" s="5">
        <v>937170315</v>
      </c>
      <c r="D247" s="5"/>
      <c r="E247" s="5"/>
      <c r="F247" s="5" t="s">
        <v>1924</v>
      </c>
      <c r="G247" s="262" t="s">
        <v>1819</v>
      </c>
      <c r="H247" s="5"/>
      <c r="J247" s="219"/>
      <c r="K247" s="222"/>
      <c r="L247" s="140"/>
      <c r="N247" s="140"/>
    </row>
    <row r="248" spans="1:14" s="6" customFormat="1">
      <c r="A248" s="261" t="s">
        <v>1816</v>
      </c>
      <c r="B248" s="261" t="s">
        <v>1817</v>
      </c>
      <c r="F248" s="6" t="s">
        <v>1930</v>
      </c>
      <c r="G248" s="261" t="s">
        <v>1817</v>
      </c>
      <c r="H248" s="6">
        <v>24</v>
      </c>
      <c r="J248" s="219"/>
      <c r="K248" s="222"/>
      <c r="L248" s="140">
        <v>2</v>
      </c>
      <c r="N248" s="140"/>
    </row>
    <row r="249" spans="1:14" s="6" customFormat="1">
      <c r="A249" s="261" t="s">
        <v>1816</v>
      </c>
      <c r="B249" s="329" t="s">
        <v>1814</v>
      </c>
      <c r="C249" s="5">
        <v>53473969</v>
      </c>
      <c r="D249" s="5"/>
      <c r="E249" s="5"/>
      <c r="F249" s="5" t="s">
        <v>2043</v>
      </c>
      <c r="G249" s="262" t="s">
        <v>1815</v>
      </c>
      <c r="H249" s="5"/>
      <c r="J249" s="219">
        <v>32</v>
      </c>
      <c r="K249" s="222"/>
      <c r="L249" s="140"/>
      <c r="M249" s="6" t="s">
        <v>2020</v>
      </c>
      <c r="N249" s="140"/>
    </row>
    <row r="250" spans="1:14" s="6" customFormat="1">
      <c r="A250" s="261" t="s">
        <v>1826</v>
      </c>
      <c r="B250" s="278" t="s">
        <v>1825</v>
      </c>
      <c r="C250" s="5">
        <v>45287986</v>
      </c>
      <c r="D250" s="5"/>
      <c r="E250" s="5"/>
      <c r="F250" s="5" t="s">
        <v>1881</v>
      </c>
      <c r="G250" s="262" t="s">
        <v>1827</v>
      </c>
      <c r="H250" s="5"/>
      <c r="J250" s="219"/>
      <c r="K250" s="222"/>
      <c r="L250" s="140">
        <v>1</v>
      </c>
      <c r="N250" s="140"/>
    </row>
    <row r="251" spans="1:14" s="6" customFormat="1">
      <c r="A251" s="261" t="s">
        <v>1826</v>
      </c>
      <c r="B251" s="317" t="s">
        <v>1828</v>
      </c>
      <c r="C251" s="6">
        <v>54092179</v>
      </c>
      <c r="D251" s="6" t="s">
        <v>2068</v>
      </c>
      <c r="E251" s="6" t="s">
        <v>1932</v>
      </c>
      <c r="F251" s="6" t="s">
        <v>1870</v>
      </c>
      <c r="G251" s="261" t="s">
        <v>1829</v>
      </c>
      <c r="H251" s="6">
        <v>24</v>
      </c>
      <c r="J251" s="219"/>
      <c r="K251" s="222"/>
      <c r="L251" s="140">
        <v>2</v>
      </c>
      <c r="N251" s="140"/>
    </row>
    <row r="252" spans="1:14" s="6" customFormat="1">
      <c r="A252" s="261" t="s">
        <v>1826</v>
      </c>
      <c r="B252" s="317" t="s">
        <v>1833</v>
      </c>
      <c r="C252" s="6">
        <v>81468635</v>
      </c>
      <c r="D252" s="6" t="s">
        <v>2068</v>
      </c>
      <c r="E252" s="6" t="s">
        <v>1932</v>
      </c>
      <c r="F252" s="6" t="s">
        <v>1870</v>
      </c>
      <c r="G252" s="261" t="s">
        <v>1834</v>
      </c>
      <c r="H252" s="6">
        <v>23</v>
      </c>
      <c r="J252" s="219"/>
      <c r="K252" s="222"/>
      <c r="L252" s="140">
        <v>1</v>
      </c>
      <c r="N252" s="140"/>
    </row>
    <row r="253" spans="1:14" s="6" customFormat="1">
      <c r="A253" s="261" t="s">
        <v>1826</v>
      </c>
      <c r="B253" s="278" t="s">
        <v>1840</v>
      </c>
      <c r="C253" s="5">
        <v>44978161</v>
      </c>
      <c r="D253" s="5"/>
      <c r="E253" s="5"/>
      <c r="F253" s="5" t="s">
        <v>2097</v>
      </c>
      <c r="G253" s="262" t="s">
        <v>1841</v>
      </c>
      <c r="H253" s="5"/>
      <c r="J253" s="219">
        <v>22</v>
      </c>
      <c r="K253" s="222"/>
      <c r="L253" s="140"/>
      <c r="N253" s="140"/>
    </row>
    <row r="254" spans="1:14" s="6" customFormat="1">
      <c r="A254" s="261" t="s">
        <v>1826</v>
      </c>
      <c r="B254" s="278" t="s">
        <v>1842</v>
      </c>
      <c r="C254" s="5">
        <v>63892669</v>
      </c>
      <c r="D254" s="5"/>
      <c r="E254" s="5"/>
      <c r="F254" s="5" t="s">
        <v>1885</v>
      </c>
      <c r="G254" s="262" t="s">
        <v>1843</v>
      </c>
      <c r="H254" s="5"/>
      <c r="J254" s="219"/>
      <c r="K254" s="222"/>
      <c r="L254" s="140"/>
      <c r="N254" s="140"/>
    </row>
    <row r="255" spans="1:14" s="6" customFormat="1">
      <c r="A255" s="261" t="s">
        <v>1826</v>
      </c>
      <c r="B255" s="429" t="s">
        <v>1846</v>
      </c>
      <c r="C255" s="5">
        <v>94781400</v>
      </c>
      <c r="D255" s="5" t="s">
        <v>2790</v>
      </c>
      <c r="E255" s="5" t="s">
        <v>2847</v>
      </c>
      <c r="F255" s="5" t="s">
        <v>2031</v>
      </c>
      <c r="G255" s="262" t="s">
        <v>1847</v>
      </c>
      <c r="H255" s="5"/>
      <c r="I255" s="2"/>
      <c r="J255" s="219">
        <v>30</v>
      </c>
      <c r="K255" s="222"/>
      <c r="L255" s="140"/>
      <c r="N255" s="140"/>
    </row>
    <row r="256" spans="1:14" s="6" customFormat="1">
      <c r="A256" s="261" t="s">
        <v>1826</v>
      </c>
      <c r="B256" s="261" t="s">
        <v>1853</v>
      </c>
      <c r="F256" s="6" t="s">
        <v>1900</v>
      </c>
      <c r="G256" s="261" t="s">
        <v>1439</v>
      </c>
      <c r="H256" s="6">
        <v>22</v>
      </c>
      <c r="J256" s="219"/>
      <c r="K256" s="222"/>
      <c r="L256" s="140"/>
      <c r="N256" s="140"/>
    </row>
    <row r="257" spans="1:14" s="6" customFormat="1">
      <c r="A257" s="269" t="s">
        <v>1855</v>
      </c>
      <c r="B257" s="287" t="s">
        <v>1857</v>
      </c>
      <c r="C257" s="5">
        <v>73700328</v>
      </c>
      <c r="D257" s="5"/>
      <c r="E257" s="5"/>
      <c r="F257" s="5" t="s">
        <v>1926</v>
      </c>
      <c r="G257" s="279" t="s">
        <v>1858</v>
      </c>
      <c r="H257" s="5"/>
      <c r="J257" s="269" t="s">
        <v>1859</v>
      </c>
      <c r="K257" s="222"/>
      <c r="L257" s="140">
        <v>1</v>
      </c>
      <c r="N257" s="140"/>
    </row>
    <row r="258" spans="1:14" s="6" customFormat="1">
      <c r="A258" s="269" t="s">
        <v>1855</v>
      </c>
      <c r="B258" s="278" t="s">
        <v>1860</v>
      </c>
      <c r="C258" s="5">
        <v>15908877</v>
      </c>
      <c r="D258" s="5"/>
      <c r="E258" s="5"/>
      <c r="F258" s="5" t="s">
        <v>1885</v>
      </c>
      <c r="G258" s="279" t="s">
        <v>1861</v>
      </c>
      <c r="H258" s="5"/>
      <c r="J258" s="219"/>
      <c r="K258" s="222"/>
      <c r="L258" s="140"/>
      <c r="N258" s="140"/>
    </row>
    <row r="259" spans="1:14" s="6" customFormat="1">
      <c r="A259" s="269" t="s">
        <v>1855</v>
      </c>
      <c r="B259" s="316" t="s">
        <v>2148</v>
      </c>
      <c r="C259" s="5"/>
      <c r="D259" s="5"/>
      <c r="E259" s="5"/>
      <c r="F259" s="5" t="s">
        <v>643</v>
      </c>
      <c r="G259" s="279" t="s">
        <v>594</v>
      </c>
      <c r="H259" s="5"/>
      <c r="J259" s="277" t="s">
        <v>1961</v>
      </c>
      <c r="K259" s="222"/>
      <c r="L259" s="140"/>
      <c r="M259" s="6" t="s">
        <v>2136</v>
      </c>
      <c r="N259" s="140"/>
    </row>
    <row r="260" spans="1:14" s="6" customFormat="1">
      <c r="A260" s="269" t="s">
        <v>1855</v>
      </c>
      <c r="B260" s="278" t="s">
        <v>1862</v>
      </c>
      <c r="C260" s="5">
        <v>32342854</v>
      </c>
      <c r="D260" s="5"/>
      <c r="E260" s="5"/>
      <c r="F260" s="5" t="s">
        <v>1925</v>
      </c>
      <c r="G260" s="279" t="s">
        <v>1863</v>
      </c>
      <c r="H260" s="5"/>
      <c r="J260" s="219"/>
      <c r="K260" s="222"/>
      <c r="L260" s="140"/>
      <c r="N260" s="140"/>
    </row>
    <row r="261" spans="1:14" s="6" customFormat="1">
      <c r="A261" s="270" t="s">
        <v>1855</v>
      </c>
      <c r="B261" s="270" t="s">
        <v>1864</v>
      </c>
      <c r="F261" s="6" t="s">
        <v>1930</v>
      </c>
      <c r="G261" s="270" t="s">
        <v>1865</v>
      </c>
      <c r="H261" s="6">
        <v>24</v>
      </c>
      <c r="J261" s="219"/>
      <c r="K261" s="222"/>
      <c r="L261" s="140"/>
      <c r="N261" s="140"/>
    </row>
    <row r="262" spans="1:14" s="6" customFormat="1">
      <c r="A262" s="277" t="s">
        <v>1940</v>
      </c>
      <c r="B262" s="278" t="s">
        <v>1972</v>
      </c>
      <c r="C262" s="5"/>
      <c r="D262" s="5"/>
      <c r="E262" s="5"/>
      <c r="F262" s="5" t="s">
        <v>1962</v>
      </c>
      <c r="G262" s="278" t="s">
        <v>1941</v>
      </c>
      <c r="H262" s="5"/>
      <c r="J262" s="219"/>
      <c r="K262" s="222"/>
      <c r="L262" s="140"/>
      <c r="M262" s="6" t="s">
        <v>2562</v>
      </c>
      <c r="N262" s="140"/>
    </row>
    <row r="263" spans="1:14" s="6" customFormat="1">
      <c r="A263" s="277" t="s">
        <v>1940</v>
      </c>
      <c r="B263" s="473" t="s">
        <v>1942</v>
      </c>
      <c r="C263" s="23">
        <v>30080424</v>
      </c>
      <c r="D263" s="23" t="s">
        <v>2068</v>
      </c>
      <c r="E263" s="23" t="s">
        <v>2057</v>
      </c>
      <c r="F263" s="23" t="s">
        <v>1884</v>
      </c>
      <c r="G263" s="281" t="s">
        <v>1944</v>
      </c>
      <c r="H263" s="23">
        <v>22</v>
      </c>
      <c r="J263" s="219"/>
      <c r="K263" s="222"/>
      <c r="L263" s="140"/>
      <c r="N263" s="140"/>
    </row>
    <row r="264" spans="1:14" s="6" customFormat="1">
      <c r="A264" s="277" t="s">
        <v>1940</v>
      </c>
      <c r="B264" s="277" t="s">
        <v>1943</v>
      </c>
      <c r="F264" s="6" t="s">
        <v>1930</v>
      </c>
      <c r="G264" s="277" t="s">
        <v>693</v>
      </c>
      <c r="H264" s="6">
        <v>24</v>
      </c>
      <c r="J264" s="219"/>
      <c r="K264" s="222"/>
      <c r="L264" s="140"/>
      <c r="N264" s="140"/>
    </row>
    <row r="265" spans="1:14" s="6" customFormat="1">
      <c r="A265" s="277" t="s">
        <v>1940</v>
      </c>
      <c r="B265" s="429" t="s">
        <v>1945</v>
      </c>
      <c r="C265" s="5">
        <v>24119874</v>
      </c>
      <c r="D265" s="5" t="s">
        <v>2790</v>
      </c>
      <c r="E265" s="5" t="s">
        <v>2847</v>
      </c>
      <c r="F265" s="5" t="s">
        <v>1948</v>
      </c>
      <c r="G265" s="278" t="s">
        <v>1947</v>
      </c>
      <c r="H265" s="5"/>
      <c r="J265" s="277" t="s">
        <v>1946</v>
      </c>
      <c r="K265" s="222"/>
      <c r="L265" s="140"/>
      <c r="N265" s="140"/>
    </row>
    <row r="266" spans="1:14" s="6" customFormat="1" ht="26.4">
      <c r="A266" s="277" t="s">
        <v>1940</v>
      </c>
      <c r="B266" s="157" t="s">
        <v>2002</v>
      </c>
      <c r="C266" s="5">
        <v>19557913</v>
      </c>
      <c r="D266" s="5" t="s">
        <v>2790</v>
      </c>
      <c r="E266" s="5" t="s">
        <v>2825</v>
      </c>
      <c r="F266" s="428" t="s">
        <v>2283</v>
      </c>
      <c r="G266" s="287" t="s">
        <v>2003</v>
      </c>
      <c r="H266" s="5"/>
      <c r="J266" s="219"/>
      <c r="K266" s="222"/>
      <c r="L266" s="140"/>
      <c r="N266" s="140"/>
    </row>
    <row r="267" spans="1:14" s="6" customFormat="1">
      <c r="A267" s="277" t="s">
        <v>1940</v>
      </c>
      <c r="B267" s="278" t="s">
        <v>1949</v>
      </c>
      <c r="C267" s="5">
        <v>30025771</v>
      </c>
      <c r="D267" s="5"/>
      <c r="E267" s="5"/>
      <c r="F267" s="5" t="s">
        <v>1951</v>
      </c>
      <c r="G267" s="278" t="s">
        <v>1950</v>
      </c>
      <c r="H267" s="5"/>
      <c r="J267" s="219"/>
      <c r="K267" s="222"/>
      <c r="L267" s="140"/>
      <c r="M267" s="6" t="s">
        <v>2374</v>
      </c>
      <c r="N267" s="140"/>
    </row>
    <row r="268" spans="1:14" s="6" customFormat="1">
      <c r="A268" s="277" t="s">
        <v>1940</v>
      </c>
      <c r="B268" s="334" t="s">
        <v>1952</v>
      </c>
      <c r="C268" s="5">
        <v>22566218</v>
      </c>
      <c r="D268" s="5"/>
      <c r="E268" s="5"/>
      <c r="F268" s="5" t="s">
        <v>643</v>
      </c>
      <c r="G268" s="278" t="s">
        <v>1953</v>
      </c>
      <c r="H268" s="5"/>
      <c r="J268" s="219"/>
      <c r="K268" s="222"/>
      <c r="L268" s="140"/>
      <c r="M268" s="6" t="s">
        <v>2374</v>
      </c>
      <c r="N268" s="140"/>
    </row>
    <row r="269" spans="1:14" s="6" customFormat="1">
      <c r="A269" s="277" t="s">
        <v>1940</v>
      </c>
      <c r="B269" s="278" t="s">
        <v>1954</v>
      </c>
      <c r="C269" s="5">
        <v>68997180</v>
      </c>
      <c r="D269" s="5"/>
      <c r="E269" s="5"/>
      <c r="F269" s="5" t="s">
        <v>1951</v>
      </c>
      <c r="G269" s="278" t="s">
        <v>1955</v>
      </c>
      <c r="H269" s="5"/>
      <c r="J269" s="219"/>
      <c r="K269" s="222"/>
      <c r="L269" s="140"/>
      <c r="M269" s="6" t="s">
        <v>2374</v>
      </c>
      <c r="N269" s="140"/>
    </row>
    <row r="270" spans="1:14" s="6" customFormat="1">
      <c r="A270" s="277" t="s">
        <v>1940</v>
      </c>
      <c r="B270" s="302" t="s">
        <v>1956</v>
      </c>
      <c r="C270" s="5">
        <v>90774367</v>
      </c>
      <c r="D270" s="5"/>
      <c r="E270" s="5"/>
      <c r="F270" s="5" t="s">
        <v>1958</v>
      </c>
      <c r="G270" s="278" t="s">
        <v>1957</v>
      </c>
      <c r="H270" s="5"/>
      <c r="J270" s="219">
        <v>33</v>
      </c>
      <c r="K270" s="222"/>
      <c r="L270" s="140"/>
      <c r="N270" s="140"/>
    </row>
    <row r="271" spans="1:14" s="6" customFormat="1">
      <c r="A271" s="277" t="s">
        <v>1940</v>
      </c>
      <c r="B271" s="321" t="s">
        <v>1964</v>
      </c>
      <c r="C271" s="23">
        <v>24379815</v>
      </c>
      <c r="D271" s="23" t="s">
        <v>2068</v>
      </c>
      <c r="E271" s="23" t="s">
        <v>1932</v>
      </c>
      <c r="F271" s="23" t="s">
        <v>666</v>
      </c>
      <c r="G271" s="281" t="s">
        <v>1965</v>
      </c>
      <c r="H271" s="23">
        <v>24</v>
      </c>
      <c r="J271" s="219"/>
      <c r="K271" s="222"/>
      <c r="L271" s="140"/>
      <c r="N271" s="140"/>
    </row>
    <row r="272" spans="1:14" s="6" customFormat="1">
      <c r="A272" s="277" t="s">
        <v>1940</v>
      </c>
      <c r="B272" s="278" t="s">
        <v>1966</v>
      </c>
      <c r="C272" s="5"/>
      <c r="D272" s="5"/>
      <c r="E272" s="5"/>
      <c r="F272" s="5" t="s">
        <v>1967</v>
      </c>
      <c r="G272" s="278" t="s">
        <v>1968</v>
      </c>
      <c r="H272" s="5"/>
      <c r="J272" s="219"/>
      <c r="K272" s="222"/>
      <c r="L272" s="140"/>
      <c r="N272" s="140"/>
    </row>
    <row r="273" spans="1:14" s="6" customFormat="1" ht="43.2">
      <c r="A273" s="277" t="s">
        <v>1940</v>
      </c>
      <c r="B273" s="307" t="s">
        <v>2072</v>
      </c>
      <c r="C273" s="5"/>
      <c r="D273" s="5"/>
      <c r="E273" s="5"/>
      <c r="F273" s="5" t="s">
        <v>1873</v>
      </c>
      <c r="G273" s="278" t="s">
        <v>1971</v>
      </c>
      <c r="H273" s="5"/>
      <c r="J273" s="219"/>
      <c r="K273" s="222"/>
      <c r="L273" s="140"/>
      <c r="M273" s="6" t="s">
        <v>2562</v>
      </c>
      <c r="N273" s="140"/>
    </row>
    <row r="274" spans="1:14" s="6" customFormat="1">
      <c r="A274" s="285" t="s">
        <v>1981</v>
      </c>
      <c r="B274" s="319" t="s">
        <v>1982</v>
      </c>
      <c r="C274" s="6">
        <v>17092357</v>
      </c>
      <c r="D274" s="6" t="s">
        <v>2068</v>
      </c>
      <c r="E274" s="6" t="s">
        <v>2057</v>
      </c>
      <c r="F274" s="6" t="s">
        <v>666</v>
      </c>
      <c r="G274" s="277" t="s">
        <v>1983</v>
      </c>
      <c r="H274" s="6">
        <v>10</v>
      </c>
      <c r="J274" s="219">
        <v>10</v>
      </c>
      <c r="K274" s="222"/>
      <c r="L274" s="140"/>
      <c r="N274" s="140"/>
    </row>
    <row r="275" spans="1:14" s="6" customFormat="1">
      <c r="A275" s="277" t="s">
        <v>1985</v>
      </c>
      <c r="B275" s="277" t="s">
        <v>1986</v>
      </c>
      <c r="F275" s="6" t="s">
        <v>1930</v>
      </c>
      <c r="G275" s="277" t="s">
        <v>1963</v>
      </c>
      <c r="H275" s="6">
        <v>24</v>
      </c>
      <c r="J275" s="219"/>
      <c r="K275" s="222"/>
      <c r="L275" s="140"/>
      <c r="N275" s="140"/>
    </row>
    <row r="276" spans="1:14" s="6" customFormat="1">
      <c r="A276" s="285" t="s">
        <v>1985</v>
      </c>
      <c r="B276" s="286" t="s">
        <v>1998</v>
      </c>
      <c r="C276" s="5"/>
      <c r="D276" s="5"/>
      <c r="E276" s="5"/>
      <c r="F276" s="5"/>
      <c r="G276" s="262"/>
      <c r="H276" s="5"/>
      <c r="J276" s="219"/>
      <c r="K276" s="222"/>
      <c r="L276" s="140"/>
      <c r="N276" s="140"/>
    </row>
    <row r="277" spans="1:14" s="6" customFormat="1">
      <c r="A277" s="285" t="s">
        <v>1985</v>
      </c>
      <c r="B277" s="286"/>
      <c r="C277" s="5"/>
      <c r="D277" s="5"/>
      <c r="E277" s="5"/>
      <c r="F277" s="5"/>
      <c r="G277" s="286" t="s">
        <v>1999</v>
      </c>
      <c r="H277" s="5"/>
      <c r="J277" s="219"/>
      <c r="K277" s="222"/>
      <c r="L277" s="140"/>
      <c r="N277" s="140"/>
    </row>
    <row r="278" spans="1:14" s="6" customFormat="1">
      <c r="A278" s="285" t="s">
        <v>1985</v>
      </c>
      <c r="B278" s="359" t="s">
        <v>2000</v>
      </c>
      <c r="C278" s="102">
        <v>45897379</v>
      </c>
      <c r="D278" s="102" t="s">
        <v>2068</v>
      </c>
      <c r="E278" s="102" t="s">
        <v>2057</v>
      </c>
      <c r="F278" s="102" t="s">
        <v>931</v>
      </c>
      <c r="G278" s="289" t="s">
        <v>2001</v>
      </c>
      <c r="H278" s="102">
        <v>21</v>
      </c>
      <c r="J278" s="219"/>
      <c r="K278" s="222"/>
      <c r="L278" s="140"/>
      <c r="N278" s="140"/>
    </row>
    <row r="279" spans="1:14" s="6" customFormat="1">
      <c r="A279" s="288" t="s">
        <v>2004</v>
      </c>
      <c r="B279" s="288" t="s">
        <v>2005</v>
      </c>
      <c r="F279" s="288" t="s">
        <v>1958</v>
      </c>
      <c r="G279" s="288" t="s">
        <v>2006</v>
      </c>
      <c r="H279" s="6">
        <v>22</v>
      </c>
      <c r="J279" s="219"/>
      <c r="K279" s="222"/>
      <c r="L279" s="140"/>
      <c r="N279" s="140"/>
    </row>
    <row r="280" spans="1:14" s="6" customFormat="1">
      <c r="A280" s="288" t="s">
        <v>2004</v>
      </c>
      <c r="B280" s="334" t="s">
        <v>2261</v>
      </c>
      <c r="C280" s="5"/>
      <c r="D280" s="5"/>
      <c r="E280" s="5"/>
      <c r="F280" s="5" t="s">
        <v>1962</v>
      </c>
      <c r="G280" s="287" t="s">
        <v>2007</v>
      </c>
      <c r="H280" s="5"/>
      <c r="J280" s="219"/>
      <c r="K280" s="222"/>
      <c r="L280" s="140"/>
      <c r="M280" s="6" t="s">
        <v>2562</v>
      </c>
      <c r="N280" s="140"/>
    </row>
    <row r="281" spans="1:14" s="6" customFormat="1" ht="35.549999999999997" customHeight="1">
      <c r="A281" s="288" t="s">
        <v>2004</v>
      </c>
      <c r="B281" s="432" t="s">
        <v>2008</v>
      </c>
      <c r="C281" s="5"/>
      <c r="D281" s="5" t="s">
        <v>2790</v>
      </c>
      <c r="E281" s="5" t="s">
        <v>2849</v>
      </c>
      <c r="F281" s="5"/>
      <c r="G281" s="287" t="s">
        <v>2009</v>
      </c>
      <c r="H281" s="5">
        <v>21</v>
      </c>
      <c r="I281" s="6">
        <v>5</v>
      </c>
      <c r="J281" s="219"/>
      <c r="K281" s="222"/>
      <c r="L281" s="140"/>
      <c r="N281" s="140"/>
    </row>
    <row r="282" spans="1:14" s="6" customFormat="1">
      <c r="A282" s="290" t="s">
        <v>2004</v>
      </c>
      <c r="B282" s="360" t="s">
        <v>2017</v>
      </c>
      <c r="C282" s="23">
        <v>36413073</v>
      </c>
      <c r="D282" s="23" t="s">
        <v>2068</v>
      </c>
      <c r="E282" s="23" t="s">
        <v>2057</v>
      </c>
      <c r="F282" s="23" t="s">
        <v>960</v>
      </c>
      <c r="G282" s="300" t="s">
        <v>2018</v>
      </c>
      <c r="H282" s="23">
        <v>22</v>
      </c>
      <c r="J282" s="219"/>
      <c r="K282" s="222"/>
      <c r="L282" s="140"/>
      <c r="N282" s="140"/>
    </row>
    <row r="283" spans="1:14" s="6" customFormat="1">
      <c r="A283" s="290" t="s">
        <v>2004</v>
      </c>
      <c r="B283" s="298" t="s">
        <v>2021</v>
      </c>
      <c r="C283" s="5">
        <v>57883733</v>
      </c>
      <c r="D283" s="5"/>
      <c r="E283" s="5"/>
      <c r="F283" s="5" t="s">
        <v>551</v>
      </c>
      <c r="G283" s="294" t="s">
        <v>2022</v>
      </c>
      <c r="H283" s="5"/>
      <c r="J283" s="219"/>
      <c r="K283" s="222"/>
      <c r="L283" s="140"/>
      <c r="N283" s="140"/>
    </row>
    <row r="284" spans="1:14" s="6" customFormat="1">
      <c r="A284" s="293" t="s">
        <v>2020</v>
      </c>
      <c r="B284" s="316" t="s">
        <v>2074</v>
      </c>
      <c r="C284" s="5">
        <v>88411789</v>
      </c>
      <c r="D284" s="5"/>
      <c r="E284" s="5"/>
      <c r="F284" s="5" t="s">
        <v>1134</v>
      </c>
      <c r="G284" s="294" t="s">
        <v>2023</v>
      </c>
      <c r="H284" s="5"/>
      <c r="J284" s="310" t="s">
        <v>1661</v>
      </c>
      <c r="K284" s="222"/>
      <c r="L284" s="140"/>
      <c r="M284" s="6" t="s">
        <v>2325</v>
      </c>
      <c r="N284" s="140"/>
    </row>
    <row r="285" spans="1:14" s="6" customFormat="1">
      <c r="A285" s="293" t="s">
        <v>2020</v>
      </c>
      <c r="B285" s="302" t="s">
        <v>2024</v>
      </c>
      <c r="C285" s="5">
        <v>17416389</v>
      </c>
      <c r="D285" s="5"/>
      <c r="E285" s="5"/>
      <c r="F285" s="5" t="s">
        <v>2026</v>
      </c>
      <c r="G285" s="294" t="s">
        <v>2025</v>
      </c>
      <c r="H285" s="5"/>
      <c r="J285" s="219"/>
      <c r="K285" s="222"/>
      <c r="L285" s="140"/>
      <c r="M285" s="6" t="s">
        <v>2112</v>
      </c>
      <c r="N285" s="140"/>
    </row>
    <row r="286" spans="1:14" s="6" customFormat="1">
      <c r="A286" s="293" t="s">
        <v>2020</v>
      </c>
      <c r="B286" s="331" t="s">
        <v>2134</v>
      </c>
      <c r="C286" s="6">
        <v>91184731</v>
      </c>
      <c r="D286" s="6" t="s">
        <v>2068</v>
      </c>
      <c r="E286" s="6" t="s">
        <v>2057</v>
      </c>
      <c r="F286" s="6" t="s">
        <v>1958</v>
      </c>
      <c r="G286" s="293" t="s">
        <v>2027</v>
      </c>
      <c r="H286" s="6">
        <v>22</v>
      </c>
      <c r="J286" s="219"/>
      <c r="K286" s="222"/>
      <c r="L286" s="140"/>
      <c r="N286" s="140"/>
    </row>
    <row r="287" spans="1:14" s="6" customFormat="1">
      <c r="A287" s="293" t="s">
        <v>2020</v>
      </c>
      <c r="B287" s="390" t="s">
        <v>2607</v>
      </c>
      <c r="C287" s="5"/>
      <c r="D287" s="5"/>
      <c r="E287" s="5"/>
      <c r="F287" s="5" t="s">
        <v>1962</v>
      </c>
      <c r="G287" s="294" t="s">
        <v>2028</v>
      </c>
      <c r="H287" s="5"/>
      <c r="J287" s="219"/>
      <c r="K287" s="222"/>
      <c r="L287" s="140"/>
      <c r="M287" s="6" t="s">
        <v>3030</v>
      </c>
      <c r="N287" s="140"/>
    </row>
    <row r="288" spans="1:14" s="6" customFormat="1">
      <c r="A288" s="293" t="s">
        <v>2020</v>
      </c>
      <c r="B288" s="316" t="s">
        <v>2144</v>
      </c>
      <c r="C288" s="5">
        <v>30158851</v>
      </c>
      <c r="D288" s="5"/>
      <c r="E288" s="5"/>
      <c r="F288" s="5" t="s">
        <v>2029</v>
      </c>
      <c r="G288" s="294" t="s">
        <v>2030</v>
      </c>
      <c r="H288" s="5"/>
      <c r="J288" s="219"/>
      <c r="K288" s="222"/>
      <c r="L288" s="140"/>
      <c r="M288" s="6" t="s">
        <v>2210</v>
      </c>
      <c r="N288" s="140"/>
    </row>
    <row r="289" spans="1:14" s="6" customFormat="1">
      <c r="A289" s="293" t="s">
        <v>2020</v>
      </c>
      <c r="B289" s="334" t="s">
        <v>2259</v>
      </c>
      <c r="C289" s="5">
        <v>16556428</v>
      </c>
      <c r="D289" s="5"/>
      <c r="E289" s="5"/>
      <c r="F289" s="5" t="s">
        <v>1927</v>
      </c>
      <c r="G289" s="294" t="s">
        <v>2032</v>
      </c>
      <c r="H289" s="5"/>
      <c r="J289" s="219"/>
      <c r="K289" s="222"/>
      <c r="L289" s="140"/>
      <c r="N289" s="140"/>
    </row>
    <row r="290" spans="1:14" s="6" customFormat="1">
      <c r="A290" s="293" t="s">
        <v>2020</v>
      </c>
      <c r="B290" s="320" t="s">
        <v>2033</v>
      </c>
      <c r="C290" s="5">
        <v>34570304</v>
      </c>
      <c r="D290" s="5"/>
      <c r="E290" s="5"/>
      <c r="F290" s="5" t="s">
        <v>1984</v>
      </c>
      <c r="G290" s="294" t="s">
        <v>2034</v>
      </c>
      <c r="H290" s="5"/>
      <c r="J290" s="297"/>
      <c r="K290" s="222"/>
      <c r="L290" s="140"/>
      <c r="N290" s="140"/>
    </row>
    <row r="291" spans="1:14" s="6" customFormat="1">
      <c r="A291" s="293" t="s">
        <v>2020</v>
      </c>
      <c r="B291" s="351" t="s">
        <v>2380</v>
      </c>
      <c r="C291" s="5"/>
      <c r="D291" s="5"/>
      <c r="E291" s="5"/>
      <c r="F291" s="5" t="s">
        <v>551</v>
      </c>
      <c r="G291" s="294" t="s">
        <v>2035</v>
      </c>
      <c r="H291" s="5"/>
      <c r="J291" s="219"/>
      <c r="K291" s="222"/>
      <c r="L291" s="140"/>
      <c r="N291" s="140"/>
    </row>
    <row r="292" spans="1:14" s="6" customFormat="1">
      <c r="A292" s="293" t="s">
        <v>2020</v>
      </c>
      <c r="B292" s="316" t="s">
        <v>2118</v>
      </c>
      <c r="C292" s="5">
        <v>2939833</v>
      </c>
      <c r="D292" s="5"/>
      <c r="E292" s="5"/>
      <c r="F292" s="5" t="s">
        <v>1898</v>
      </c>
      <c r="G292" s="294" t="s">
        <v>2036</v>
      </c>
      <c r="H292" s="5"/>
      <c r="J292" s="219"/>
      <c r="K292" s="222"/>
      <c r="L292" s="140"/>
      <c r="M292" s="6" t="s">
        <v>2325</v>
      </c>
      <c r="N292" s="140"/>
    </row>
    <row r="293" spans="1:14" s="6" customFormat="1">
      <c r="A293" s="293" t="s">
        <v>2020</v>
      </c>
      <c r="B293" s="329" t="s">
        <v>2156</v>
      </c>
      <c r="C293" s="5">
        <v>34207108</v>
      </c>
      <c r="D293" s="5"/>
      <c r="E293" s="5"/>
      <c r="F293" s="5" t="s">
        <v>1134</v>
      </c>
      <c r="G293" s="294" t="s">
        <v>2037</v>
      </c>
      <c r="H293" s="5"/>
      <c r="J293" s="219"/>
      <c r="K293" s="222"/>
      <c r="L293" s="140"/>
      <c r="M293" s="6" t="s">
        <v>2330</v>
      </c>
      <c r="N293" s="140"/>
    </row>
    <row r="294" spans="1:14" s="6" customFormat="1" ht="28.8">
      <c r="A294" s="293" t="s">
        <v>2020</v>
      </c>
      <c r="B294" s="307" t="s">
        <v>2083</v>
      </c>
      <c r="C294" s="5">
        <v>66712624</v>
      </c>
      <c r="D294" s="5"/>
      <c r="E294" s="5"/>
      <c r="F294" s="5" t="s">
        <v>1923</v>
      </c>
      <c r="G294" s="294" t="s">
        <v>2038</v>
      </c>
      <c r="H294" s="5"/>
      <c r="J294" s="219"/>
      <c r="K294" s="222"/>
      <c r="L294" s="140"/>
      <c r="M294" s="6" t="s">
        <v>2210</v>
      </c>
      <c r="N294" s="140"/>
    </row>
    <row r="295" spans="1:14" s="6" customFormat="1">
      <c r="A295" s="293" t="s">
        <v>2020</v>
      </c>
      <c r="B295" s="408" t="s">
        <v>2039</v>
      </c>
      <c r="D295" s="6" t="s">
        <v>2663</v>
      </c>
      <c r="F295" s="6" t="s">
        <v>935</v>
      </c>
      <c r="G295" s="293" t="s">
        <v>2040</v>
      </c>
      <c r="H295" s="6">
        <v>22</v>
      </c>
      <c r="J295" s="219"/>
      <c r="K295" s="222"/>
      <c r="L295" s="140"/>
      <c r="N295" s="140"/>
    </row>
    <row r="296" spans="1:14" s="6" customFormat="1">
      <c r="A296" s="293" t="s">
        <v>2020</v>
      </c>
      <c r="B296" s="408" t="s">
        <v>2664</v>
      </c>
      <c r="F296" s="6" t="s">
        <v>2046</v>
      </c>
      <c r="G296" s="293" t="s">
        <v>2045</v>
      </c>
      <c r="H296" s="6">
        <v>20</v>
      </c>
      <c r="J296" s="219"/>
      <c r="K296" s="222"/>
      <c r="L296" s="140"/>
      <c r="N296" s="140"/>
    </row>
    <row r="297" spans="1:14" s="6" customFormat="1">
      <c r="A297" s="299" t="s">
        <v>2047</v>
      </c>
      <c r="B297" s="320" t="s">
        <v>2079</v>
      </c>
      <c r="C297" s="5">
        <v>91765523</v>
      </c>
      <c r="D297" s="5"/>
      <c r="E297" s="5"/>
      <c r="F297" s="5" t="s">
        <v>1967</v>
      </c>
      <c r="G297" s="298" t="s">
        <v>2048</v>
      </c>
      <c r="H297" s="5"/>
      <c r="J297" s="219"/>
      <c r="K297" s="222"/>
      <c r="L297" s="140">
        <f>2600*11420</f>
        <v>29692000</v>
      </c>
      <c r="N297" s="140"/>
    </row>
    <row r="298" spans="1:14" s="6" customFormat="1">
      <c r="A298" s="299" t="s">
        <v>2047</v>
      </c>
      <c r="B298" s="309" t="s">
        <v>2054</v>
      </c>
      <c r="C298" s="5">
        <v>32940463</v>
      </c>
      <c r="D298" s="5"/>
      <c r="E298" s="5"/>
      <c r="F298" s="5" t="s">
        <v>2055</v>
      </c>
      <c r="G298" s="298" t="s">
        <v>2056</v>
      </c>
      <c r="H298" s="5"/>
      <c r="J298" s="219"/>
      <c r="K298" s="222"/>
      <c r="L298" s="140"/>
      <c r="M298" s="6" t="s">
        <v>2325</v>
      </c>
      <c r="N298" s="140"/>
    </row>
    <row r="299" spans="1:14" s="6" customFormat="1">
      <c r="A299" s="299" t="s">
        <v>2047</v>
      </c>
      <c r="B299" s="298" t="s">
        <v>2058</v>
      </c>
      <c r="C299" s="5">
        <v>26399685</v>
      </c>
      <c r="D299" s="5"/>
      <c r="E299" s="5"/>
      <c r="F299" s="5" t="s">
        <v>597</v>
      </c>
      <c r="G299" s="298" t="s">
        <v>2059</v>
      </c>
      <c r="H299" s="5"/>
      <c r="J299" s="219"/>
      <c r="K299" s="222"/>
      <c r="L299" s="140"/>
      <c r="M299" s="6" t="s">
        <v>2063</v>
      </c>
      <c r="N299" s="140"/>
    </row>
    <row r="300" spans="1:14" s="6" customFormat="1">
      <c r="A300" s="301" t="s">
        <v>2063</v>
      </c>
      <c r="B300" s="334" t="s">
        <v>2260</v>
      </c>
      <c r="C300" s="5">
        <v>52566451</v>
      </c>
      <c r="D300" s="5"/>
      <c r="E300" s="5"/>
      <c r="F300" s="5" t="s">
        <v>1927</v>
      </c>
      <c r="G300" s="302" t="s">
        <v>2064</v>
      </c>
      <c r="H300" s="5"/>
      <c r="J300" s="219">
        <v>23</v>
      </c>
      <c r="K300" s="222"/>
      <c r="L300" s="140"/>
      <c r="N300" s="140"/>
    </row>
    <row r="301" spans="1:14" s="6" customFormat="1" ht="28.8">
      <c r="A301" s="301" t="s">
        <v>2063</v>
      </c>
      <c r="B301" s="391" t="s">
        <v>2606</v>
      </c>
      <c r="C301" s="5"/>
      <c r="D301" s="5"/>
      <c r="E301" s="5"/>
      <c r="F301" s="5" t="s">
        <v>2073</v>
      </c>
      <c r="G301" s="302" t="s">
        <v>2065</v>
      </c>
      <c r="H301" s="5"/>
      <c r="J301" s="219"/>
      <c r="K301" s="222">
        <v>1</v>
      </c>
      <c r="L301" s="140"/>
      <c r="M301" s="6" t="s">
        <v>3030</v>
      </c>
      <c r="N301" s="140"/>
    </row>
    <row r="302" spans="1:14" s="6" customFormat="1">
      <c r="A302" s="301" t="s">
        <v>2063</v>
      </c>
      <c r="B302" s="317" t="s">
        <v>2076</v>
      </c>
      <c r="C302" s="6">
        <v>46578894</v>
      </c>
      <c r="F302" s="6" t="s">
        <v>2078</v>
      </c>
      <c r="G302" s="301" t="s">
        <v>2077</v>
      </c>
      <c r="H302" s="6">
        <v>22</v>
      </c>
      <c r="J302" s="219"/>
      <c r="K302" s="222"/>
      <c r="L302" s="140"/>
      <c r="N302" s="140"/>
    </row>
    <row r="303" spans="1:14" s="6" customFormat="1">
      <c r="A303" s="301" t="s">
        <v>2063</v>
      </c>
      <c r="B303" s="357" t="s">
        <v>2084</v>
      </c>
      <c r="C303" s="5">
        <v>38304462</v>
      </c>
      <c r="D303" s="5"/>
      <c r="E303" s="5"/>
      <c r="F303" s="5" t="s">
        <v>2043</v>
      </c>
      <c r="G303" s="302" t="s">
        <v>2085</v>
      </c>
      <c r="H303" s="5"/>
      <c r="J303" s="219"/>
      <c r="K303" s="222"/>
      <c r="L303" s="140"/>
      <c r="N303" s="140"/>
    </row>
    <row r="304" spans="1:14" s="6" customFormat="1">
      <c r="A304" s="301" t="s">
        <v>2063</v>
      </c>
      <c r="B304" s="301" t="s">
        <v>2087</v>
      </c>
      <c r="F304" s="6" t="s">
        <v>1930</v>
      </c>
      <c r="G304" s="301" t="s">
        <v>2086</v>
      </c>
      <c r="H304" s="6">
        <v>24</v>
      </c>
      <c r="J304" s="219"/>
      <c r="K304" s="222"/>
      <c r="L304" s="140"/>
      <c r="N304" s="140"/>
    </row>
    <row r="305" spans="1:14" s="6" customFormat="1">
      <c r="A305" s="310" t="s">
        <v>2090</v>
      </c>
      <c r="B305" s="493" t="s">
        <v>2089</v>
      </c>
      <c r="C305" s="463">
        <v>97790069</v>
      </c>
      <c r="D305" s="463"/>
      <c r="E305" s="463"/>
      <c r="F305" s="463" t="s">
        <v>2091</v>
      </c>
      <c r="G305" s="466" t="s">
        <v>2092</v>
      </c>
      <c r="H305" s="463">
        <v>21</v>
      </c>
      <c r="J305" s="219"/>
      <c r="K305" s="222"/>
      <c r="L305" s="140"/>
      <c r="N305" s="140"/>
    </row>
    <row r="306" spans="1:14" s="6" customFormat="1">
      <c r="A306" s="310" t="s">
        <v>2090</v>
      </c>
      <c r="B306" s="320" t="s">
        <v>2093</v>
      </c>
      <c r="C306" s="5">
        <v>95898246</v>
      </c>
      <c r="D306" s="5"/>
      <c r="E306" s="5"/>
      <c r="F306" s="5" t="s">
        <v>2094</v>
      </c>
      <c r="G306" s="309" t="s">
        <v>2095</v>
      </c>
      <c r="H306" s="5"/>
      <c r="J306" s="219">
        <v>22</v>
      </c>
      <c r="K306" s="222">
        <v>1.2</v>
      </c>
      <c r="L306" s="140">
        <v>6.8550000000000004</v>
      </c>
      <c r="N306" s="140"/>
    </row>
    <row r="307" spans="1:14" s="6" customFormat="1">
      <c r="A307" s="310" t="s">
        <v>2090</v>
      </c>
      <c r="B307" s="487" t="s">
        <v>3009</v>
      </c>
      <c r="C307" s="5"/>
      <c r="D307" s="5" t="s">
        <v>2927</v>
      </c>
      <c r="E307" s="5"/>
      <c r="F307" s="5" t="s">
        <v>2248</v>
      </c>
      <c r="G307" s="476" t="s">
        <v>2930</v>
      </c>
      <c r="H307" s="5">
        <v>22</v>
      </c>
      <c r="I307" s="6">
        <v>5</v>
      </c>
      <c r="J307" s="219"/>
      <c r="K307" s="222"/>
      <c r="L307" s="140">
        <v>5.484</v>
      </c>
      <c r="N307" s="140"/>
    </row>
    <row r="308" spans="1:14" s="6" customFormat="1">
      <c r="A308" s="310" t="s">
        <v>2090</v>
      </c>
      <c r="B308" s="360" t="s">
        <v>2150</v>
      </c>
      <c r="C308" s="23">
        <v>34450301</v>
      </c>
      <c r="D308" s="23"/>
      <c r="E308" s="23"/>
      <c r="F308" s="23" t="s">
        <v>2100</v>
      </c>
      <c r="G308" s="308" t="s">
        <v>2099</v>
      </c>
      <c r="H308" s="23">
        <v>22</v>
      </c>
      <c r="J308" s="219"/>
      <c r="K308" s="222"/>
      <c r="L308" s="140"/>
      <c r="N308" s="140"/>
    </row>
    <row r="309" spans="1:14" s="6" customFormat="1">
      <c r="A309" s="310" t="s">
        <v>2090</v>
      </c>
      <c r="B309" s="310" t="s">
        <v>2101</v>
      </c>
      <c r="F309" s="6" t="s">
        <v>1930</v>
      </c>
      <c r="G309" s="310" t="s">
        <v>1817</v>
      </c>
      <c r="H309" s="6">
        <v>24</v>
      </c>
      <c r="J309" s="219"/>
      <c r="K309" s="222"/>
      <c r="L309" s="140"/>
      <c r="N309" s="140"/>
    </row>
    <row r="310" spans="1:14" s="6" customFormat="1">
      <c r="A310" s="310" t="s">
        <v>2090</v>
      </c>
      <c r="B310" s="340" t="s">
        <v>2105</v>
      </c>
      <c r="C310" s="5"/>
      <c r="D310" s="5"/>
      <c r="E310" s="5"/>
      <c r="F310" s="5" t="s">
        <v>960</v>
      </c>
      <c r="G310" s="309" t="s">
        <v>2106</v>
      </c>
      <c r="H310" s="5"/>
      <c r="J310" s="219"/>
      <c r="K310" s="222"/>
      <c r="L310" s="140"/>
      <c r="N310" s="140"/>
    </row>
    <row r="311" spans="1:14" s="6" customFormat="1">
      <c r="A311" s="310" t="s">
        <v>2090</v>
      </c>
      <c r="B311" s="459" t="s">
        <v>2107</v>
      </c>
      <c r="F311" s="6" t="s">
        <v>1958</v>
      </c>
      <c r="G311" s="310" t="s">
        <v>2108</v>
      </c>
      <c r="H311" s="6">
        <f>21.5+4</f>
        <v>25.5</v>
      </c>
      <c r="J311" s="219"/>
      <c r="K311" s="222"/>
      <c r="L311" s="140"/>
      <c r="N311" s="140"/>
    </row>
    <row r="312" spans="1:14" s="6" customFormat="1">
      <c r="A312" s="310" t="s">
        <v>2090</v>
      </c>
      <c r="B312" s="344" t="s">
        <v>2356</v>
      </c>
      <c r="C312" s="6">
        <v>62641926</v>
      </c>
      <c r="F312" s="6" t="s">
        <v>1974</v>
      </c>
      <c r="G312" s="310" t="s">
        <v>2109</v>
      </c>
      <c r="H312" s="6">
        <v>21.5</v>
      </c>
      <c r="J312" s="219"/>
      <c r="K312" s="222"/>
      <c r="L312" s="140"/>
      <c r="N312" s="140"/>
    </row>
    <row r="313" spans="1:14" s="6" customFormat="1">
      <c r="A313" s="313" t="s">
        <v>2112</v>
      </c>
      <c r="B313" s="459" t="s">
        <v>2113</v>
      </c>
      <c r="C313" s="6">
        <v>39570801</v>
      </c>
      <c r="D313" s="6" t="s">
        <v>2931</v>
      </c>
      <c r="F313" s="6" t="s">
        <v>2091</v>
      </c>
      <c r="G313" s="313" t="s">
        <v>2114</v>
      </c>
      <c r="H313" s="6">
        <f>22+4.5</f>
        <v>26.5</v>
      </c>
      <c r="J313" s="219"/>
      <c r="K313" s="222"/>
      <c r="L313" s="140"/>
      <c r="N313" s="140"/>
    </row>
    <row r="314" spans="1:14" s="6" customFormat="1">
      <c r="A314" s="313" t="s">
        <v>2112</v>
      </c>
      <c r="B314" s="539" t="s">
        <v>2121</v>
      </c>
      <c r="C314" s="540">
        <v>56032005</v>
      </c>
      <c r="D314" s="540"/>
      <c r="E314" s="540"/>
      <c r="F314" s="540" t="s">
        <v>931</v>
      </c>
      <c r="G314" s="541" t="s">
        <v>2122</v>
      </c>
      <c r="H314" s="540">
        <v>18</v>
      </c>
      <c r="J314" s="219"/>
      <c r="K314" s="222"/>
      <c r="L314" s="140"/>
      <c r="N314" s="140"/>
    </row>
    <row r="315" spans="1:14" s="6" customFormat="1">
      <c r="A315" s="313" t="s">
        <v>2112</v>
      </c>
      <c r="B315" s="316" t="s">
        <v>2126</v>
      </c>
      <c r="C315" s="5">
        <v>81157123</v>
      </c>
      <c r="D315" s="5"/>
      <c r="E315" s="5"/>
      <c r="F315" s="5" t="s">
        <v>2128</v>
      </c>
      <c r="G315" s="314" t="s">
        <v>2127</v>
      </c>
      <c r="H315" s="5"/>
      <c r="J315" s="219">
        <v>3.5</v>
      </c>
      <c r="K315" s="222"/>
      <c r="L315" s="140"/>
      <c r="N315" s="140"/>
    </row>
    <row r="316" spans="1:14" s="6" customFormat="1">
      <c r="A316" s="313" t="s">
        <v>2112</v>
      </c>
      <c r="B316" s="358" t="s">
        <v>2157</v>
      </c>
      <c r="C316" s="6">
        <v>90326523</v>
      </c>
      <c r="F316" s="6" t="s">
        <v>960</v>
      </c>
      <c r="G316" s="313" t="s">
        <v>960</v>
      </c>
      <c r="H316" s="6">
        <v>22</v>
      </c>
      <c r="J316" s="219"/>
      <c r="K316" s="222"/>
      <c r="L316" s="140"/>
      <c r="N316" s="140"/>
    </row>
    <row r="317" spans="1:14" s="6" customFormat="1">
      <c r="A317" s="317" t="s">
        <v>2136</v>
      </c>
      <c r="B317" s="316" t="s">
        <v>2135</v>
      </c>
      <c r="C317" s="5">
        <v>50445913</v>
      </c>
      <c r="D317" s="5"/>
      <c r="E317" s="5"/>
      <c r="F317" s="5" t="s">
        <v>2029</v>
      </c>
      <c r="G317" s="316" t="s">
        <v>2137</v>
      </c>
      <c r="H317" s="5"/>
      <c r="J317" s="219"/>
      <c r="K317" s="222"/>
      <c r="L317" s="140"/>
      <c r="M317" s="6" t="s">
        <v>2210</v>
      </c>
      <c r="N317" s="140"/>
    </row>
    <row r="318" spans="1:14" s="6" customFormat="1">
      <c r="A318" s="317" t="s">
        <v>2136</v>
      </c>
      <c r="B318" s="360" t="s">
        <v>2138</v>
      </c>
      <c r="C318" s="23">
        <v>21347613</v>
      </c>
      <c r="D318" s="23"/>
      <c r="E318" s="23"/>
      <c r="F318" s="23" t="s">
        <v>1974</v>
      </c>
      <c r="G318" s="318" t="s">
        <v>2139</v>
      </c>
      <c r="H318" s="23">
        <v>22</v>
      </c>
      <c r="J318" s="219"/>
      <c r="K318" s="222"/>
      <c r="L318" s="140"/>
      <c r="N318" s="140"/>
    </row>
    <row r="319" spans="1:14" s="6" customFormat="1">
      <c r="A319" s="317" t="s">
        <v>2136</v>
      </c>
      <c r="B319" s="459" t="s">
        <v>2140</v>
      </c>
      <c r="C319" s="6">
        <v>15320529</v>
      </c>
      <c r="F319" s="6" t="s">
        <v>2026</v>
      </c>
      <c r="G319" s="317" t="s">
        <v>2141</v>
      </c>
      <c r="H319" s="6">
        <v>22</v>
      </c>
      <c r="J319" s="219"/>
      <c r="K319" s="222"/>
      <c r="L319" s="140"/>
      <c r="N319" s="140"/>
    </row>
    <row r="320" spans="1:14" s="6" customFormat="1">
      <c r="A320" s="317" t="s">
        <v>2136</v>
      </c>
      <c r="B320" s="317" t="s">
        <v>2142</v>
      </c>
      <c r="C320" s="6">
        <v>17335044</v>
      </c>
      <c r="F320" s="6" t="s">
        <v>2100</v>
      </c>
      <c r="G320" s="317" t="s">
        <v>2143</v>
      </c>
      <c r="H320" s="6">
        <v>21.7</v>
      </c>
      <c r="J320" s="219"/>
      <c r="K320" s="222"/>
      <c r="L320" s="140"/>
      <c r="N320" s="140"/>
    </row>
    <row r="321" spans="1:14" s="6" customFormat="1">
      <c r="A321" s="317" t="s">
        <v>2136</v>
      </c>
      <c r="B321" s="364" t="s">
        <v>2145</v>
      </c>
      <c r="C321" s="6">
        <v>65514774</v>
      </c>
      <c r="F321" s="6" t="s">
        <v>1927</v>
      </c>
      <c r="G321" s="336" t="s">
        <v>2146</v>
      </c>
      <c r="H321" s="6">
        <v>23</v>
      </c>
      <c r="J321" s="219"/>
      <c r="K321" s="356" t="s">
        <v>2429</v>
      </c>
      <c r="L321" s="140"/>
      <c r="N321" s="140"/>
    </row>
    <row r="322" spans="1:14" s="6" customFormat="1">
      <c r="A322" s="317" t="s">
        <v>2136</v>
      </c>
      <c r="B322" s="317" t="s">
        <v>2147</v>
      </c>
      <c r="F322" s="6" t="s">
        <v>1930</v>
      </c>
      <c r="G322" s="317" t="s">
        <v>693</v>
      </c>
      <c r="H322" s="6">
        <v>24</v>
      </c>
      <c r="J322" s="219"/>
      <c r="K322" s="222"/>
      <c r="L322" s="140"/>
      <c r="N322" s="140"/>
    </row>
    <row r="323" spans="1:14" s="6" customFormat="1">
      <c r="A323" s="317" t="s">
        <v>2136</v>
      </c>
      <c r="B323" s="462" t="s">
        <v>2176</v>
      </c>
      <c r="C323" s="463">
        <v>91538418</v>
      </c>
      <c r="D323" s="463" t="s">
        <v>2932</v>
      </c>
      <c r="E323" s="463"/>
      <c r="F323" s="464" t="s">
        <v>1878</v>
      </c>
      <c r="G323" s="465" t="s">
        <v>2149</v>
      </c>
      <c r="H323" s="463">
        <v>21.5</v>
      </c>
      <c r="I323" s="6">
        <v>1</v>
      </c>
      <c r="J323" s="219"/>
      <c r="K323" s="222"/>
      <c r="L323" s="140"/>
      <c r="N323" s="140"/>
    </row>
    <row r="324" spans="1:14" s="6" customFormat="1">
      <c r="A324" s="317" t="s">
        <v>2136</v>
      </c>
      <c r="B324" s="363" t="s">
        <v>2236</v>
      </c>
      <c r="C324" s="5">
        <v>20307784</v>
      </c>
      <c r="D324" s="5"/>
      <c r="E324" s="5"/>
      <c r="F324" s="5" t="s">
        <v>960</v>
      </c>
      <c r="G324" s="316" t="s">
        <v>2151</v>
      </c>
      <c r="H324" s="5"/>
      <c r="J324" s="219"/>
      <c r="K324" s="222"/>
      <c r="L324" s="140"/>
      <c r="M324" s="362" t="s">
        <v>2431</v>
      </c>
      <c r="N324" s="140"/>
    </row>
    <row r="325" spans="1:14" s="6" customFormat="1">
      <c r="A325" s="319" t="s">
        <v>2155</v>
      </c>
      <c r="B325" s="333" t="s">
        <v>2276</v>
      </c>
      <c r="C325" s="6">
        <v>98852944</v>
      </c>
      <c r="F325" s="6" t="s">
        <v>2078</v>
      </c>
      <c r="G325" s="333" t="s">
        <v>2277</v>
      </c>
      <c r="H325" s="6">
        <v>22</v>
      </c>
      <c r="J325" s="219"/>
      <c r="K325" s="222"/>
      <c r="L325" s="140"/>
      <c r="N325" s="140"/>
    </row>
    <row r="326" spans="1:14" s="6" customFormat="1">
      <c r="A326" s="319" t="s">
        <v>2155</v>
      </c>
      <c r="B326" s="395" t="s">
        <v>2158</v>
      </c>
      <c r="C326" s="5">
        <v>16675352</v>
      </c>
      <c r="D326" s="5"/>
      <c r="E326" s="5"/>
      <c r="F326" s="5" t="s">
        <v>2307</v>
      </c>
      <c r="G326" s="320" t="s">
        <v>2159</v>
      </c>
      <c r="H326" s="5"/>
      <c r="J326" s="219"/>
      <c r="K326" s="222"/>
      <c r="L326" s="140"/>
      <c r="N326" s="140"/>
    </row>
    <row r="327" spans="1:14" s="6" customFormat="1">
      <c r="A327" s="319" t="s">
        <v>2155</v>
      </c>
      <c r="B327" s="395" t="s">
        <v>2620</v>
      </c>
      <c r="C327" s="5"/>
      <c r="D327" s="5"/>
      <c r="E327" s="5"/>
      <c r="F327" s="5" t="s">
        <v>2073</v>
      </c>
      <c r="G327" s="320" t="s">
        <v>2160</v>
      </c>
      <c r="H327" s="5"/>
      <c r="J327" s="219"/>
      <c r="K327" s="222"/>
      <c r="L327" s="140"/>
      <c r="M327" s="6" t="s">
        <v>3030</v>
      </c>
      <c r="N327" s="140"/>
    </row>
    <row r="328" spans="1:14" s="6" customFormat="1">
      <c r="A328" s="319" t="s">
        <v>2161</v>
      </c>
      <c r="B328" s="319" t="s">
        <v>2170</v>
      </c>
      <c r="C328" s="6">
        <v>50877938</v>
      </c>
      <c r="F328" s="6" t="s">
        <v>1974</v>
      </c>
      <c r="G328" s="319" t="s">
        <v>2162</v>
      </c>
      <c r="H328" s="6">
        <v>22</v>
      </c>
      <c r="J328" s="219"/>
      <c r="K328" s="222"/>
      <c r="L328" s="140">
        <v>34200000</v>
      </c>
      <c r="N328" s="140"/>
    </row>
    <row r="329" spans="1:14" s="6" customFormat="1">
      <c r="A329" s="319" t="s">
        <v>2161</v>
      </c>
      <c r="B329" s="319" t="s">
        <v>2164</v>
      </c>
      <c r="C329" s="6">
        <v>90317104</v>
      </c>
      <c r="F329" s="6" t="s">
        <v>1974</v>
      </c>
      <c r="G329" s="319" t="s">
        <v>2163</v>
      </c>
      <c r="H329" s="6">
        <v>22</v>
      </c>
      <c r="J329" s="219"/>
      <c r="K329" s="222"/>
      <c r="L329" s="140">
        <v>70000000</v>
      </c>
      <c r="N329" s="140"/>
    </row>
    <row r="330" spans="1:14" s="6" customFormat="1">
      <c r="A330" s="320" t="s">
        <v>2165</v>
      </c>
      <c r="B330" s="364" t="s">
        <v>2166</v>
      </c>
      <c r="C330" s="6">
        <v>16084273</v>
      </c>
      <c r="F330" s="6" t="s">
        <v>1134</v>
      </c>
      <c r="G330" s="319" t="s">
        <v>2167</v>
      </c>
      <c r="H330" s="6">
        <v>21.5</v>
      </c>
      <c r="J330" s="219"/>
      <c r="K330" s="222"/>
      <c r="L330" s="140">
        <v>190000000</v>
      </c>
      <c r="N330" s="140"/>
    </row>
    <row r="331" spans="1:14" s="6" customFormat="1">
      <c r="A331" s="319" t="s">
        <v>2165</v>
      </c>
      <c r="B331" s="319" t="s">
        <v>2168</v>
      </c>
      <c r="C331" s="6">
        <v>38810028</v>
      </c>
      <c r="F331" s="6" t="s">
        <v>2078</v>
      </c>
      <c r="G331" s="319" t="s">
        <v>2169</v>
      </c>
      <c r="H331" s="6">
        <v>22</v>
      </c>
      <c r="J331" s="219"/>
      <c r="K331" s="222"/>
      <c r="L331" s="140"/>
      <c r="N331" s="140"/>
    </row>
    <row r="332" spans="1:14" s="6" customFormat="1">
      <c r="A332" s="319" t="s">
        <v>2165</v>
      </c>
      <c r="B332" s="339" t="s">
        <v>2171</v>
      </c>
      <c r="F332" s="319" t="s">
        <v>1974</v>
      </c>
      <c r="G332" s="319" t="s">
        <v>2172</v>
      </c>
      <c r="H332" s="6">
        <v>22</v>
      </c>
      <c r="J332" s="219"/>
      <c r="K332" s="222"/>
      <c r="L332" s="140">
        <f>SUM(L328:L331)</f>
        <v>294200000</v>
      </c>
      <c r="N332" s="140"/>
    </row>
    <row r="333" spans="1:14" s="6" customFormat="1">
      <c r="A333" s="319" t="s">
        <v>2165</v>
      </c>
      <c r="B333" s="492" t="s">
        <v>2173</v>
      </c>
      <c r="C333" s="5">
        <v>28334203</v>
      </c>
      <c r="D333" s="5"/>
      <c r="E333" s="5"/>
      <c r="F333" s="320" t="s">
        <v>2174</v>
      </c>
      <c r="G333" s="320" t="s">
        <v>2175</v>
      </c>
      <c r="H333" s="5">
        <v>26.5</v>
      </c>
      <c r="I333" s="6">
        <v>5</v>
      </c>
      <c r="J333" s="219"/>
      <c r="K333" s="222"/>
      <c r="L333" s="140">
        <f>+L332/11490</f>
        <v>25604.873803307222</v>
      </c>
      <c r="N333" s="140"/>
    </row>
    <row r="334" spans="1:14" s="6" customFormat="1">
      <c r="A334" s="319" t="s">
        <v>2165</v>
      </c>
      <c r="B334" s="319" t="s">
        <v>2181</v>
      </c>
      <c r="C334" s="6">
        <v>76243480</v>
      </c>
      <c r="F334" s="319" t="s">
        <v>691</v>
      </c>
      <c r="G334" s="319" t="s">
        <v>2182</v>
      </c>
      <c r="H334" s="6">
        <v>22</v>
      </c>
      <c r="J334" s="219"/>
      <c r="K334" s="222"/>
      <c r="L334" s="140">
        <v>18000</v>
      </c>
      <c r="N334" s="140"/>
    </row>
    <row r="335" spans="1:14" s="6" customFormat="1">
      <c r="A335" s="319" t="s">
        <v>2165</v>
      </c>
      <c r="B335" s="437" t="s">
        <v>2184</v>
      </c>
      <c r="F335" s="319" t="s">
        <v>666</v>
      </c>
      <c r="G335" s="339" t="s">
        <v>2318</v>
      </c>
      <c r="H335" s="6">
        <v>10</v>
      </c>
      <c r="J335" s="219">
        <v>10</v>
      </c>
      <c r="K335" s="222"/>
      <c r="L335" s="140"/>
      <c r="N335" s="140"/>
    </row>
    <row r="336" spans="1:14" s="6" customFormat="1">
      <c r="A336" s="323" t="s">
        <v>2187</v>
      </c>
      <c r="B336" s="459" t="s">
        <v>2320</v>
      </c>
      <c r="C336" s="6">
        <v>86766576</v>
      </c>
      <c r="F336" s="323" t="s">
        <v>2026</v>
      </c>
      <c r="G336" s="323" t="s">
        <v>2191</v>
      </c>
      <c r="H336" s="6">
        <v>26.5</v>
      </c>
      <c r="J336" s="219"/>
      <c r="K336" s="222"/>
      <c r="L336" s="140"/>
      <c r="N336" s="140"/>
    </row>
    <row r="337" spans="1:14" s="6" customFormat="1">
      <c r="A337" s="323" t="s">
        <v>2187</v>
      </c>
      <c r="B337" s="339" t="s">
        <v>2193</v>
      </c>
      <c r="C337" s="6">
        <v>85082382</v>
      </c>
      <c r="F337" s="328" t="s">
        <v>960</v>
      </c>
      <c r="G337" s="323" t="s">
        <v>2192</v>
      </c>
      <c r="H337" s="6">
        <v>24</v>
      </c>
      <c r="J337" s="219"/>
      <c r="K337" s="222"/>
      <c r="L337" s="140">
        <v>2</v>
      </c>
      <c r="N337" s="140"/>
    </row>
    <row r="338" spans="1:14" s="6" customFormat="1">
      <c r="A338" s="323" t="s">
        <v>2187</v>
      </c>
      <c r="B338" s="323" t="s">
        <v>2194</v>
      </c>
      <c r="F338" s="328" t="s">
        <v>960</v>
      </c>
      <c r="G338" s="323" t="s">
        <v>2195</v>
      </c>
      <c r="H338" s="6">
        <v>24</v>
      </c>
      <c r="J338" s="219"/>
      <c r="K338" s="222"/>
      <c r="L338" s="140">
        <v>2</v>
      </c>
      <c r="N338" s="140"/>
    </row>
    <row r="339" spans="1:14" s="6" customFormat="1">
      <c r="A339" s="323" t="s">
        <v>2187</v>
      </c>
      <c r="B339" s="339" t="s">
        <v>2202</v>
      </c>
      <c r="C339" s="6">
        <v>82567080</v>
      </c>
      <c r="F339" s="6" t="s">
        <v>1974</v>
      </c>
      <c r="G339" s="323" t="s">
        <v>2203</v>
      </c>
      <c r="H339" s="6">
        <v>22</v>
      </c>
      <c r="J339" s="219"/>
      <c r="K339" s="222"/>
      <c r="L339" s="140"/>
      <c r="N339" s="140"/>
    </row>
    <row r="340" spans="1:14" s="6" customFormat="1">
      <c r="A340" s="326" t="s">
        <v>2187</v>
      </c>
      <c r="B340" s="411" t="s">
        <v>2669</v>
      </c>
      <c r="C340" s="5">
        <v>52446851</v>
      </c>
      <c r="D340" s="5"/>
      <c r="E340" s="5"/>
      <c r="F340" s="5" t="s">
        <v>960</v>
      </c>
      <c r="G340" s="412" t="s">
        <v>2204</v>
      </c>
      <c r="H340" s="5"/>
      <c r="J340" s="219"/>
      <c r="K340" s="222"/>
      <c r="L340" s="140"/>
      <c r="M340" s="6" t="s">
        <v>2916</v>
      </c>
      <c r="N340" s="140"/>
    </row>
    <row r="341" spans="1:14" s="6" customFormat="1">
      <c r="A341" s="326" t="s">
        <v>2187</v>
      </c>
      <c r="B341" s="339" t="s">
        <v>2312</v>
      </c>
      <c r="C341" s="6">
        <v>82075240</v>
      </c>
      <c r="F341" s="6" t="s">
        <v>1974</v>
      </c>
      <c r="G341" s="339" t="s">
        <v>2311</v>
      </c>
      <c r="H341" s="6">
        <v>22</v>
      </c>
      <c r="J341" s="219"/>
      <c r="K341" s="222"/>
      <c r="L341" s="140"/>
      <c r="N341" s="140"/>
    </row>
    <row r="342" spans="1:14" s="6" customFormat="1" ht="13.8" customHeight="1">
      <c r="A342" s="327" t="s">
        <v>2187</v>
      </c>
      <c r="B342" s="327" t="s">
        <v>2205</v>
      </c>
      <c r="F342" s="6" t="s">
        <v>2206</v>
      </c>
      <c r="G342" s="327" t="s">
        <v>2207</v>
      </c>
      <c r="H342" s="6">
        <v>21</v>
      </c>
      <c r="J342" s="219"/>
      <c r="K342" s="222"/>
      <c r="L342" s="140"/>
      <c r="N342" s="140"/>
    </row>
    <row r="343" spans="1:14" s="6" customFormat="1" ht="13.8" customHeight="1">
      <c r="A343" s="327" t="s">
        <v>2187</v>
      </c>
      <c r="B343" s="327" t="s">
        <v>2208</v>
      </c>
      <c r="F343" s="6" t="s">
        <v>1958</v>
      </c>
      <c r="G343" s="327" t="s">
        <v>2209</v>
      </c>
      <c r="H343" s="6">
        <v>22</v>
      </c>
      <c r="J343" s="219"/>
      <c r="K343" s="222"/>
      <c r="L343" s="140"/>
      <c r="N343" s="140"/>
    </row>
    <row r="344" spans="1:14" s="6" customFormat="1">
      <c r="A344" s="328" t="s">
        <v>2210</v>
      </c>
      <c r="B344" s="328" t="s">
        <v>2211</v>
      </c>
      <c r="F344" s="6" t="s">
        <v>643</v>
      </c>
      <c r="G344" s="328" t="s">
        <v>2211</v>
      </c>
      <c r="H344" s="6">
        <v>14</v>
      </c>
      <c r="J344" s="219">
        <v>7</v>
      </c>
      <c r="K344" s="222"/>
      <c r="L344" s="140"/>
      <c r="N344" s="140"/>
    </row>
    <row r="345" spans="1:14" s="6" customFormat="1">
      <c r="A345" s="328" t="s">
        <v>2210</v>
      </c>
      <c r="B345" s="446" t="s">
        <v>2215</v>
      </c>
      <c r="C345" s="6">
        <v>51944333</v>
      </c>
      <c r="F345" s="6" t="s">
        <v>597</v>
      </c>
      <c r="G345" s="328" t="s">
        <v>2216</v>
      </c>
      <c r="H345" s="6">
        <v>22</v>
      </c>
      <c r="I345" s="6" t="s">
        <v>2895</v>
      </c>
      <c r="J345" s="219">
        <v>43446901</v>
      </c>
      <c r="K345" s="222"/>
      <c r="L345" s="140"/>
      <c r="N345" s="140"/>
    </row>
    <row r="346" spans="1:14" s="6" customFormat="1">
      <c r="A346" s="328" t="s">
        <v>2210</v>
      </c>
      <c r="B346" s="433" t="s">
        <v>2310</v>
      </c>
      <c r="C346" s="5"/>
      <c r="D346" s="5"/>
      <c r="E346" s="5" t="s">
        <v>2850</v>
      </c>
      <c r="F346" s="5" t="s">
        <v>2049</v>
      </c>
      <c r="G346" s="334" t="s">
        <v>2275</v>
      </c>
      <c r="H346" s="5">
        <v>21</v>
      </c>
      <c r="I346" s="6">
        <v>5</v>
      </c>
      <c r="J346" s="220"/>
      <c r="K346" s="222"/>
      <c r="L346" s="140"/>
      <c r="N346" s="140"/>
    </row>
    <row r="347" spans="1:14" s="6" customFormat="1">
      <c r="A347" s="328" t="s">
        <v>2210</v>
      </c>
      <c r="B347" s="343" t="s">
        <v>2217</v>
      </c>
      <c r="C347" s="5">
        <v>20251921</v>
      </c>
      <c r="D347" s="5"/>
      <c r="E347" s="5"/>
      <c r="F347" s="5" t="s">
        <v>2094</v>
      </c>
      <c r="G347" s="329" t="s">
        <v>2218</v>
      </c>
      <c r="H347" s="5"/>
      <c r="J347" s="220">
        <v>23</v>
      </c>
      <c r="K347" s="222"/>
      <c r="L347" s="140"/>
      <c r="N347" s="140"/>
    </row>
    <row r="348" spans="1:14" s="6" customFormat="1">
      <c r="A348" s="328" t="s">
        <v>2210</v>
      </c>
      <c r="B348" s="355" t="s">
        <v>2240</v>
      </c>
      <c r="C348" s="5">
        <v>89239198</v>
      </c>
      <c r="D348" s="5"/>
      <c r="E348" s="5"/>
      <c r="F348" s="5" t="s">
        <v>2046</v>
      </c>
      <c r="G348" s="329" t="s">
        <v>2221</v>
      </c>
      <c r="H348" s="5"/>
      <c r="J348" s="219"/>
      <c r="K348" s="222"/>
      <c r="L348" s="140"/>
      <c r="M348" s="6" t="s">
        <v>2612</v>
      </c>
      <c r="N348" s="140"/>
    </row>
    <row r="349" spans="1:14" s="6" customFormat="1">
      <c r="A349" s="328" t="s">
        <v>2210</v>
      </c>
      <c r="B349" s="343" t="s">
        <v>2226</v>
      </c>
      <c r="C349" s="5">
        <v>52736491</v>
      </c>
      <c r="D349" s="5"/>
      <c r="E349" s="5"/>
      <c r="F349" s="5" t="s">
        <v>1898</v>
      </c>
      <c r="G349" s="329" t="s">
        <v>2222</v>
      </c>
      <c r="H349" s="5"/>
      <c r="J349" s="219"/>
      <c r="K349" s="222"/>
      <c r="L349" s="140"/>
      <c r="M349" s="6" t="s">
        <v>2699</v>
      </c>
      <c r="N349" s="140"/>
    </row>
    <row r="350" spans="1:14" s="6" customFormat="1">
      <c r="A350" s="328" t="s">
        <v>2210</v>
      </c>
      <c r="B350" s="332" t="s">
        <v>2223</v>
      </c>
      <c r="C350" s="5">
        <v>15831642</v>
      </c>
      <c r="D350" s="5"/>
      <c r="E350" s="5"/>
      <c r="F350" s="5" t="s">
        <v>2225</v>
      </c>
      <c r="G350" s="329" t="s">
        <v>2224</v>
      </c>
      <c r="H350" s="5"/>
      <c r="J350" s="219">
        <v>1.5</v>
      </c>
      <c r="K350" s="222"/>
      <c r="L350" s="140"/>
      <c r="N350" s="140"/>
    </row>
    <row r="351" spans="1:14" s="6" customFormat="1">
      <c r="A351" s="328" t="s">
        <v>2210</v>
      </c>
      <c r="B351" s="329" t="s">
        <v>2212</v>
      </c>
      <c r="C351" s="5">
        <v>87654321</v>
      </c>
      <c r="D351" s="5"/>
      <c r="E351" s="5"/>
      <c r="F351" s="5" t="s">
        <v>2228</v>
      </c>
      <c r="G351" s="329" t="s">
        <v>2227</v>
      </c>
      <c r="H351" s="5"/>
      <c r="J351" s="219"/>
      <c r="K351" s="222"/>
      <c r="L351" s="140"/>
      <c r="N351" s="140"/>
    </row>
    <row r="352" spans="1:14" s="6" customFormat="1">
      <c r="A352" s="328" t="s">
        <v>2210</v>
      </c>
      <c r="B352" s="343" t="s">
        <v>2230</v>
      </c>
      <c r="C352" s="5">
        <v>89521298</v>
      </c>
      <c r="D352" s="5"/>
      <c r="E352" s="5"/>
      <c r="F352" s="5" t="s">
        <v>2231</v>
      </c>
      <c r="G352" s="329" t="s">
        <v>2232</v>
      </c>
      <c r="H352" s="5"/>
      <c r="J352" s="219"/>
      <c r="K352" s="222"/>
      <c r="L352" s="140"/>
      <c r="N352" s="140"/>
    </row>
    <row r="353" spans="1:14" s="6" customFormat="1">
      <c r="A353" s="328" t="s">
        <v>2210</v>
      </c>
      <c r="B353" s="345" t="s">
        <v>2233</v>
      </c>
      <c r="C353" s="345">
        <v>59266196</v>
      </c>
      <c r="D353" s="345"/>
      <c r="E353" s="345"/>
      <c r="F353" s="345" t="s">
        <v>1888</v>
      </c>
      <c r="G353" s="345" t="s">
        <v>2234</v>
      </c>
      <c r="H353" s="345"/>
      <c r="I353" s="344"/>
      <c r="J353" s="219"/>
      <c r="K353" s="222"/>
      <c r="L353" s="388" t="s">
        <v>2462</v>
      </c>
      <c r="N353" s="140"/>
    </row>
    <row r="354" spans="1:14" s="6" customFormat="1">
      <c r="A354" s="331" t="s">
        <v>2238</v>
      </c>
      <c r="B354" s="345" t="s">
        <v>2237</v>
      </c>
      <c r="C354" s="5">
        <v>29523791</v>
      </c>
      <c r="D354" s="5"/>
      <c r="E354" s="5"/>
      <c r="F354" s="5" t="s">
        <v>1927</v>
      </c>
      <c r="G354" s="332" t="s">
        <v>2239</v>
      </c>
      <c r="H354" s="5"/>
      <c r="J354" s="219"/>
      <c r="K354" s="222"/>
      <c r="L354" s="140"/>
      <c r="N354" s="140"/>
    </row>
    <row r="355" spans="1:14" s="6" customFormat="1">
      <c r="A355" s="331" t="s">
        <v>2238</v>
      </c>
      <c r="B355" s="433" t="s">
        <v>2241</v>
      </c>
      <c r="C355" s="5">
        <v>62387589</v>
      </c>
      <c r="D355" s="5"/>
      <c r="E355" s="5" t="s">
        <v>2847</v>
      </c>
      <c r="F355" s="5" t="s">
        <v>2242</v>
      </c>
      <c r="G355" s="332" t="s">
        <v>2243</v>
      </c>
      <c r="H355" s="5"/>
      <c r="I355" s="2"/>
      <c r="J355" s="219">
        <v>5</v>
      </c>
      <c r="K355" s="222"/>
      <c r="L355" s="140"/>
      <c r="N355" s="140"/>
    </row>
    <row r="356" spans="1:14" s="6" customFormat="1">
      <c r="A356" s="331" t="s">
        <v>2238</v>
      </c>
      <c r="B356" s="332" t="s">
        <v>2244</v>
      </c>
      <c r="C356" s="5">
        <v>78136900</v>
      </c>
      <c r="D356" s="5"/>
      <c r="E356" s="5"/>
      <c r="F356" s="5" t="s">
        <v>2245</v>
      </c>
      <c r="G356" s="332" t="s">
        <v>2246</v>
      </c>
      <c r="H356" s="5"/>
      <c r="J356" s="219"/>
      <c r="K356" s="222"/>
      <c r="L356" s="140"/>
      <c r="N356" s="140"/>
    </row>
    <row r="357" spans="1:14" s="6" customFormat="1">
      <c r="A357" s="331" t="s">
        <v>2238</v>
      </c>
      <c r="B357" s="479" t="s">
        <v>2972</v>
      </c>
      <c r="C357" s="5">
        <v>76050740</v>
      </c>
      <c r="D357" s="5"/>
      <c r="E357" s="5"/>
      <c r="F357" s="5" t="s">
        <v>2248</v>
      </c>
      <c r="G357" s="332" t="s">
        <v>2247</v>
      </c>
      <c r="H357" s="5"/>
      <c r="J357" s="219"/>
      <c r="K357" s="222"/>
      <c r="L357" s="140"/>
      <c r="N357" s="140"/>
    </row>
    <row r="358" spans="1:14" s="6" customFormat="1">
      <c r="A358" s="331" t="s">
        <v>2238</v>
      </c>
      <c r="B358" s="490" t="s">
        <v>2249</v>
      </c>
      <c r="F358" s="6" t="s">
        <v>1958</v>
      </c>
      <c r="G358" s="331" t="s">
        <v>2250</v>
      </c>
      <c r="H358" s="6">
        <v>22</v>
      </c>
      <c r="J358" s="219"/>
      <c r="K358" s="222"/>
      <c r="L358" s="140"/>
      <c r="N358" s="140"/>
    </row>
    <row r="359" spans="1:14" s="6" customFormat="1">
      <c r="A359" s="331" t="s">
        <v>2238</v>
      </c>
      <c r="B359" s="331" t="s">
        <v>2251</v>
      </c>
      <c r="C359" s="6">
        <v>90844668</v>
      </c>
      <c r="F359" s="6" t="s">
        <v>691</v>
      </c>
      <c r="G359" s="331" t="s">
        <v>2252</v>
      </c>
      <c r="H359" s="6">
        <v>22</v>
      </c>
      <c r="J359" s="219"/>
      <c r="K359" s="222"/>
      <c r="L359" s="140"/>
      <c r="N359" s="140"/>
    </row>
    <row r="360" spans="1:14" s="6" customFormat="1">
      <c r="A360" s="331" t="s">
        <v>2238</v>
      </c>
      <c r="B360" s="459" t="s">
        <v>2253</v>
      </c>
      <c r="C360" s="6">
        <v>43998856</v>
      </c>
      <c r="F360" s="6" t="s">
        <v>1884</v>
      </c>
      <c r="G360" s="331" t="s">
        <v>2254</v>
      </c>
      <c r="H360" s="6">
        <v>26</v>
      </c>
      <c r="J360" s="219"/>
      <c r="K360" s="222"/>
      <c r="L360" s="140"/>
      <c r="N360" s="140"/>
    </row>
    <row r="361" spans="1:14" s="6" customFormat="1">
      <c r="A361" s="331" t="s">
        <v>2238</v>
      </c>
      <c r="B361" s="334" t="s">
        <v>2255</v>
      </c>
      <c r="C361" s="5">
        <v>44554121</v>
      </c>
      <c r="D361" s="5"/>
      <c r="E361" s="5"/>
      <c r="F361" s="5" t="s">
        <v>2225</v>
      </c>
      <c r="G361" s="332" t="s">
        <v>2256</v>
      </c>
      <c r="H361" s="5"/>
      <c r="J361" s="219"/>
      <c r="K361" s="222"/>
      <c r="L361" s="140"/>
      <c r="N361" s="140"/>
    </row>
    <row r="362" spans="1:14" s="6" customFormat="1">
      <c r="A362" s="331" t="s">
        <v>2238</v>
      </c>
      <c r="B362" s="459" t="s">
        <v>2257</v>
      </c>
      <c r="C362" s="6">
        <v>34646219</v>
      </c>
      <c r="F362" s="6" t="s">
        <v>2231</v>
      </c>
      <c r="G362" s="331" t="s">
        <v>2258</v>
      </c>
      <c r="H362" s="6">
        <v>22</v>
      </c>
      <c r="J362" s="219"/>
      <c r="K362" s="222"/>
      <c r="L362" s="140"/>
      <c r="N362" s="140"/>
    </row>
    <row r="363" spans="1:14" s="6" customFormat="1">
      <c r="A363" s="331" t="s">
        <v>2238</v>
      </c>
      <c r="B363" s="331" t="s">
        <v>2263</v>
      </c>
      <c r="F363" s="6" t="s">
        <v>2214</v>
      </c>
      <c r="G363" s="331" t="s">
        <v>2264</v>
      </c>
      <c r="H363" s="6">
        <v>26.5</v>
      </c>
      <c r="J363" s="219"/>
      <c r="K363" s="222"/>
      <c r="L363" s="140"/>
      <c r="N363" s="140"/>
    </row>
    <row r="364" spans="1:14" s="6" customFormat="1">
      <c r="A364" s="331" t="s">
        <v>2238</v>
      </c>
      <c r="B364" s="343" t="s">
        <v>2309</v>
      </c>
      <c r="C364" s="5">
        <v>47797705</v>
      </c>
      <c r="D364" s="5"/>
      <c r="E364" s="5"/>
      <c r="F364" s="5" t="s">
        <v>2265</v>
      </c>
      <c r="G364" s="332" t="s">
        <v>2266</v>
      </c>
      <c r="H364" s="5"/>
      <c r="J364" s="219"/>
      <c r="K364" s="222"/>
      <c r="L364" s="140"/>
      <c r="M364" s="6" t="s">
        <v>2699</v>
      </c>
      <c r="N364" s="140"/>
    </row>
    <row r="365" spans="1:14" s="6" customFormat="1">
      <c r="A365" s="331" t="s">
        <v>2238</v>
      </c>
      <c r="B365" s="487" t="s">
        <v>2267</v>
      </c>
      <c r="C365" s="5"/>
      <c r="D365" s="5"/>
      <c r="E365" s="5"/>
      <c r="F365" s="5" t="s">
        <v>960</v>
      </c>
      <c r="G365" s="332" t="s">
        <v>2268</v>
      </c>
      <c r="H365" s="5"/>
      <c r="J365" s="219"/>
      <c r="K365" s="222"/>
      <c r="L365" s="140"/>
      <c r="N365" s="140"/>
    </row>
    <row r="366" spans="1:14" s="6" customFormat="1">
      <c r="A366" s="333" t="s">
        <v>2279</v>
      </c>
      <c r="B366" s="333" t="s">
        <v>2278</v>
      </c>
      <c r="C366" s="6">
        <v>78154688</v>
      </c>
      <c r="F366" s="6" t="s">
        <v>2100</v>
      </c>
      <c r="G366" s="333" t="s">
        <v>2280</v>
      </c>
      <c r="H366" s="6">
        <v>22</v>
      </c>
      <c r="J366" s="219"/>
      <c r="K366" s="222"/>
      <c r="L366" s="140"/>
      <c r="N366" s="140"/>
    </row>
    <row r="367" spans="1:14" s="6" customFormat="1">
      <c r="A367" s="333" t="s">
        <v>2279</v>
      </c>
      <c r="B367" s="459" t="s">
        <v>2281</v>
      </c>
      <c r="C367" s="6">
        <v>81670903</v>
      </c>
      <c r="F367" s="426" t="s">
        <v>2283</v>
      </c>
      <c r="G367" s="333" t="s">
        <v>2282</v>
      </c>
      <c r="H367" s="6">
        <v>22</v>
      </c>
      <c r="J367" s="219"/>
      <c r="K367" s="222"/>
      <c r="L367" s="140"/>
      <c r="N367" s="140"/>
    </row>
    <row r="368" spans="1:14" s="6" customFormat="1">
      <c r="A368" s="333" t="s">
        <v>2279</v>
      </c>
      <c r="B368" s="339" t="s">
        <v>2284</v>
      </c>
      <c r="C368" s="6">
        <v>88596558</v>
      </c>
      <c r="F368" s="6" t="s">
        <v>1974</v>
      </c>
      <c r="G368" s="333" t="s">
        <v>2285</v>
      </c>
      <c r="H368" s="6">
        <v>22</v>
      </c>
      <c r="J368" s="219"/>
      <c r="K368" s="222"/>
      <c r="L368" s="140"/>
      <c r="N368" s="140"/>
    </row>
    <row r="369" spans="1:14" s="6" customFormat="1">
      <c r="A369" s="333" t="s">
        <v>2279</v>
      </c>
      <c r="B369" s="334" t="s">
        <v>2286</v>
      </c>
      <c r="C369" s="5"/>
      <c r="D369" s="5"/>
      <c r="E369" s="5"/>
      <c r="F369" s="5" t="s">
        <v>2287</v>
      </c>
      <c r="G369" s="334" t="s">
        <v>2288</v>
      </c>
      <c r="H369" s="5"/>
      <c r="J369" s="219"/>
      <c r="K369" s="222"/>
      <c r="L369" s="140"/>
      <c r="N369" s="140"/>
    </row>
    <row r="370" spans="1:14" s="6" customFormat="1">
      <c r="A370" s="333" t="s">
        <v>2279</v>
      </c>
      <c r="B370" s="333" t="s">
        <v>2289</v>
      </c>
      <c r="F370" s="6" t="s">
        <v>1927</v>
      </c>
      <c r="G370" s="333" t="s">
        <v>2290</v>
      </c>
      <c r="H370" s="6">
        <v>23</v>
      </c>
      <c r="J370" s="219"/>
      <c r="K370" s="356" t="s">
        <v>2429</v>
      </c>
      <c r="L370" s="140"/>
      <c r="N370" s="140"/>
    </row>
    <row r="371" spans="1:14" s="6" customFormat="1">
      <c r="A371" s="336" t="s">
        <v>2300</v>
      </c>
      <c r="B371" s="335" t="s">
        <v>2301</v>
      </c>
      <c r="C371" s="5"/>
      <c r="D371" s="5"/>
      <c r="E371" s="5"/>
      <c r="F371" s="5" t="s">
        <v>2303</v>
      </c>
      <c r="G371" s="335" t="s">
        <v>2302</v>
      </c>
      <c r="H371" s="5"/>
      <c r="J371" s="219"/>
      <c r="K371" s="222"/>
      <c r="L371" s="140"/>
      <c r="N371" s="140"/>
    </row>
    <row r="372" spans="1:14" s="6" customFormat="1">
      <c r="A372" s="336" t="s">
        <v>2300</v>
      </c>
      <c r="B372" s="336" t="s">
        <v>2305</v>
      </c>
      <c r="C372" s="6">
        <v>85565308</v>
      </c>
      <c r="F372" s="6" t="s">
        <v>1929</v>
      </c>
      <c r="G372" s="337" t="s">
        <v>2306</v>
      </c>
      <c r="H372" s="6">
        <v>21</v>
      </c>
      <c r="J372" s="219"/>
      <c r="K372" s="222"/>
      <c r="L372" s="140"/>
      <c r="N372" s="140"/>
    </row>
    <row r="373" spans="1:14" s="6" customFormat="1">
      <c r="A373" s="339" t="s">
        <v>2300</v>
      </c>
      <c r="B373" s="370" t="s">
        <v>2315</v>
      </c>
      <c r="C373" s="6">
        <v>89888228</v>
      </c>
      <c r="F373" s="6" t="s">
        <v>2316</v>
      </c>
      <c r="G373" s="339" t="s">
        <v>2317</v>
      </c>
      <c r="H373" s="6">
        <v>22</v>
      </c>
      <c r="J373" s="219"/>
      <c r="K373" s="222"/>
      <c r="L373" s="140"/>
      <c r="N373" s="140"/>
    </row>
    <row r="374" spans="1:14" s="6" customFormat="1">
      <c r="A374" s="339" t="s">
        <v>2300</v>
      </c>
      <c r="B374" s="343" t="s">
        <v>2298</v>
      </c>
      <c r="C374" s="5"/>
      <c r="D374" s="5"/>
      <c r="E374" s="5"/>
      <c r="F374" s="5" t="s">
        <v>2322</v>
      </c>
      <c r="G374" s="340" t="s">
        <v>2321</v>
      </c>
      <c r="H374" s="5"/>
      <c r="J374" s="219"/>
      <c r="K374" s="222"/>
      <c r="L374" s="140"/>
      <c r="N374" s="140"/>
    </row>
    <row r="375" spans="1:14" s="6" customFormat="1">
      <c r="A375" s="339" t="s">
        <v>2300</v>
      </c>
      <c r="B375" s="339" t="s">
        <v>2324</v>
      </c>
      <c r="C375" s="6">
        <v>79469483</v>
      </c>
      <c r="F375" s="6" t="s">
        <v>2100</v>
      </c>
      <c r="G375" s="339" t="s">
        <v>2323</v>
      </c>
      <c r="H375" s="6">
        <v>22</v>
      </c>
      <c r="J375" s="219"/>
      <c r="K375" s="222"/>
      <c r="L375" s="140"/>
      <c r="N375" s="140"/>
    </row>
    <row r="376" spans="1:14" s="6" customFormat="1">
      <c r="A376" s="342" t="s">
        <v>2330</v>
      </c>
      <c r="B376" s="490" t="s">
        <v>2371</v>
      </c>
      <c r="C376" s="6">
        <v>57663901</v>
      </c>
      <c r="D376" s="6" t="s">
        <v>2430</v>
      </c>
      <c r="F376" s="6" t="s">
        <v>2307</v>
      </c>
      <c r="G376" s="342" t="s">
        <v>2332</v>
      </c>
      <c r="H376" s="6">
        <v>26</v>
      </c>
      <c r="I376" s="6" t="s">
        <v>3025</v>
      </c>
      <c r="J376" s="219"/>
      <c r="K376" s="222"/>
      <c r="L376" s="140"/>
      <c r="N376" s="140"/>
    </row>
    <row r="377" spans="1:14" s="6" customFormat="1">
      <c r="A377" s="342" t="s">
        <v>2330</v>
      </c>
      <c r="B377" s="410" t="s">
        <v>2333</v>
      </c>
      <c r="C377" s="5">
        <v>98482647</v>
      </c>
      <c r="D377" s="5"/>
      <c r="E377" s="5"/>
      <c r="F377" s="5" t="s">
        <v>1951</v>
      </c>
      <c r="G377" s="343" t="s">
        <v>2334</v>
      </c>
      <c r="H377" s="5"/>
      <c r="I377" s="5"/>
      <c r="J377" s="219"/>
      <c r="K377" s="222"/>
      <c r="L377" s="140"/>
      <c r="N377" s="140"/>
    </row>
    <row r="378" spans="1:14" s="6" customFormat="1">
      <c r="A378" s="342" t="s">
        <v>2330</v>
      </c>
      <c r="B378" s="517" t="s">
        <v>2567</v>
      </c>
      <c r="C378" s="6">
        <v>91292744</v>
      </c>
      <c r="F378" s="6" t="s">
        <v>1896</v>
      </c>
      <c r="G378" s="342" t="s">
        <v>2335</v>
      </c>
      <c r="H378" s="6">
        <v>22</v>
      </c>
      <c r="J378" s="219"/>
      <c r="K378" s="222"/>
      <c r="L378" s="140"/>
      <c r="N378" s="140"/>
    </row>
    <row r="379" spans="1:14" s="6" customFormat="1">
      <c r="A379" s="342" t="s">
        <v>2330</v>
      </c>
      <c r="B379" s="342" t="s">
        <v>2338</v>
      </c>
      <c r="C379" s="6">
        <v>77259930</v>
      </c>
      <c r="F379" s="6" t="s">
        <v>2100</v>
      </c>
      <c r="G379" s="342" t="s">
        <v>2339</v>
      </c>
      <c r="H379" s="6">
        <v>22</v>
      </c>
      <c r="J379" s="219"/>
      <c r="K379" s="222"/>
      <c r="L379" s="140"/>
      <c r="N379" s="140"/>
    </row>
    <row r="380" spans="1:14" s="6" customFormat="1">
      <c r="A380" s="342" t="s">
        <v>2330</v>
      </c>
      <c r="B380" s="364" t="s">
        <v>2340</v>
      </c>
      <c r="C380" s="6">
        <v>28299585</v>
      </c>
      <c r="F380" s="6" t="s">
        <v>2341</v>
      </c>
      <c r="G380" s="342" t="s">
        <v>2342</v>
      </c>
      <c r="H380" s="6">
        <v>21.5</v>
      </c>
      <c r="J380" s="219"/>
      <c r="K380" s="222"/>
      <c r="L380" s="140"/>
      <c r="N380" s="140"/>
    </row>
    <row r="381" spans="1:14" s="6" customFormat="1">
      <c r="A381" s="342" t="s">
        <v>2330</v>
      </c>
      <c r="B381" s="355" t="s">
        <v>2291</v>
      </c>
      <c r="C381" s="5">
        <v>79169390</v>
      </c>
      <c r="D381" s="5"/>
      <c r="E381" s="5"/>
      <c r="F381" s="5" t="s">
        <v>2214</v>
      </c>
      <c r="G381" s="334" t="s">
        <v>2292</v>
      </c>
      <c r="H381" s="5"/>
      <c r="J381" s="219"/>
      <c r="K381" s="222"/>
      <c r="L381" s="140"/>
      <c r="N381" s="140"/>
    </row>
    <row r="382" spans="1:14" s="6" customFormat="1">
      <c r="A382" s="344" t="s">
        <v>2348</v>
      </c>
      <c r="B382" s="351" t="s">
        <v>2347</v>
      </c>
      <c r="C382" s="5">
        <v>35670960</v>
      </c>
      <c r="D382" s="5"/>
      <c r="E382" s="5"/>
      <c r="F382" s="5" t="s">
        <v>1951</v>
      </c>
      <c r="G382" s="345" t="s">
        <v>2349</v>
      </c>
      <c r="H382" s="5"/>
      <c r="J382" s="219"/>
      <c r="K382" s="222"/>
      <c r="L382" s="140"/>
      <c r="N382" s="140"/>
    </row>
    <row r="383" spans="1:14" s="6" customFormat="1">
      <c r="A383" s="344" t="s">
        <v>2348</v>
      </c>
      <c r="B383" s="365" t="s">
        <v>2389</v>
      </c>
      <c r="C383" s="5">
        <v>25609122</v>
      </c>
      <c r="D383" s="5"/>
      <c r="E383" s="5"/>
      <c r="F383" s="5" t="s">
        <v>1887</v>
      </c>
      <c r="G383" s="345" t="s">
        <v>2352</v>
      </c>
      <c r="H383" s="5"/>
      <c r="J383" s="219"/>
      <c r="K383" s="418" t="s">
        <v>2682</v>
      </c>
      <c r="L383" s="140"/>
      <c r="N383" s="140"/>
    </row>
    <row r="384" spans="1:14" s="6" customFormat="1">
      <c r="A384" s="344" t="s">
        <v>2348</v>
      </c>
      <c r="B384" s="344" t="s">
        <v>2353</v>
      </c>
      <c r="C384" s="6">
        <v>56753975</v>
      </c>
      <c r="F384" s="6" t="s">
        <v>1974</v>
      </c>
      <c r="G384" s="344" t="s">
        <v>2354</v>
      </c>
      <c r="H384" s="6">
        <v>22</v>
      </c>
      <c r="J384" s="219"/>
      <c r="K384" s="222"/>
      <c r="L384" s="140"/>
      <c r="N384" s="140"/>
    </row>
    <row r="385" spans="1:14" s="6" customFormat="1">
      <c r="A385" s="345" t="s">
        <v>2348</v>
      </c>
      <c r="B385" s="433" t="s">
        <v>2351</v>
      </c>
      <c r="C385" s="5">
        <v>93595077</v>
      </c>
      <c r="D385" s="5"/>
      <c r="E385" s="5" t="s">
        <v>2828</v>
      </c>
      <c r="F385" s="5" t="s">
        <v>2225</v>
      </c>
      <c r="G385" s="345" t="s">
        <v>2355</v>
      </c>
      <c r="H385" s="5"/>
      <c r="J385" s="219"/>
      <c r="K385" s="222">
        <f>858+330</f>
        <v>1188</v>
      </c>
      <c r="L385" s="140"/>
      <c r="N385" s="140"/>
    </row>
    <row r="386" spans="1:14" s="6" customFormat="1">
      <c r="A386" s="346" t="s">
        <v>2348</v>
      </c>
      <c r="B386" s="346" t="s">
        <v>2329</v>
      </c>
      <c r="C386" s="347">
        <v>72369671</v>
      </c>
      <c r="D386" s="347"/>
      <c r="E386" s="347"/>
      <c r="F386" s="347" t="s">
        <v>2322</v>
      </c>
      <c r="G386" s="348" t="s">
        <v>2331</v>
      </c>
      <c r="H386" s="347"/>
      <c r="J386" s="219"/>
      <c r="K386" s="222"/>
      <c r="L386" s="140"/>
      <c r="N386" s="140"/>
    </row>
    <row r="387" spans="1:14" s="6" customFormat="1">
      <c r="A387" s="344"/>
      <c r="B387" s="346" t="s">
        <v>2364</v>
      </c>
      <c r="C387" s="347">
        <v>14911135</v>
      </c>
      <c r="D387" s="347"/>
      <c r="E387" s="347" t="s">
        <v>2841</v>
      </c>
      <c r="F387" s="347" t="s">
        <v>2840</v>
      </c>
      <c r="G387" s="346" t="s">
        <v>2363</v>
      </c>
      <c r="H387" s="347">
        <v>6.5</v>
      </c>
      <c r="I387" s="6">
        <v>5</v>
      </c>
      <c r="J387" s="219">
        <v>6.8</v>
      </c>
      <c r="K387" s="222"/>
      <c r="L387" s="140"/>
      <c r="N387" s="140"/>
    </row>
    <row r="388" spans="1:14" s="6" customFormat="1">
      <c r="A388" s="344"/>
      <c r="B388" s="346" t="s">
        <v>2362</v>
      </c>
      <c r="C388" s="347">
        <v>66528620</v>
      </c>
      <c r="D388" s="347"/>
      <c r="E388" s="347" t="s">
        <v>2841</v>
      </c>
      <c r="F388" s="347" t="s">
        <v>2840</v>
      </c>
      <c r="G388" s="346" t="s">
        <v>2363</v>
      </c>
      <c r="H388" s="347">
        <v>5</v>
      </c>
      <c r="I388" s="6">
        <v>5</v>
      </c>
      <c r="J388" s="219"/>
      <c r="K388" s="222"/>
      <c r="L388" s="140"/>
      <c r="N388" s="140"/>
    </row>
    <row r="389" spans="1:14" s="6" customFormat="1">
      <c r="A389" s="344"/>
      <c r="B389" s="353" t="s">
        <v>2397</v>
      </c>
      <c r="C389" s="347"/>
      <c r="D389" s="347"/>
      <c r="E389" s="347"/>
      <c r="F389" s="347" t="s">
        <v>2091</v>
      </c>
      <c r="G389" s="346" t="s">
        <v>2363</v>
      </c>
      <c r="H389" s="347"/>
      <c r="J389" s="219"/>
      <c r="K389" s="222"/>
      <c r="L389" s="140"/>
      <c r="N389" s="140"/>
    </row>
    <row r="390" spans="1:14" s="6" customFormat="1">
      <c r="A390" s="344" t="s">
        <v>2348</v>
      </c>
      <c r="B390" s="349" t="s">
        <v>2372</v>
      </c>
      <c r="C390" s="6">
        <v>65632437</v>
      </c>
      <c r="F390" s="344" t="s">
        <v>597</v>
      </c>
      <c r="G390" s="344" t="s">
        <v>2370</v>
      </c>
      <c r="H390" s="6">
        <v>22</v>
      </c>
      <c r="J390" s="219"/>
      <c r="K390" s="222"/>
      <c r="L390" s="140"/>
      <c r="N390" s="140"/>
    </row>
    <row r="391" spans="1:14" s="6" customFormat="1">
      <c r="A391" s="349" t="s">
        <v>2374</v>
      </c>
      <c r="B391" s="372" t="s">
        <v>2373</v>
      </c>
      <c r="C391" s="5">
        <v>22521911</v>
      </c>
      <c r="D391" s="5"/>
      <c r="E391" s="5"/>
      <c r="F391" s="351" t="s">
        <v>551</v>
      </c>
      <c r="G391" s="351" t="s">
        <v>2379</v>
      </c>
      <c r="H391" s="5"/>
      <c r="J391" s="219"/>
      <c r="K391" s="222"/>
      <c r="L391" s="140">
        <v>14200</v>
      </c>
      <c r="N391" s="140"/>
    </row>
    <row r="392" spans="1:14" s="6" customFormat="1">
      <c r="A392" s="349" t="s">
        <v>2374</v>
      </c>
      <c r="B392" s="519" t="s">
        <v>2375</v>
      </c>
      <c r="C392" s="53">
        <v>66431117</v>
      </c>
      <c r="D392" s="53" t="s">
        <v>2941</v>
      </c>
      <c r="E392" s="53"/>
      <c r="F392" s="520" t="s">
        <v>643</v>
      </c>
      <c r="G392" s="520" t="s">
        <v>2376</v>
      </c>
      <c r="H392" s="53">
        <v>10</v>
      </c>
      <c r="I392" s="6">
        <v>4</v>
      </c>
      <c r="J392" s="219"/>
      <c r="K392" s="222"/>
      <c r="L392" s="140">
        <f>1750*12</f>
        <v>21000</v>
      </c>
      <c r="N392" s="140"/>
    </row>
    <row r="393" spans="1:14" s="6" customFormat="1">
      <c r="A393" s="349" t="s">
        <v>2374</v>
      </c>
      <c r="B393" s="364" t="s">
        <v>2377</v>
      </c>
      <c r="C393" s="6">
        <v>90913513</v>
      </c>
      <c r="F393" s="349" t="s">
        <v>1134</v>
      </c>
      <c r="G393" s="349" t="s">
        <v>2378</v>
      </c>
      <c r="H393" s="6">
        <v>22</v>
      </c>
      <c r="J393" s="219"/>
      <c r="K393" s="222"/>
      <c r="L393" s="140"/>
      <c r="N393" s="140"/>
    </row>
    <row r="394" spans="1:14" s="6" customFormat="1">
      <c r="A394" s="349" t="s">
        <v>2374</v>
      </c>
      <c r="B394" s="349" t="s">
        <v>2383</v>
      </c>
      <c r="C394" s="6">
        <v>74418653</v>
      </c>
      <c r="F394" s="349" t="s">
        <v>2100</v>
      </c>
      <c r="G394" s="349" t="s">
        <v>2384</v>
      </c>
      <c r="H394" s="6">
        <v>22</v>
      </c>
      <c r="J394" s="219"/>
      <c r="K394" s="222"/>
      <c r="L394" s="140"/>
      <c r="N394" s="140"/>
    </row>
    <row r="395" spans="1:14" s="6" customFormat="1">
      <c r="A395" s="349" t="s">
        <v>2374</v>
      </c>
      <c r="B395" s="478" t="s">
        <v>2390</v>
      </c>
      <c r="C395" s="6">
        <v>60982941</v>
      </c>
      <c r="F395" s="349" t="s">
        <v>2231</v>
      </c>
      <c r="G395" s="349" t="s">
        <v>2391</v>
      </c>
      <c r="H395" s="6">
        <v>22</v>
      </c>
      <c r="J395" s="219"/>
      <c r="K395" s="222"/>
      <c r="L395" s="140"/>
      <c r="N395" s="140"/>
    </row>
    <row r="396" spans="1:14" s="6" customFormat="1">
      <c r="A396" s="349" t="s">
        <v>2374</v>
      </c>
      <c r="B396" s="531" t="s">
        <v>2393</v>
      </c>
      <c r="C396" s="6">
        <v>59395026</v>
      </c>
      <c r="D396" s="6" t="s">
        <v>2394</v>
      </c>
      <c r="F396" s="349" t="s">
        <v>2078</v>
      </c>
      <c r="G396" s="349" t="s">
        <v>2395</v>
      </c>
      <c r="H396" s="6">
        <v>15</v>
      </c>
      <c r="J396" s="219">
        <v>25</v>
      </c>
      <c r="K396" s="352" t="s">
        <v>2392</v>
      </c>
      <c r="L396" s="140"/>
      <c r="N396" s="140"/>
    </row>
    <row r="397" spans="1:14" s="6" customFormat="1">
      <c r="A397" s="349" t="s">
        <v>2374</v>
      </c>
      <c r="B397" s="349" t="s">
        <v>2396</v>
      </c>
      <c r="F397" s="344"/>
      <c r="G397" s="349" t="s">
        <v>693</v>
      </c>
      <c r="H397" s="6">
        <v>24</v>
      </c>
      <c r="J397" s="219"/>
      <c r="K397" s="352"/>
      <c r="L397" s="140"/>
      <c r="N397" s="140"/>
    </row>
    <row r="398" spans="1:14" s="6" customFormat="1">
      <c r="A398" s="354" t="s">
        <v>1649</v>
      </c>
      <c r="B398" s="349"/>
      <c r="F398" s="344"/>
      <c r="G398" s="354" t="s">
        <v>2400</v>
      </c>
      <c r="J398" s="219">
        <v>17.5</v>
      </c>
      <c r="K398" s="352"/>
      <c r="L398" s="140"/>
      <c r="N398" s="140"/>
    </row>
    <row r="399" spans="1:14" s="6" customFormat="1">
      <c r="A399" s="354" t="s">
        <v>1649</v>
      </c>
      <c r="B399" s="355" t="s">
        <v>2401</v>
      </c>
      <c r="C399" s="5">
        <v>73617697</v>
      </c>
      <c r="D399" s="5"/>
      <c r="E399" s="5"/>
      <c r="F399" s="345"/>
      <c r="G399" s="355" t="s">
        <v>2402</v>
      </c>
      <c r="H399" s="5"/>
      <c r="J399" s="219"/>
      <c r="K399" s="352"/>
      <c r="L399" s="140"/>
      <c r="N399" s="140"/>
    </row>
    <row r="400" spans="1:14" s="6" customFormat="1">
      <c r="A400" s="354" t="s">
        <v>1649</v>
      </c>
      <c r="B400" s="357" t="s">
        <v>2403</v>
      </c>
      <c r="C400" s="5">
        <v>50887711</v>
      </c>
      <c r="D400" s="5"/>
      <c r="E400" s="5"/>
      <c r="F400" s="355" t="s">
        <v>2265</v>
      </c>
      <c r="G400" s="355" t="s">
        <v>2404</v>
      </c>
      <c r="H400" s="5"/>
      <c r="J400" s="219"/>
      <c r="K400" s="352"/>
      <c r="L400" s="140"/>
      <c r="M400" s="6" t="s">
        <v>2699</v>
      </c>
      <c r="N400" s="140"/>
    </row>
    <row r="401" spans="1:14" s="6" customFormat="1">
      <c r="A401" s="354" t="s">
        <v>1649</v>
      </c>
      <c r="B401" s="517" t="s">
        <v>2405</v>
      </c>
      <c r="F401" s="354" t="s">
        <v>2245</v>
      </c>
      <c r="G401" s="354" t="s">
        <v>2406</v>
      </c>
      <c r="H401" s="6">
        <v>22</v>
      </c>
      <c r="J401" s="219"/>
      <c r="K401" s="352"/>
      <c r="L401" s="140"/>
      <c r="N401" s="140"/>
    </row>
    <row r="402" spans="1:14" s="6" customFormat="1">
      <c r="A402" s="354" t="s">
        <v>1649</v>
      </c>
      <c r="B402" s="365" t="s">
        <v>2381</v>
      </c>
      <c r="C402" s="5">
        <v>74418653</v>
      </c>
      <c r="D402" s="5"/>
      <c r="E402" s="5"/>
      <c r="F402" s="351" t="s">
        <v>2382</v>
      </c>
      <c r="G402" s="355" t="s">
        <v>2407</v>
      </c>
      <c r="H402" s="5"/>
      <c r="J402" s="219"/>
      <c r="K402" s="352"/>
      <c r="L402" s="140"/>
      <c r="N402" s="140"/>
    </row>
    <row r="403" spans="1:14" s="6" customFormat="1">
      <c r="A403" s="354" t="s">
        <v>1649</v>
      </c>
      <c r="B403" s="487" t="s">
        <v>3005</v>
      </c>
      <c r="C403" s="5"/>
      <c r="D403" s="5"/>
      <c r="E403" s="5"/>
      <c r="F403" s="355" t="s">
        <v>2416</v>
      </c>
      <c r="G403" s="355" t="s">
        <v>2417</v>
      </c>
      <c r="H403" s="5"/>
      <c r="J403" s="219"/>
      <c r="K403" s="500" t="s">
        <v>3017</v>
      </c>
      <c r="L403" s="140"/>
      <c r="N403" s="140"/>
    </row>
    <row r="404" spans="1:14" s="6" customFormat="1">
      <c r="A404" s="354" t="s">
        <v>1649</v>
      </c>
      <c r="B404" s="365" t="s">
        <v>2418</v>
      </c>
      <c r="C404" s="5"/>
      <c r="D404" s="5"/>
      <c r="E404" s="5"/>
      <c r="F404" s="355" t="s">
        <v>1887</v>
      </c>
      <c r="G404" s="355" t="s">
        <v>2419</v>
      </c>
      <c r="H404" s="5"/>
      <c r="I404" s="5"/>
      <c r="J404" s="219"/>
      <c r="K404" s="440" t="s">
        <v>2862</v>
      </c>
      <c r="L404" s="140"/>
      <c r="N404" s="140"/>
    </row>
    <row r="405" spans="1:14" s="6" customFormat="1">
      <c r="A405" s="354" t="s">
        <v>1649</v>
      </c>
      <c r="B405" s="354" t="s">
        <v>2421</v>
      </c>
      <c r="F405" s="354" t="s">
        <v>2100</v>
      </c>
      <c r="G405" s="354" t="s">
        <v>2422</v>
      </c>
      <c r="H405" s="6">
        <v>26.5</v>
      </c>
      <c r="J405" s="219"/>
      <c r="K405" s="222"/>
      <c r="L405" s="140"/>
      <c r="N405" s="140"/>
    </row>
    <row r="406" spans="1:14" s="6" customFormat="1">
      <c r="A406" s="354" t="s">
        <v>1649</v>
      </c>
      <c r="B406" s="372" t="s">
        <v>2424</v>
      </c>
      <c r="C406" s="5">
        <v>40698332</v>
      </c>
      <c r="D406" s="5"/>
      <c r="E406" s="5"/>
      <c r="F406" s="355" t="s">
        <v>2265</v>
      </c>
      <c r="G406" s="355" t="s">
        <v>2423</v>
      </c>
      <c r="H406" s="5"/>
      <c r="J406" s="219"/>
      <c r="K406" s="222"/>
      <c r="L406" s="140"/>
      <c r="M406" s="6" t="s">
        <v>2699</v>
      </c>
      <c r="N406" s="140"/>
    </row>
    <row r="407" spans="1:14" s="6" customFormat="1">
      <c r="A407" s="354" t="s">
        <v>1649</v>
      </c>
      <c r="B407" s="354" t="s">
        <v>2426</v>
      </c>
      <c r="F407" s="354" t="s">
        <v>1927</v>
      </c>
      <c r="G407" s="354" t="s">
        <v>2427</v>
      </c>
      <c r="H407" s="6">
        <v>23</v>
      </c>
      <c r="J407" s="219"/>
      <c r="K407" s="356" t="s">
        <v>2429</v>
      </c>
      <c r="L407" s="140"/>
      <c r="N407" s="140"/>
    </row>
    <row r="408" spans="1:14" s="6" customFormat="1">
      <c r="A408" s="354" t="s">
        <v>1649</v>
      </c>
      <c r="B408" s="357" t="s">
        <v>2385</v>
      </c>
      <c r="C408" s="5">
        <v>91253866</v>
      </c>
      <c r="D408" s="5"/>
      <c r="E408" s="5"/>
      <c r="F408" s="351" t="s">
        <v>2386</v>
      </c>
      <c r="G408" s="351" t="s">
        <v>2386</v>
      </c>
      <c r="H408" s="5"/>
      <c r="J408" s="219"/>
      <c r="K408" s="222"/>
      <c r="L408" s="140"/>
      <c r="N408" s="140"/>
    </row>
    <row r="409" spans="1:14" s="6" customFormat="1">
      <c r="A409" s="358" t="s">
        <v>2431</v>
      </c>
      <c r="B409" s="358" t="s">
        <v>2432</v>
      </c>
      <c r="F409" s="358" t="s">
        <v>2100</v>
      </c>
      <c r="G409" s="358" t="s">
        <v>2433</v>
      </c>
      <c r="H409" s="6">
        <v>22</v>
      </c>
      <c r="J409" s="219"/>
      <c r="K409" s="222"/>
      <c r="L409" s="140"/>
      <c r="N409" s="140"/>
    </row>
    <row r="410" spans="1:14" s="6" customFormat="1">
      <c r="A410" s="358" t="s">
        <v>2431</v>
      </c>
      <c r="B410" s="358" t="s">
        <v>2434</v>
      </c>
      <c r="F410" s="358" t="s">
        <v>1974</v>
      </c>
      <c r="G410" s="358" t="s">
        <v>2435</v>
      </c>
      <c r="H410" s="6">
        <v>21</v>
      </c>
      <c r="J410" s="219"/>
      <c r="K410" s="222"/>
      <c r="L410" s="140"/>
      <c r="N410" s="140"/>
    </row>
    <row r="411" spans="1:14" s="6" customFormat="1">
      <c r="A411" s="358" t="s">
        <v>2431</v>
      </c>
      <c r="B411" s="517" t="s">
        <v>2436</v>
      </c>
      <c r="C411" s="6" t="s">
        <v>2587</v>
      </c>
      <c r="F411" s="358" t="s">
        <v>1974</v>
      </c>
      <c r="G411" s="358" t="s">
        <v>2437</v>
      </c>
      <c r="H411" s="6">
        <v>22</v>
      </c>
      <c r="J411" s="219"/>
      <c r="K411" s="222"/>
      <c r="L411" s="140"/>
      <c r="N411" s="140"/>
    </row>
    <row r="412" spans="1:14" s="6" customFormat="1">
      <c r="A412" s="358" t="s">
        <v>2431</v>
      </c>
      <c r="B412" s="516" t="s">
        <v>2440</v>
      </c>
      <c r="C412" s="5">
        <v>69585073</v>
      </c>
      <c r="D412" s="5"/>
      <c r="E412" s="5"/>
      <c r="F412" s="357" t="s">
        <v>2046</v>
      </c>
      <c r="G412" s="357" t="s">
        <v>2439</v>
      </c>
      <c r="H412" s="5"/>
      <c r="J412" s="219"/>
      <c r="K412" s="222"/>
      <c r="L412" s="140"/>
      <c r="M412" s="6" t="s">
        <v>3064</v>
      </c>
      <c r="N412" s="140"/>
    </row>
    <row r="413" spans="1:14" s="6" customFormat="1">
      <c r="A413" s="358" t="s">
        <v>2431</v>
      </c>
      <c r="B413" s="358" t="s">
        <v>2441</v>
      </c>
      <c r="F413" s="358" t="s">
        <v>1974</v>
      </c>
      <c r="G413" s="358" t="s">
        <v>2442</v>
      </c>
      <c r="H413" s="6">
        <v>32</v>
      </c>
      <c r="J413" s="219">
        <v>33</v>
      </c>
      <c r="K413" s="222"/>
      <c r="L413" s="140"/>
      <c r="N413" s="140"/>
    </row>
    <row r="414" spans="1:14" s="6" customFormat="1">
      <c r="A414" s="358" t="s">
        <v>2431</v>
      </c>
      <c r="B414" s="358" t="s">
        <v>2443</v>
      </c>
      <c r="C414" s="6">
        <v>27967205</v>
      </c>
      <c r="F414" s="358" t="s">
        <v>2100</v>
      </c>
      <c r="G414" s="358" t="s">
        <v>2444</v>
      </c>
      <c r="H414" s="6">
        <v>22</v>
      </c>
      <c r="J414" s="219"/>
      <c r="K414" s="222"/>
      <c r="L414" s="140"/>
      <c r="N414" s="140"/>
    </row>
    <row r="415" spans="1:14" s="6" customFormat="1">
      <c r="A415" s="358" t="s">
        <v>2431</v>
      </c>
      <c r="B415" s="358" t="s">
        <v>2445</v>
      </c>
      <c r="F415" s="358" t="s">
        <v>1974</v>
      </c>
      <c r="G415" s="358" t="s">
        <v>2446</v>
      </c>
      <c r="H415" s="6">
        <v>22</v>
      </c>
      <c r="J415" s="219"/>
      <c r="K415" s="222"/>
      <c r="L415" s="140"/>
      <c r="N415" s="140"/>
    </row>
    <row r="416" spans="1:14" s="6" customFormat="1">
      <c r="A416" s="358" t="s">
        <v>2431</v>
      </c>
      <c r="B416" s="358" t="s">
        <v>2447</v>
      </c>
      <c r="F416" s="358" t="s">
        <v>691</v>
      </c>
      <c r="G416" s="358" t="s">
        <v>2448</v>
      </c>
      <c r="H416" s="6">
        <v>22</v>
      </c>
      <c r="J416" s="219"/>
      <c r="K416" s="222"/>
      <c r="L416" s="140"/>
      <c r="N416" s="140"/>
    </row>
    <row r="417" spans="1:14" s="6" customFormat="1">
      <c r="A417" s="358" t="s">
        <v>2431</v>
      </c>
      <c r="B417" s="358" t="s">
        <v>2465</v>
      </c>
      <c r="C417" s="6">
        <v>48516312</v>
      </c>
      <c r="F417" s="358" t="s">
        <v>2100</v>
      </c>
      <c r="G417" s="358" t="s">
        <v>2449</v>
      </c>
      <c r="H417" s="6">
        <v>22</v>
      </c>
      <c r="J417" s="219"/>
      <c r="K417" s="222"/>
      <c r="L417" s="140"/>
      <c r="N417" s="140"/>
    </row>
    <row r="418" spans="1:14" s="6" customFormat="1">
      <c r="A418" s="358" t="s">
        <v>2431</v>
      </c>
      <c r="B418" s="437" t="s">
        <v>2863</v>
      </c>
      <c r="C418" s="6">
        <v>44400186</v>
      </c>
      <c r="F418" s="358" t="s">
        <v>1929</v>
      </c>
      <c r="G418" s="358" t="s">
        <v>2459</v>
      </c>
      <c r="H418" s="6">
        <v>22</v>
      </c>
      <c r="J418" s="219"/>
      <c r="K418" s="222"/>
      <c r="L418" s="140"/>
      <c r="N418" s="140"/>
    </row>
    <row r="419" spans="1:14" s="6" customFormat="1">
      <c r="A419" s="358" t="s">
        <v>2431</v>
      </c>
      <c r="B419" s="459" t="s">
        <v>2461</v>
      </c>
      <c r="C419" s="6">
        <v>13286230</v>
      </c>
      <c r="F419" s="358" t="s">
        <v>1951</v>
      </c>
      <c r="G419" s="358" t="s">
        <v>2460</v>
      </c>
      <c r="H419" s="6">
        <v>21.5</v>
      </c>
      <c r="J419" s="219">
        <v>22</v>
      </c>
      <c r="K419" s="222"/>
      <c r="L419" s="140"/>
      <c r="N419" s="140"/>
    </row>
    <row r="420" spans="1:14" s="6" customFormat="1">
      <c r="A420" s="358" t="s">
        <v>2462</v>
      </c>
      <c r="B420" s="358" t="s">
        <v>2463</v>
      </c>
      <c r="C420" s="6">
        <v>89283487</v>
      </c>
      <c r="F420" s="358" t="s">
        <v>666</v>
      </c>
      <c r="G420" s="358" t="s">
        <v>2464</v>
      </c>
      <c r="H420" s="6">
        <v>24</v>
      </c>
      <c r="J420" s="219"/>
      <c r="K420" s="222"/>
      <c r="L420" s="140"/>
      <c r="N420" s="140"/>
    </row>
    <row r="421" spans="1:14" s="6" customFormat="1" ht="15" customHeight="1">
      <c r="A421" s="358" t="s">
        <v>2462</v>
      </c>
      <c r="B421" s="364" t="s">
        <v>2466</v>
      </c>
      <c r="C421" s="6">
        <v>28825016</v>
      </c>
      <c r="F421" s="358" t="s">
        <v>2214</v>
      </c>
      <c r="G421" s="358" t="s">
        <v>2467</v>
      </c>
      <c r="H421" s="6">
        <v>22</v>
      </c>
      <c r="J421" s="219"/>
      <c r="K421" s="222"/>
      <c r="L421" s="140"/>
      <c r="N421" s="140"/>
    </row>
    <row r="422" spans="1:14" s="6" customFormat="1" ht="15" customHeight="1">
      <c r="A422" s="362" t="s">
        <v>2462</v>
      </c>
      <c r="B422" s="538" t="s">
        <v>2468</v>
      </c>
      <c r="C422" s="6">
        <v>14903000</v>
      </c>
      <c r="F422" s="362" t="s">
        <v>931</v>
      </c>
      <c r="G422" s="362" t="s">
        <v>2469</v>
      </c>
      <c r="H422" s="6">
        <v>22</v>
      </c>
      <c r="J422" s="219"/>
      <c r="K422" s="222"/>
      <c r="L422" s="140"/>
      <c r="N422" s="140"/>
    </row>
    <row r="423" spans="1:14" s="6" customFormat="1" ht="15" customHeight="1">
      <c r="A423" s="362" t="s">
        <v>2462</v>
      </c>
      <c r="B423" s="365" t="s">
        <v>2470</v>
      </c>
      <c r="C423" s="5">
        <v>41500998</v>
      </c>
      <c r="D423" s="5"/>
      <c r="E423" s="5"/>
      <c r="F423" s="363" t="s">
        <v>2265</v>
      </c>
      <c r="G423" s="363" t="s">
        <v>2471</v>
      </c>
      <c r="H423" s="5"/>
      <c r="J423" s="219"/>
      <c r="K423" s="222"/>
      <c r="L423" s="140"/>
      <c r="M423" s="6" t="s">
        <v>2699</v>
      </c>
      <c r="N423" s="140"/>
    </row>
    <row r="424" spans="1:14" s="6" customFormat="1" ht="15" customHeight="1">
      <c r="A424" s="362" t="s">
        <v>2462</v>
      </c>
      <c r="B424" s="372" t="s">
        <v>2472</v>
      </c>
      <c r="C424" s="5">
        <v>76598583</v>
      </c>
      <c r="D424" s="5"/>
      <c r="E424" s="5"/>
      <c r="F424" s="363" t="s">
        <v>2265</v>
      </c>
      <c r="G424" s="363" t="s">
        <v>2473</v>
      </c>
      <c r="H424" s="5"/>
      <c r="J424" s="219"/>
      <c r="K424" s="222"/>
      <c r="L424" s="140"/>
      <c r="M424" s="6" t="s">
        <v>2699</v>
      </c>
      <c r="N424" s="140"/>
    </row>
    <row r="425" spans="1:14" s="6" customFormat="1">
      <c r="A425" s="364" t="s">
        <v>2475</v>
      </c>
      <c r="B425" s="364" t="s">
        <v>2490</v>
      </c>
      <c r="C425" s="6">
        <v>65671847</v>
      </c>
      <c r="F425" s="364" t="s">
        <v>1888</v>
      </c>
      <c r="G425" s="364" t="s">
        <v>2491</v>
      </c>
      <c r="H425" s="6">
        <v>21</v>
      </c>
      <c r="J425" s="219"/>
      <c r="K425" s="222"/>
      <c r="L425" s="140"/>
      <c r="N425" s="140"/>
    </row>
    <row r="426" spans="1:14" s="6" customFormat="1">
      <c r="A426" s="364" t="s">
        <v>2475</v>
      </c>
      <c r="B426" s="519" t="s">
        <v>3084</v>
      </c>
      <c r="C426" s="53">
        <v>44672785</v>
      </c>
      <c r="D426" s="53" t="s">
        <v>2940</v>
      </c>
      <c r="E426" s="53"/>
      <c r="F426" s="525" t="s">
        <v>643</v>
      </c>
      <c r="G426" s="525" t="s">
        <v>2489</v>
      </c>
      <c r="H426" s="53">
        <v>22</v>
      </c>
      <c r="I426" s="6">
        <v>4</v>
      </c>
      <c r="J426" s="219"/>
      <c r="K426" s="222"/>
      <c r="L426" s="140"/>
      <c r="N426" s="140"/>
    </row>
    <row r="427" spans="1:14" s="6" customFormat="1">
      <c r="A427" s="364" t="s">
        <v>2474</v>
      </c>
      <c r="B427" s="459" t="s">
        <v>2477</v>
      </c>
      <c r="C427" s="6">
        <v>95652204</v>
      </c>
      <c r="F427" s="364" t="s">
        <v>2476</v>
      </c>
      <c r="G427" s="364" t="s">
        <v>2478</v>
      </c>
      <c r="H427" s="219">
        <v>22</v>
      </c>
      <c r="I427" s="219"/>
      <c r="J427" s="219"/>
      <c r="K427" s="222"/>
      <c r="L427" s="140"/>
      <c r="N427" s="140"/>
    </row>
    <row r="428" spans="1:14" s="6" customFormat="1">
      <c r="A428" s="364" t="s">
        <v>2474</v>
      </c>
      <c r="B428" s="364" t="s">
        <v>2479</v>
      </c>
      <c r="C428" s="6">
        <v>44638684</v>
      </c>
      <c r="F428" s="364" t="s">
        <v>1974</v>
      </c>
      <c r="G428" s="364" t="s">
        <v>2480</v>
      </c>
      <c r="H428" s="219">
        <v>22</v>
      </c>
      <c r="I428" s="219"/>
      <c r="J428" s="219"/>
      <c r="K428" s="222"/>
      <c r="L428" s="140"/>
      <c r="N428" s="140"/>
    </row>
    <row r="429" spans="1:14" s="6" customFormat="1">
      <c r="A429" s="364" t="s">
        <v>2474</v>
      </c>
      <c r="B429" s="364" t="s">
        <v>2481</v>
      </c>
      <c r="C429" s="6">
        <v>83115539</v>
      </c>
      <c r="F429" s="364" t="s">
        <v>1901</v>
      </c>
      <c r="G429" s="364" t="s">
        <v>2482</v>
      </c>
      <c r="H429" s="219">
        <v>22</v>
      </c>
      <c r="I429" s="219"/>
      <c r="J429" s="219"/>
      <c r="K429" s="222"/>
      <c r="L429" s="140"/>
      <c r="N429" s="140"/>
    </row>
    <row r="430" spans="1:14" s="6" customFormat="1">
      <c r="A430" s="364" t="s">
        <v>2474</v>
      </c>
      <c r="B430" s="364" t="s">
        <v>2483</v>
      </c>
      <c r="C430" s="6">
        <v>12644923</v>
      </c>
      <c r="F430" s="364" t="s">
        <v>1974</v>
      </c>
      <c r="G430" s="364" t="s">
        <v>2484</v>
      </c>
      <c r="H430" s="219">
        <v>22</v>
      </c>
      <c r="I430" s="219"/>
      <c r="J430" s="219"/>
      <c r="K430" s="222"/>
      <c r="L430" s="140"/>
      <c r="N430" s="140"/>
    </row>
    <row r="431" spans="1:14" s="6" customFormat="1">
      <c r="A431" s="364" t="s">
        <v>2474</v>
      </c>
      <c r="B431" s="478" t="s">
        <v>2485</v>
      </c>
      <c r="C431" s="6">
        <v>85391794</v>
      </c>
      <c r="F431" s="364" t="s">
        <v>2231</v>
      </c>
      <c r="G431" s="364" t="s">
        <v>2486</v>
      </c>
      <c r="H431" s="219">
        <v>21</v>
      </c>
      <c r="I431" s="219"/>
      <c r="J431" s="219"/>
      <c r="K431" s="222"/>
      <c r="L431" s="140"/>
      <c r="N431" s="140"/>
    </row>
    <row r="432" spans="1:14" s="6" customFormat="1">
      <c r="A432" s="364" t="s">
        <v>2474</v>
      </c>
      <c r="B432" s="364" t="s">
        <v>2487</v>
      </c>
      <c r="C432" s="6">
        <v>28898652</v>
      </c>
      <c r="F432" s="364" t="s">
        <v>1974</v>
      </c>
      <c r="G432" s="364" t="s">
        <v>2488</v>
      </c>
      <c r="H432" s="364">
        <v>22</v>
      </c>
      <c r="I432" s="364"/>
      <c r="J432" s="219"/>
      <c r="K432" s="222"/>
      <c r="L432" s="140"/>
      <c r="N432" s="140"/>
    </row>
    <row r="433" spans="1:14" s="6" customFormat="1">
      <c r="A433" s="364" t="s">
        <v>2474</v>
      </c>
      <c r="B433" s="438" t="s">
        <v>2492</v>
      </c>
      <c r="C433" s="6">
        <v>48991018</v>
      </c>
      <c r="F433" s="364" t="s">
        <v>912</v>
      </c>
      <c r="G433" s="364" t="s">
        <v>2493</v>
      </c>
      <c r="H433" s="364">
        <f>17.5-10.44-1.2-5.86</f>
        <v>0</v>
      </c>
      <c r="I433" s="517" t="s">
        <v>3063</v>
      </c>
      <c r="J433" s="219"/>
      <c r="K433" s="222"/>
      <c r="L433" s="140"/>
      <c r="N433" s="140"/>
    </row>
    <row r="434" spans="1:14" s="6" customFormat="1">
      <c r="A434" s="364" t="s">
        <v>2474</v>
      </c>
      <c r="B434" s="364" t="s">
        <v>2494</v>
      </c>
      <c r="C434" s="6">
        <v>19275341</v>
      </c>
      <c r="F434" s="364" t="s">
        <v>1929</v>
      </c>
      <c r="G434" s="364" t="s">
        <v>2495</v>
      </c>
      <c r="H434" s="364">
        <v>22</v>
      </c>
      <c r="I434" s="364"/>
      <c r="J434" s="219"/>
      <c r="K434" s="222"/>
      <c r="L434" s="140"/>
      <c r="N434" s="140"/>
    </row>
    <row r="435" spans="1:14" s="6" customFormat="1">
      <c r="A435" s="364" t="s">
        <v>2474</v>
      </c>
      <c r="B435" s="459" t="s">
        <v>2496</v>
      </c>
      <c r="C435" s="6">
        <v>22534111</v>
      </c>
      <c r="F435" s="364" t="s">
        <v>2046</v>
      </c>
      <c r="G435" s="364" t="s">
        <v>2497</v>
      </c>
      <c r="H435" s="364">
        <v>22</v>
      </c>
      <c r="I435" s="364"/>
      <c r="J435" s="219"/>
      <c r="K435" s="222"/>
      <c r="L435" s="140"/>
      <c r="N435" s="140"/>
    </row>
    <row r="436" spans="1:14" s="6" customFormat="1">
      <c r="A436" s="364" t="s">
        <v>2474</v>
      </c>
      <c r="B436" s="381" t="s">
        <v>2500</v>
      </c>
      <c r="C436" s="5">
        <v>91855860</v>
      </c>
      <c r="D436" s="5"/>
      <c r="E436" s="5"/>
      <c r="F436" s="365" t="s">
        <v>2501</v>
      </c>
      <c r="G436" s="365" t="s">
        <v>2502</v>
      </c>
      <c r="H436" s="365"/>
      <c r="I436" s="364"/>
      <c r="J436" s="219"/>
      <c r="K436" s="222"/>
      <c r="L436" s="140"/>
      <c r="N436" s="140"/>
    </row>
    <row r="437" spans="1:14" s="6" customFormat="1">
      <c r="A437" s="364" t="s">
        <v>2474</v>
      </c>
      <c r="B437" s="390" t="s">
        <v>2506</v>
      </c>
      <c r="C437" s="5">
        <v>27293219</v>
      </c>
      <c r="D437" s="5"/>
      <c r="E437" s="5"/>
      <c r="F437" s="365" t="s">
        <v>1898</v>
      </c>
      <c r="G437" s="365" t="s">
        <v>2508</v>
      </c>
      <c r="H437" s="365"/>
      <c r="I437" s="364"/>
      <c r="J437" s="219"/>
      <c r="K437" s="222"/>
      <c r="L437" s="140"/>
      <c r="M437" s="6" t="s">
        <v>2699</v>
      </c>
      <c r="N437" s="140"/>
    </row>
    <row r="438" spans="1:14" s="6" customFormat="1">
      <c r="A438" s="364" t="s">
        <v>2474</v>
      </c>
      <c r="B438" s="364" t="s">
        <v>2509</v>
      </c>
      <c r="F438" s="364"/>
      <c r="G438" s="364" t="s">
        <v>2507</v>
      </c>
      <c r="H438" s="364">
        <v>20</v>
      </c>
      <c r="I438" s="364"/>
      <c r="J438" s="219"/>
      <c r="K438" s="222"/>
      <c r="L438" s="140"/>
      <c r="N438" s="140"/>
    </row>
    <row r="439" spans="1:14" s="6" customFormat="1">
      <c r="A439" s="364" t="s">
        <v>2474</v>
      </c>
      <c r="B439" s="372" t="s">
        <v>2514</v>
      </c>
      <c r="C439" s="5">
        <v>31880127</v>
      </c>
      <c r="D439" s="5"/>
      <c r="E439" s="5"/>
      <c r="F439" s="365" t="s">
        <v>1898</v>
      </c>
      <c r="G439" s="365" t="s">
        <v>2515</v>
      </c>
      <c r="H439" s="365"/>
      <c r="I439" s="364"/>
      <c r="J439" s="219"/>
      <c r="K439" s="222"/>
      <c r="L439" s="140"/>
      <c r="M439" s="6" t="s">
        <v>2699</v>
      </c>
      <c r="N439" s="140"/>
    </row>
    <row r="440" spans="1:14" s="6" customFormat="1">
      <c r="A440" s="364" t="s">
        <v>2474</v>
      </c>
      <c r="B440" s="364" t="s">
        <v>2516</v>
      </c>
      <c r="C440" s="6">
        <v>41934792</v>
      </c>
      <c r="F440" s="364" t="s">
        <v>1134</v>
      </c>
      <c r="G440" s="364" t="s">
        <v>2517</v>
      </c>
      <c r="H440" s="364">
        <v>22</v>
      </c>
      <c r="I440" s="364"/>
      <c r="J440" s="219"/>
      <c r="K440" s="222"/>
      <c r="L440" s="140"/>
      <c r="N440" s="140"/>
    </row>
    <row r="441" spans="1:14" s="6" customFormat="1">
      <c r="A441" s="364" t="s">
        <v>2474</v>
      </c>
      <c r="B441" s="364" t="s">
        <v>2518</v>
      </c>
      <c r="C441" s="6">
        <v>69254273</v>
      </c>
      <c r="F441" s="364" t="s">
        <v>666</v>
      </c>
      <c r="G441" s="364" t="s">
        <v>2519</v>
      </c>
      <c r="H441" s="364">
        <v>18</v>
      </c>
      <c r="I441" s="364"/>
      <c r="J441" s="364" t="s">
        <v>2520</v>
      </c>
      <c r="K441" s="222"/>
      <c r="L441" s="140"/>
      <c r="N441" s="140"/>
    </row>
    <row r="442" spans="1:14" s="6" customFormat="1">
      <c r="A442" s="364" t="s">
        <v>2474</v>
      </c>
      <c r="B442" s="436" t="s">
        <v>2521</v>
      </c>
      <c r="C442" s="379">
        <v>29095309</v>
      </c>
      <c r="D442" s="379"/>
      <c r="E442" s="436" t="s">
        <v>2851</v>
      </c>
      <c r="F442" s="379" t="s">
        <v>2287</v>
      </c>
      <c r="G442" s="379" t="s">
        <v>2522</v>
      </c>
      <c r="H442" s="379"/>
      <c r="I442" s="368"/>
      <c r="J442" s="367">
        <v>4</v>
      </c>
      <c r="K442" s="222"/>
      <c r="L442" s="140"/>
      <c r="N442" s="140"/>
    </row>
    <row r="443" spans="1:14" s="6" customFormat="1">
      <c r="A443" s="373" t="s">
        <v>2537</v>
      </c>
      <c r="B443" s="374" t="s">
        <v>2538</v>
      </c>
      <c r="C443" s="367">
        <v>81397400</v>
      </c>
      <c r="D443" s="367"/>
      <c r="E443" s="367"/>
      <c r="F443" s="374" t="s">
        <v>1974</v>
      </c>
      <c r="G443" s="374" t="s">
        <v>2539</v>
      </c>
      <c r="H443" s="367">
        <v>22</v>
      </c>
      <c r="I443" s="368"/>
      <c r="J443" s="367"/>
      <c r="K443" s="222"/>
      <c r="L443" s="140"/>
      <c r="N443" s="140"/>
    </row>
    <row r="444" spans="1:14" s="6" customFormat="1">
      <c r="A444" s="373" t="s">
        <v>2537</v>
      </c>
      <c r="B444" s="385" t="s">
        <v>2544</v>
      </c>
      <c r="C444" s="97">
        <v>35233356</v>
      </c>
      <c r="D444" s="97"/>
      <c r="E444" s="97"/>
      <c r="F444" s="378" t="s">
        <v>643</v>
      </c>
      <c r="G444" s="378" t="s">
        <v>2545</v>
      </c>
      <c r="H444" s="379"/>
      <c r="I444" s="368"/>
      <c r="J444" s="369"/>
      <c r="K444" s="222"/>
      <c r="L444" s="140"/>
      <c r="M444" s="6" t="s">
        <v>2743</v>
      </c>
      <c r="N444" s="140"/>
    </row>
    <row r="445" spans="1:14" s="6" customFormat="1">
      <c r="A445" s="373" t="s">
        <v>2537</v>
      </c>
      <c r="B445" s="375" t="s">
        <v>2546</v>
      </c>
      <c r="C445" s="272"/>
      <c r="D445" s="272"/>
      <c r="E445" s="272"/>
      <c r="F445" s="375" t="s">
        <v>1974</v>
      </c>
      <c r="G445" s="375" t="s">
        <v>2547</v>
      </c>
      <c r="H445" s="368">
        <v>21</v>
      </c>
      <c r="I445" s="368"/>
      <c r="J445" s="369"/>
      <c r="K445" s="222"/>
      <c r="L445" s="140"/>
      <c r="N445" s="140"/>
    </row>
    <row r="446" spans="1:14" s="6" customFormat="1">
      <c r="A446" s="373" t="s">
        <v>2537</v>
      </c>
      <c r="B446" s="375" t="s">
        <v>2551</v>
      </c>
      <c r="C446" s="272">
        <v>41913196</v>
      </c>
      <c r="D446" s="272"/>
      <c r="E446" s="272"/>
      <c r="F446" s="375" t="s">
        <v>1974</v>
      </c>
      <c r="G446" s="375" t="s">
        <v>2548</v>
      </c>
      <c r="H446" s="368">
        <v>22</v>
      </c>
      <c r="I446" s="368"/>
      <c r="J446" s="369"/>
      <c r="K446" s="222"/>
      <c r="L446" s="140"/>
      <c r="N446" s="140"/>
    </row>
    <row r="447" spans="1:14" s="6" customFormat="1">
      <c r="A447" s="373" t="s">
        <v>2537</v>
      </c>
      <c r="B447" s="467" t="s">
        <v>2552</v>
      </c>
      <c r="C447" s="468">
        <v>31594365</v>
      </c>
      <c r="D447" s="468"/>
      <c r="E447" s="468"/>
      <c r="F447" s="474" t="s">
        <v>1951</v>
      </c>
      <c r="G447" s="474" t="s">
        <v>2553</v>
      </c>
      <c r="H447" s="470">
        <v>22</v>
      </c>
      <c r="I447" s="368"/>
      <c r="J447" s="369"/>
      <c r="K447" s="222"/>
      <c r="L447" s="140"/>
      <c r="N447" s="140"/>
    </row>
    <row r="448" spans="1:14" s="6" customFormat="1">
      <c r="A448" s="380" t="s">
        <v>2562</v>
      </c>
      <c r="B448" s="405" t="s">
        <v>2572</v>
      </c>
      <c r="C448" s="406">
        <v>53294106</v>
      </c>
      <c r="D448" s="406"/>
      <c r="E448" s="406"/>
      <c r="F448" s="405" t="s">
        <v>1901</v>
      </c>
      <c r="G448" s="405" t="s">
        <v>2568</v>
      </c>
      <c r="H448" s="407">
        <v>22</v>
      </c>
      <c r="I448" s="368"/>
      <c r="J448" s="369"/>
      <c r="K448" s="222"/>
      <c r="L448" s="140"/>
      <c r="N448" s="140"/>
    </row>
    <row r="449" spans="1:14" s="6" customFormat="1">
      <c r="A449" s="380" t="s">
        <v>2562</v>
      </c>
      <c r="B449" s="428" t="s">
        <v>2569</v>
      </c>
      <c r="C449" s="97">
        <v>87706539</v>
      </c>
      <c r="D449" s="97" t="s">
        <v>2790</v>
      </c>
      <c r="E449" s="5" t="s">
        <v>2848</v>
      </c>
      <c r="F449" s="382" t="s">
        <v>1948</v>
      </c>
      <c r="G449" s="382" t="s">
        <v>2570</v>
      </c>
      <c r="H449" s="379"/>
      <c r="I449" s="368"/>
      <c r="J449" s="369"/>
      <c r="K449" s="222"/>
      <c r="L449" s="140"/>
      <c r="N449" s="140"/>
    </row>
    <row r="450" spans="1:14" s="6" customFormat="1">
      <c r="A450" s="380" t="s">
        <v>2562</v>
      </c>
      <c r="B450" s="436" t="s">
        <v>2571</v>
      </c>
      <c r="C450" s="97">
        <v>12345678</v>
      </c>
      <c r="D450" s="97"/>
      <c r="E450" s="97" t="s">
        <v>2852</v>
      </c>
      <c r="F450" s="382" t="s">
        <v>2225</v>
      </c>
      <c r="G450" s="382"/>
      <c r="H450" s="379"/>
      <c r="I450" s="368"/>
      <c r="J450" s="369"/>
      <c r="K450" s="526" t="s">
        <v>3085</v>
      </c>
      <c r="L450" s="140"/>
      <c r="N450" s="140"/>
    </row>
    <row r="451" spans="1:14" s="6" customFormat="1">
      <c r="A451" s="380" t="s">
        <v>2562</v>
      </c>
      <c r="B451" s="382" t="s">
        <v>2554</v>
      </c>
      <c r="C451" s="97">
        <v>85577761</v>
      </c>
      <c r="D451" s="97"/>
      <c r="E451" s="97"/>
      <c r="F451" s="382" t="s">
        <v>2322</v>
      </c>
      <c r="G451" s="378" t="s">
        <v>2555</v>
      </c>
      <c r="H451" s="379"/>
      <c r="I451" s="368"/>
      <c r="J451" s="369"/>
      <c r="K451" s="222"/>
      <c r="L451" s="140"/>
      <c r="N451" s="140"/>
    </row>
    <row r="452" spans="1:14" s="6" customFormat="1">
      <c r="A452" s="384" t="s">
        <v>2581</v>
      </c>
      <c r="B452" s="392" t="s">
        <v>2613</v>
      </c>
      <c r="C452" s="272">
        <v>44725328</v>
      </c>
      <c r="D452" s="272"/>
      <c r="E452" s="272"/>
      <c r="F452" s="383" t="s">
        <v>2579</v>
      </c>
      <c r="G452" s="383" t="s">
        <v>2580</v>
      </c>
      <c r="H452" s="368">
        <v>22</v>
      </c>
      <c r="I452" s="368"/>
      <c r="J452" s="369"/>
      <c r="K452" s="222"/>
      <c r="L452" s="140"/>
      <c r="N452" s="140"/>
    </row>
    <row r="453" spans="1:14" s="6" customFormat="1">
      <c r="A453" s="384" t="s">
        <v>2581</v>
      </c>
      <c r="B453" s="467" t="s">
        <v>2584</v>
      </c>
      <c r="C453" s="468">
        <v>93192009</v>
      </c>
      <c r="D453" s="468"/>
      <c r="E453" s="468"/>
      <c r="F453" s="469" t="s">
        <v>2091</v>
      </c>
      <c r="G453" s="467" t="s">
        <v>2585</v>
      </c>
      <c r="H453" s="470">
        <v>22</v>
      </c>
      <c r="I453" s="368"/>
      <c r="J453" s="369"/>
      <c r="K453" s="222"/>
      <c r="L453" s="140"/>
      <c r="N453" s="140"/>
    </row>
    <row r="454" spans="1:14" s="6" customFormat="1">
      <c r="A454" s="384" t="s">
        <v>2581</v>
      </c>
      <c r="B454" s="424" t="s">
        <v>2586</v>
      </c>
      <c r="C454" s="385" t="s">
        <v>2587</v>
      </c>
      <c r="D454" s="97"/>
      <c r="E454" s="97" t="s">
        <v>1688</v>
      </c>
      <c r="F454" s="385" t="s">
        <v>2245</v>
      </c>
      <c r="G454" s="385" t="s">
        <v>2588</v>
      </c>
      <c r="H454" s="379"/>
      <c r="I454" s="368"/>
      <c r="J454" s="369"/>
      <c r="K454" s="222"/>
      <c r="L454" s="140"/>
      <c r="N454" s="140"/>
    </row>
    <row r="455" spans="1:14" s="6" customFormat="1">
      <c r="A455" s="384" t="s">
        <v>2581</v>
      </c>
      <c r="B455" s="383" t="s">
        <v>2589</v>
      </c>
      <c r="C455" s="272">
        <v>75518176</v>
      </c>
      <c r="D455" s="272"/>
      <c r="E455" s="272"/>
      <c r="F455" s="383" t="s">
        <v>2100</v>
      </c>
      <c r="G455" s="383" t="s">
        <v>2590</v>
      </c>
      <c r="H455" s="368">
        <v>22</v>
      </c>
      <c r="I455" s="368"/>
      <c r="J455" s="369"/>
      <c r="K455" s="222"/>
      <c r="L455" s="140"/>
      <c r="N455" s="140"/>
    </row>
    <row r="456" spans="1:14" s="6" customFormat="1">
      <c r="A456" s="384" t="s">
        <v>2581</v>
      </c>
      <c r="B456" s="383" t="s">
        <v>2591</v>
      </c>
      <c r="C456" s="272"/>
      <c r="D456" s="272"/>
      <c r="E456" s="272"/>
      <c r="F456" s="383" t="s">
        <v>691</v>
      </c>
      <c r="G456" s="383" t="s">
        <v>2592</v>
      </c>
      <c r="H456" s="368">
        <v>22</v>
      </c>
      <c r="I456" s="368"/>
      <c r="J456" s="369"/>
      <c r="K456" s="222"/>
      <c r="L456" s="140"/>
      <c r="N456" s="140"/>
    </row>
    <row r="457" spans="1:14" s="6" customFormat="1">
      <c r="A457" s="384" t="s">
        <v>2581</v>
      </c>
      <c r="B457" s="383" t="s">
        <v>2593</v>
      </c>
      <c r="C457" s="272">
        <v>64624664</v>
      </c>
      <c r="D457" s="272"/>
      <c r="E457" s="272"/>
      <c r="F457" s="383" t="s">
        <v>691</v>
      </c>
      <c r="G457" s="383" t="s">
        <v>2594</v>
      </c>
      <c r="H457" s="368">
        <v>22</v>
      </c>
      <c r="I457" s="368"/>
      <c r="J457" s="369"/>
      <c r="K457" s="222"/>
      <c r="L457" s="140"/>
      <c r="N457" s="140"/>
    </row>
    <row r="458" spans="1:14" s="6" customFormat="1">
      <c r="A458" s="384" t="s">
        <v>2581</v>
      </c>
      <c r="B458" s="383" t="s">
        <v>2595</v>
      </c>
      <c r="C458" s="272">
        <v>37857257</v>
      </c>
      <c r="D458" s="272"/>
      <c r="E458" s="272"/>
      <c r="F458" s="383" t="s">
        <v>2596</v>
      </c>
      <c r="G458" s="383" t="s">
        <v>2597</v>
      </c>
      <c r="H458" s="368">
        <v>21</v>
      </c>
      <c r="I458" s="368"/>
      <c r="J458" s="369"/>
      <c r="K458" s="222"/>
      <c r="L458" s="140"/>
      <c r="N458" s="140"/>
    </row>
    <row r="459" spans="1:14" s="6" customFormat="1">
      <c r="A459" s="384" t="s">
        <v>2581</v>
      </c>
      <c r="B459" s="486" t="s">
        <v>2600</v>
      </c>
      <c r="C459" s="97">
        <v>49518450</v>
      </c>
      <c r="D459" s="97"/>
      <c r="E459" s="97"/>
      <c r="F459" s="385" t="s">
        <v>2601</v>
      </c>
      <c r="G459" s="385" t="s">
        <v>2602</v>
      </c>
      <c r="H459" s="379">
        <v>21.5</v>
      </c>
      <c r="I459" s="368">
        <v>5</v>
      </c>
      <c r="J459" s="369"/>
      <c r="K459" s="222"/>
      <c r="L459" s="140"/>
      <c r="N459" s="140"/>
    </row>
    <row r="460" spans="1:14" s="6" customFormat="1">
      <c r="A460" s="384" t="s">
        <v>2581</v>
      </c>
      <c r="B460" s="467" t="s">
        <v>2603</v>
      </c>
      <c r="C460" s="468">
        <v>42859373</v>
      </c>
      <c r="D460" s="468"/>
      <c r="E460" s="468"/>
      <c r="F460" s="469" t="s">
        <v>2091</v>
      </c>
      <c r="G460" s="469" t="s">
        <v>2604</v>
      </c>
      <c r="H460" s="470">
        <v>21</v>
      </c>
      <c r="I460" s="368"/>
      <c r="J460" s="369"/>
      <c r="K460" s="222"/>
      <c r="L460" s="140"/>
      <c r="N460" s="140"/>
    </row>
    <row r="461" spans="1:14" s="6" customFormat="1">
      <c r="A461" s="384"/>
      <c r="B461" s="385" t="s">
        <v>2605</v>
      </c>
      <c r="C461" s="97"/>
      <c r="D461" s="97"/>
      <c r="E461" s="97"/>
      <c r="F461" s="385" t="s">
        <v>1951</v>
      </c>
      <c r="G461" s="385" t="s">
        <v>1951</v>
      </c>
      <c r="H461" s="379"/>
      <c r="I461" s="368"/>
      <c r="J461" s="369"/>
      <c r="K461" s="222"/>
      <c r="L461" s="140"/>
      <c r="N461" s="140"/>
    </row>
    <row r="462" spans="1:14" s="6" customFormat="1">
      <c r="A462" s="393" t="s">
        <v>2612</v>
      </c>
      <c r="B462" s="392" t="s">
        <v>2614</v>
      </c>
      <c r="C462" s="272">
        <v>33926533</v>
      </c>
      <c r="D462" s="272"/>
      <c r="E462" s="272"/>
      <c r="F462" s="392" t="s">
        <v>1974</v>
      </c>
      <c r="G462" s="392" t="s">
        <v>2615</v>
      </c>
      <c r="H462" s="368">
        <v>21</v>
      </c>
      <c r="I462" s="368"/>
      <c r="J462" s="369"/>
      <c r="K462" s="222"/>
      <c r="L462" s="140"/>
      <c r="N462" s="140"/>
    </row>
    <row r="463" spans="1:14" s="6" customFormat="1">
      <c r="A463" s="393" t="s">
        <v>2612</v>
      </c>
      <c r="B463" s="486" t="s">
        <v>2616</v>
      </c>
      <c r="C463" s="97">
        <v>91984367</v>
      </c>
      <c r="D463" s="97"/>
      <c r="E463" s="97"/>
      <c r="F463" s="488" t="s">
        <v>2046</v>
      </c>
      <c r="G463" s="488" t="s">
        <v>2617</v>
      </c>
      <c r="H463" s="379"/>
      <c r="I463" s="368"/>
      <c r="J463" s="369"/>
      <c r="K463" s="222"/>
      <c r="L463" s="140"/>
      <c r="M463" s="6" t="s">
        <v>3064</v>
      </c>
      <c r="N463" s="140"/>
    </row>
    <row r="464" spans="1:14" s="6" customFormat="1">
      <c r="A464" s="393" t="s">
        <v>2612</v>
      </c>
      <c r="B464" s="491" t="s">
        <v>2618</v>
      </c>
      <c r="C464" s="272">
        <v>96707115</v>
      </c>
      <c r="D464" s="272"/>
      <c r="E464" s="272"/>
      <c r="F464" s="392" t="s">
        <v>1926</v>
      </c>
      <c r="G464" s="392" t="s">
        <v>2619</v>
      </c>
      <c r="H464" s="368">
        <v>22</v>
      </c>
      <c r="I464" s="368"/>
      <c r="J464" s="369"/>
      <c r="K464" s="222"/>
      <c r="L464" s="140"/>
      <c r="N464" s="140"/>
    </row>
    <row r="465" spans="1:14" s="6" customFormat="1">
      <c r="A465" s="393" t="s">
        <v>2612</v>
      </c>
      <c r="B465" s="421" t="s">
        <v>2621</v>
      </c>
      <c r="C465" s="272">
        <v>69670834</v>
      </c>
      <c r="D465" s="272"/>
      <c r="E465" s="272"/>
      <c r="F465" s="396" t="s">
        <v>551</v>
      </c>
      <c r="G465" s="396" t="s">
        <v>2627</v>
      </c>
      <c r="H465" s="368">
        <v>22</v>
      </c>
      <c r="I465" s="368"/>
      <c r="J465" s="369"/>
      <c r="K465" s="222"/>
      <c r="L465" s="140"/>
      <c r="N465" s="140"/>
    </row>
    <row r="466" spans="1:14" s="6" customFormat="1">
      <c r="A466" s="394" t="s">
        <v>2612</v>
      </c>
      <c r="B466" s="421" t="s">
        <v>2628</v>
      </c>
      <c r="C466" s="272">
        <v>34917780</v>
      </c>
      <c r="D466" s="272"/>
      <c r="E466" s="272"/>
      <c r="F466" s="396" t="s">
        <v>2596</v>
      </c>
      <c r="G466" s="396" t="s">
        <v>2629</v>
      </c>
      <c r="H466" s="368">
        <v>22</v>
      </c>
      <c r="I466" s="368"/>
      <c r="J466" s="369"/>
      <c r="K466" s="222"/>
      <c r="L466" s="140"/>
      <c r="N466" s="140"/>
    </row>
    <row r="467" spans="1:14" s="6" customFormat="1">
      <c r="A467" s="394" t="s">
        <v>2612</v>
      </c>
      <c r="B467" s="396" t="s">
        <v>2630</v>
      </c>
      <c r="C467" s="272">
        <v>23997312</v>
      </c>
      <c r="D467" s="272"/>
      <c r="E467" s="272"/>
      <c r="F467" s="396" t="s">
        <v>2231</v>
      </c>
      <c r="G467" s="396" t="s">
        <v>2631</v>
      </c>
      <c r="H467" s="368">
        <v>21</v>
      </c>
      <c r="I467" s="368"/>
      <c r="J467" s="369"/>
      <c r="K467" s="222"/>
      <c r="L467" s="140"/>
      <c r="N467" s="140"/>
    </row>
    <row r="468" spans="1:14" s="6" customFormat="1">
      <c r="A468" s="394" t="s">
        <v>2612</v>
      </c>
      <c r="B468" s="396" t="s">
        <v>2633</v>
      </c>
      <c r="C468" s="272">
        <v>34370884</v>
      </c>
      <c r="D468" s="272"/>
      <c r="E468" s="272"/>
      <c r="F468" s="396" t="s">
        <v>1914</v>
      </c>
      <c r="G468" s="396" t="s">
        <v>2634</v>
      </c>
      <c r="H468" s="368">
        <v>26</v>
      </c>
      <c r="I468" s="368"/>
      <c r="J468" s="369"/>
      <c r="K468" s="222"/>
      <c r="L468" s="140"/>
      <c r="N468" s="140"/>
    </row>
    <row r="469" spans="1:14" s="6" customFormat="1">
      <c r="A469" s="399" t="s">
        <v>2637</v>
      </c>
      <c r="B469" s="398" t="s">
        <v>2636</v>
      </c>
      <c r="C469" s="272">
        <v>34007786</v>
      </c>
      <c r="D469" s="272"/>
      <c r="E469" s="272"/>
      <c r="F469" s="398" t="s">
        <v>2638</v>
      </c>
      <c r="G469" s="398" t="s">
        <v>2639</v>
      </c>
      <c r="H469" s="368">
        <v>22</v>
      </c>
      <c r="I469" s="368"/>
      <c r="J469" s="369"/>
      <c r="K469" s="222"/>
      <c r="L469" s="140"/>
      <c r="N469" s="140"/>
    </row>
    <row r="470" spans="1:14" s="6" customFormat="1">
      <c r="A470" s="399" t="s">
        <v>2637</v>
      </c>
      <c r="B470" s="434" t="s">
        <v>2642</v>
      </c>
      <c r="C470" s="272">
        <v>42760020</v>
      </c>
      <c r="D470" s="272"/>
      <c r="E470" s="272"/>
      <c r="F470" s="398" t="s">
        <v>2643</v>
      </c>
      <c r="G470" s="398" t="s">
        <v>2644</v>
      </c>
      <c r="H470" s="368">
        <v>22</v>
      </c>
      <c r="I470" s="368"/>
      <c r="J470" s="369"/>
      <c r="K470" s="222"/>
      <c r="L470" s="140"/>
      <c r="N470" s="140"/>
    </row>
    <row r="471" spans="1:14" s="6" customFormat="1">
      <c r="A471" s="399" t="s">
        <v>2637</v>
      </c>
      <c r="B471" s="398" t="s">
        <v>2640</v>
      </c>
      <c r="C471" s="272">
        <v>79530656</v>
      </c>
      <c r="D471" s="272"/>
      <c r="E471" s="272"/>
      <c r="F471" s="398" t="s">
        <v>2646</v>
      </c>
      <c r="G471" s="398" t="s">
        <v>2647</v>
      </c>
      <c r="H471" s="368">
        <v>22</v>
      </c>
      <c r="I471" s="368"/>
      <c r="J471" s="369"/>
      <c r="K471" s="222"/>
      <c r="L471" s="140"/>
      <c r="N471" s="140"/>
    </row>
    <row r="472" spans="1:14" s="6" customFormat="1">
      <c r="A472" s="399" t="s">
        <v>2637</v>
      </c>
      <c r="B472" s="428" t="s">
        <v>2648</v>
      </c>
      <c r="C472" s="97">
        <v>20485818</v>
      </c>
      <c r="D472" s="97" t="s">
        <v>2790</v>
      </c>
      <c r="E472" s="5" t="s">
        <v>1688</v>
      </c>
      <c r="F472" s="430" t="s">
        <v>2416</v>
      </c>
      <c r="G472" s="430" t="s">
        <v>2649</v>
      </c>
      <c r="H472" s="379"/>
      <c r="I472" s="368"/>
      <c r="J472" s="369"/>
      <c r="K472" s="500" t="s">
        <v>3017</v>
      </c>
      <c r="L472" s="140"/>
      <c r="N472" s="140"/>
    </row>
    <row r="473" spans="1:14" s="6" customFormat="1">
      <c r="A473" s="399" t="s">
        <v>2637</v>
      </c>
      <c r="B473" s="398" t="s">
        <v>2641</v>
      </c>
      <c r="C473" s="272">
        <v>80150701</v>
      </c>
      <c r="D473" s="272"/>
      <c r="E473" s="272"/>
      <c r="F473" s="398" t="s">
        <v>2043</v>
      </c>
      <c r="G473" s="398" t="s">
        <v>2650</v>
      </c>
      <c r="H473" s="368">
        <v>22</v>
      </c>
      <c r="I473" s="368"/>
      <c r="J473" s="369"/>
      <c r="K473" s="222"/>
      <c r="L473" s="140"/>
      <c r="N473" s="140"/>
    </row>
    <row r="474" spans="1:14" s="6" customFormat="1">
      <c r="A474" s="399" t="s">
        <v>2637</v>
      </c>
      <c r="B474" s="477" t="s">
        <v>2645</v>
      </c>
      <c r="C474" s="272">
        <v>87575498</v>
      </c>
      <c r="D474" s="272"/>
      <c r="E474" s="272"/>
      <c r="F474" s="398" t="s">
        <v>1929</v>
      </c>
      <c r="G474" s="398" t="s">
        <v>2651</v>
      </c>
      <c r="H474" s="368">
        <v>22</v>
      </c>
      <c r="I474" s="368"/>
      <c r="J474" s="369"/>
      <c r="K474" s="222"/>
      <c r="L474" s="140"/>
      <c r="N474" s="140"/>
    </row>
    <row r="475" spans="1:14" s="6" customFormat="1">
      <c r="A475" s="399" t="s">
        <v>2637</v>
      </c>
      <c r="B475" s="491" t="s">
        <v>2652</v>
      </c>
      <c r="C475" s="272"/>
      <c r="D475" s="272"/>
      <c r="E475" s="272"/>
      <c r="F475" s="398" t="s">
        <v>2501</v>
      </c>
      <c r="G475" s="398" t="s">
        <v>2653</v>
      </c>
      <c r="H475" s="368">
        <v>22</v>
      </c>
      <c r="I475" s="491" t="s">
        <v>3025</v>
      </c>
      <c r="J475" s="369"/>
      <c r="K475" s="222"/>
      <c r="L475" s="140"/>
      <c r="N475" s="140"/>
    </row>
    <row r="476" spans="1:14" s="6" customFormat="1">
      <c r="A476" s="403" t="s">
        <v>1985</v>
      </c>
      <c r="B476" s="404" t="s">
        <v>2658</v>
      </c>
      <c r="C476" s="272"/>
      <c r="D476" s="272"/>
      <c r="E476" s="272"/>
      <c r="F476" s="404" t="s">
        <v>2100</v>
      </c>
      <c r="G476" s="404" t="s">
        <v>2659</v>
      </c>
      <c r="H476" s="368">
        <v>22</v>
      </c>
      <c r="I476" s="368"/>
      <c r="J476" s="369"/>
      <c r="K476" s="222"/>
      <c r="L476" s="140"/>
      <c r="N476" s="140"/>
    </row>
    <row r="477" spans="1:14" s="6" customFormat="1">
      <c r="A477" s="403" t="s">
        <v>1985</v>
      </c>
      <c r="B477" s="413" t="s">
        <v>2660</v>
      </c>
      <c r="C477" s="97">
        <v>34261649</v>
      </c>
      <c r="D477" s="97"/>
      <c r="E477" s="97" t="s">
        <v>2847</v>
      </c>
      <c r="F477" s="417" t="s">
        <v>2579</v>
      </c>
      <c r="G477" s="417" t="s">
        <v>2661</v>
      </c>
      <c r="H477" s="379"/>
      <c r="I477" s="407"/>
      <c r="J477" s="369">
        <v>11.9</v>
      </c>
      <c r="K477" s="222"/>
      <c r="L477" s="140"/>
      <c r="N477" s="140"/>
    </row>
    <row r="478" spans="1:14" s="6" customFormat="1">
      <c r="A478" s="408" t="s">
        <v>2662</v>
      </c>
      <c r="B478" s="409" t="s">
        <v>2665</v>
      </c>
      <c r="C478" s="272"/>
      <c r="D478" s="272"/>
      <c r="E478" s="272"/>
      <c r="F478" s="409" t="s">
        <v>1974</v>
      </c>
      <c r="G478" s="409" t="s">
        <v>2668</v>
      </c>
      <c r="H478" s="368">
        <v>22</v>
      </c>
      <c r="I478" s="368"/>
      <c r="J478" s="369"/>
      <c r="K478" s="222"/>
      <c r="L478" s="140"/>
      <c r="N478" s="140"/>
    </row>
    <row r="479" spans="1:14" s="6" customFormat="1">
      <c r="A479" s="408" t="s">
        <v>2662</v>
      </c>
      <c r="B479" s="409" t="s">
        <v>2670</v>
      </c>
      <c r="C479" s="272"/>
      <c r="D479" s="272"/>
      <c r="E479" s="272"/>
      <c r="F479" s="409" t="s">
        <v>2307</v>
      </c>
      <c r="G479" s="409" t="s">
        <v>2671</v>
      </c>
      <c r="H479" s="368">
        <v>20</v>
      </c>
      <c r="I479" s="368"/>
      <c r="J479" s="369"/>
      <c r="K479" s="222"/>
      <c r="L479" s="140"/>
      <c r="N479" s="140"/>
    </row>
    <row r="480" spans="1:14" s="6" customFormat="1">
      <c r="A480" s="408" t="s">
        <v>2662</v>
      </c>
      <c r="B480" s="409" t="s">
        <v>2675</v>
      </c>
      <c r="C480" s="272">
        <v>12941040</v>
      </c>
      <c r="D480" s="272"/>
      <c r="E480" s="272"/>
      <c r="F480" s="409" t="s">
        <v>1974</v>
      </c>
      <c r="G480" s="409" t="s">
        <v>2676</v>
      </c>
      <c r="H480" s="368">
        <v>21</v>
      </c>
      <c r="I480" s="368"/>
      <c r="J480" s="369">
        <v>22</v>
      </c>
      <c r="K480" s="222"/>
      <c r="L480" s="140"/>
      <c r="N480" s="140"/>
    </row>
    <row r="481" spans="1:14" s="6" customFormat="1">
      <c r="A481" s="408" t="s">
        <v>2662</v>
      </c>
      <c r="B481" s="409" t="s">
        <v>2672</v>
      </c>
      <c r="C481" s="272">
        <v>58497897</v>
      </c>
      <c r="D481" s="272"/>
      <c r="E481" s="272"/>
      <c r="F481" s="409" t="s">
        <v>960</v>
      </c>
      <c r="G481" s="409" t="s">
        <v>2677</v>
      </c>
      <c r="H481" s="368">
        <v>28</v>
      </c>
      <c r="I481" s="368"/>
      <c r="J481" s="369"/>
      <c r="K481" s="222"/>
      <c r="L481" s="140"/>
      <c r="N481" s="140"/>
    </row>
    <row r="482" spans="1:14" s="6" customFormat="1">
      <c r="A482" s="415" t="s">
        <v>2682</v>
      </c>
      <c r="B482" s="436" t="s">
        <v>2687</v>
      </c>
      <c r="C482" s="97">
        <v>43381629</v>
      </c>
      <c r="D482" s="97"/>
      <c r="E482" s="97" t="s">
        <v>2847</v>
      </c>
      <c r="F482" s="413" t="s">
        <v>1958</v>
      </c>
      <c r="G482" s="413" t="s">
        <v>2688</v>
      </c>
      <c r="H482" s="379"/>
      <c r="I482" s="368"/>
      <c r="J482" s="419">
        <v>22</v>
      </c>
      <c r="K482" s="222"/>
      <c r="L482" s="140"/>
      <c r="N482" s="140"/>
    </row>
    <row r="483" spans="1:14" s="6" customFormat="1">
      <c r="A483" s="415" t="s">
        <v>2682</v>
      </c>
      <c r="B483" s="436" t="s">
        <v>2689</v>
      </c>
      <c r="C483" s="97">
        <v>96780189</v>
      </c>
      <c r="D483" s="97"/>
      <c r="E483" s="97" t="s">
        <v>1273</v>
      </c>
      <c r="F483" s="413" t="s">
        <v>1948</v>
      </c>
      <c r="G483" s="413" t="s">
        <v>2690</v>
      </c>
      <c r="H483" s="379">
        <v>26.5</v>
      </c>
      <c r="I483" s="368">
        <v>5</v>
      </c>
      <c r="J483" s="369"/>
      <c r="K483" s="222"/>
      <c r="L483" s="140"/>
      <c r="N483" s="140"/>
    </row>
    <row r="484" spans="1:14" s="6" customFormat="1">
      <c r="A484" s="415" t="s">
        <v>2682</v>
      </c>
      <c r="B484" s="461" t="s">
        <v>2691</v>
      </c>
      <c r="C484" s="97">
        <v>48093129</v>
      </c>
      <c r="D484" s="97"/>
      <c r="E484" s="97"/>
      <c r="F484" s="413" t="s">
        <v>2692</v>
      </c>
      <c r="G484" s="413" t="s">
        <v>2693</v>
      </c>
      <c r="H484" s="379"/>
      <c r="I484" s="368"/>
      <c r="J484" s="369"/>
      <c r="K484" s="222"/>
      <c r="L484" s="140"/>
      <c r="N484" s="140"/>
    </row>
    <row r="485" spans="1:14" s="6" customFormat="1">
      <c r="A485" s="415" t="s">
        <v>2682</v>
      </c>
      <c r="B485" s="421" t="s">
        <v>2698</v>
      </c>
      <c r="C485" s="272">
        <v>51229140</v>
      </c>
      <c r="D485" s="272"/>
      <c r="E485" s="272"/>
      <c r="F485" s="416" t="s">
        <v>597</v>
      </c>
      <c r="G485" s="416" t="s">
        <v>597</v>
      </c>
      <c r="H485" s="368">
        <v>22</v>
      </c>
      <c r="I485" s="368"/>
      <c r="J485" s="369"/>
      <c r="K485" s="222"/>
      <c r="L485" s="140"/>
      <c r="N485" s="140"/>
    </row>
    <row r="486" spans="1:14" s="6" customFormat="1">
      <c r="A486" s="420" t="s">
        <v>2699</v>
      </c>
      <c r="B486" s="460" t="s">
        <v>2844</v>
      </c>
      <c r="C486" s="272">
        <v>83204450</v>
      </c>
      <c r="D486" s="272"/>
      <c r="E486" s="272"/>
      <c r="F486" s="434" t="s">
        <v>2091</v>
      </c>
      <c r="G486" s="434" t="s">
        <v>2700</v>
      </c>
      <c r="H486" s="368">
        <v>22</v>
      </c>
      <c r="I486" s="368"/>
      <c r="J486" s="421" t="s">
        <v>108</v>
      </c>
      <c r="K486" s="222"/>
      <c r="L486" s="140"/>
      <c r="N486" s="140"/>
    </row>
    <row r="487" spans="1:14" s="6" customFormat="1">
      <c r="A487" s="420" t="s">
        <v>2699</v>
      </c>
      <c r="B487" s="421" t="s">
        <v>2701</v>
      </c>
      <c r="C487" s="272"/>
      <c r="D487" s="272"/>
      <c r="E487" s="272"/>
      <c r="F487" s="421" t="s">
        <v>960</v>
      </c>
      <c r="G487" s="421" t="s">
        <v>2702</v>
      </c>
      <c r="H487" s="368">
        <v>22</v>
      </c>
      <c r="I487" s="368"/>
      <c r="J487" s="369"/>
      <c r="K487" s="222"/>
      <c r="L487" s="140"/>
      <c r="N487" s="140"/>
    </row>
    <row r="488" spans="1:14" s="6" customFormat="1">
      <c r="A488" s="420" t="s">
        <v>2699</v>
      </c>
      <c r="B488" s="421" t="s">
        <v>2703</v>
      </c>
      <c r="C488" s="272"/>
      <c r="D488" s="272"/>
      <c r="E488" s="272"/>
      <c r="F488" s="421" t="s">
        <v>1927</v>
      </c>
      <c r="G488" s="421" t="s">
        <v>2704</v>
      </c>
      <c r="H488" s="368">
        <v>23</v>
      </c>
      <c r="I488" s="368"/>
      <c r="J488" s="369"/>
      <c r="K488" s="222"/>
      <c r="L488" s="140"/>
      <c r="N488" s="140"/>
    </row>
    <row r="489" spans="1:14" s="6" customFormat="1">
      <c r="A489" s="420" t="s">
        <v>2699</v>
      </c>
      <c r="B489" s="424" t="s">
        <v>2705</v>
      </c>
      <c r="C489" s="97">
        <v>20966920</v>
      </c>
      <c r="D489" s="97"/>
      <c r="E489" s="97" t="s">
        <v>2847</v>
      </c>
      <c r="F489" s="425" t="s">
        <v>2225</v>
      </c>
      <c r="G489" s="425" t="s">
        <v>2706</v>
      </c>
      <c r="H489" s="379"/>
      <c r="I489" s="368"/>
      <c r="J489" s="369">
        <v>23</v>
      </c>
      <c r="K489" s="222"/>
      <c r="L489" s="140"/>
      <c r="N489" s="140"/>
    </row>
    <row r="490" spans="1:14" s="6" customFormat="1">
      <c r="A490" s="423" t="s">
        <v>2707</v>
      </c>
      <c r="B490" s="422" t="s">
        <v>2708</v>
      </c>
      <c r="C490" s="272"/>
      <c r="D490" s="272" t="s">
        <v>2709</v>
      </c>
      <c r="E490" s="272"/>
      <c r="F490" s="422" t="s">
        <v>1927</v>
      </c>
      <c r="G490" s="422" t="s">
        <v>2712</v>
      </c>
      <c r="H490" s="368">
        <v>23</v>
      </c>
      <c r="I490" s="368"/>
      <c r="J490" s="369"/>
      <c r="K490" s="222"/>
      <c r="L490" s="140"/>
      <c r="N490" s="140"/>
    </row>
    <row r="491" spans="1:14" s="6" customFormat="1">
      <c r="A491" s="423" t="s">
        <v>2707</v>
      </c>
      <c r="B491" s="422" t="s">
        <v>2710</v>
      </c>
      <c r="C491" s="272"/>
      <c r="D491" s="272"/>
      <c r="E491" s="272"/>
      <c r="F491" s="422" t="s">
        <v>1927</v>
      </c>
      <c r="G491" s="422" t="s">
        <v>2711</v>
      </c>
      <c r="H491" s="368">
        <v>23</v>
      </c>
      <c r="I491" s="368"/>
      <c r="J491" s="369"/>
      <c r="K491" s="222"/>
      <c r="L491" s="140"/>
      <c r="N491" s="140"/>
    </row>
    <row r="492" spans="1:14" s="6" customFormat="1">
      <c r="A492" s="423" t="s">
        <v>2707</v>
      </c>
      <c r="B492" s="422" t="s">
        <v>2713</v>
      </c>
      <c r="C492" s="272"/>
      <c r="D492" s="272"/>
      <c r="E492" s="272"/>
      <c r="F492" s="422" t="s">
        <v>1974</v>
      </c>
      <c r="G492" s="422" t="s">
        <v>2718</v>
      </c>
      <c r="H492" s="368">
        <v>21</v>
      </c>
      <c r="I492" s="368"/>
      <c r="J492" s="369"/>
      <c r="K492" s="222"/>
      <c r="L492" s="140"/>
      <c r="N492" s="140"/>
    </row>
    <row r="493" spans="1:14" s="6" customFormat="1">
      <c r="A493" s="423" t="s">
        <v>2707</v>
      </c>
      <c r="B493" s="422" t="s">
        <v>2714</v>
      </c>
      <c r="C493" s="272"/>
      <c r="D493" s="272"/>
      <c r="E493" s="272"/>
      <c r="F493" s="422" t="s">
        <v>1974</v>
      </c>
      <c r="G493" s="422" t="s">
        <v>2719</v>
      </c>
      <c r="H493" s="368">
        <v>25</v>
      </c>
      <c r="I493" s="368"/>
      <c r="J493" s="369"/>
      <c r="K493" s="222"/>
      <c r="L493" s="140"/>
      <c r="N493" s="140"/>
    </row>
    <row r="494" spans="1:14" s="6" customFormat="1">
      <c r="A494" s="423" t="s">
        <v>2707</v>
      </c>
      <c r="B494" s="422" t="s">
        <v>2720</v>
      </c>
      <c r="C494" s="272"/>
      <c r="D494" s="272"/>
      <c r="E494" s="272"/>
      <c r="F494" s="422" t="s">
        <v>2225</v>
      </c>
      <c r="G494" s="422" t="s">
        <v>2723</v>
      </c>
      <c r="H494" s="368">
        <v>21.5</v>
      </c>
      <c r="I494" s="368"/>
      <c r="J494" s="369"/>
      <c r="K494" s="222"/>
      <c r="L494" s="140"/>
      <c r="N494" s="140"/>
    </row>
    <row r="495" spans="1:14" s="6" customFormat="1">
      <c r="A495" s="423" t="s">
        <v>2707</v>
      </c>
      <c r="B495" s="422" t="s">
        <v>2721</v>
      </c>
      <c r="C495" s="272"/>
      <c r="D495" s="272"/>
      <c r="E495" s="272"/>
      <c r="F495" s="422" t="s">
        <v>2225</v>
      </c>
      <c r="G495" s="422" t="s">
        <v>2722</v>
      </c>
      <c r="H495" s="368">
        <v>21.5</v>
      </c>
      <c r="I495" s="368"/>
      <c r="J495" s="369"/>
      <c r="K495" s="222"/>
      <c r="L495" s="140"/>
      <c r="N495" s="140"/>
    </row>
    <row r="496" spans="1:14" s="6" customFormat="1">
      <c r="A496" s="423" t="s">
        <v>2724</v>
      </c>
      <c r="B496" s="422" t="s">
        <v>2725</v>
      </c>
      <c r="C496" s="272"/>
      <c r="D496" s="272"/>
      <c r="E496" s="272"/>
      <c r="F496" s="422" t="s">
        <v>1927</v>
      </c>
      <c r="G496" s="422" t="s">
        <v>2726</v>
      </c>
      <c r="H496" s="368">
        <v>23</v>
      </c>
      <c r="I496" s="368"/>
      <c r="J496" s="369"/>
      <c r="K496" s="222"/>
      <c r="L496" s="140"/>
      <c r="N496" s="140"/>
    </row>
    <row r="497" spans="1:14" s="6" customFormat="1">
      <c r="A497" s="423" t="s">
        <v>2724</v>
      </c>
      <c r="B497" s="422" t="s">
        <v>2727</v>
      </c>
      <c r="C497" s="272"/>
      <c r="D497" s="272"/>
      <c r="E497" s="272"/>
      <c r="F497" s="422" t="s">
        <v>1927</v>
      </c>
      <c r="G497" s="422" t="s">
        <v>2728</v>
      </c>
      <c r="H497" s="368">
        <v>23</v>
      </c>
      <c r="I497" s="368"/>
      <c r="J497" s="369"/>
      <c r="K497" s="222"/>
      <c r="L497" s="140"/>
      <c r="N497" s="140"/>
    </row>
    <row r="498" spans="1:14" s="6" customFormat="1">
      <c r="A498" s="423" t="s">
        <v>2724</v>
      </c>
      <c r="B498" s="422" t="s">
        <v>2729</v>
      </c>
      <c r="C498" s="272"/>
      <c r="D498" s="272"/>
      <c r="E498" s="272"/>
      <c r="F498" s="422" t="s">
        <v>1929</v>
      </c>
      <c r="G498" s="422" t="s">
        <v>2730</v>
      </c>
      <c r="H498" s="368">
        <v>22</v>
      </c>
      <c r="I498" s="368"/>
      <c r="J498" s="369"/>
      <c r="K498" s="222"/>
      <c r="L498" s="140"/>
      <c r="N498" s="140"/>
    </row>
    <row r="499" spans="1:14" s="6" customFormat="1">
      <c r="A499" s="423" t="s">
        <v>2731</v>
      </c>
      <c r="B499" s="460" t="s">
        <v>2732</v>
      </c>
      <c r="C499" s="272">
        <v>62308577</v>
      </c>
      <c r="D499" s="272"/>
      <c r="E499" s="272"/>
      <c r="F499" s="426" t="s">
        <v>2283</v>
      </c>
      <c r="G499" s="422" t="s">
        <v>2733</v>
      </c>
      <c r="H499" s="368">
        <v>22</v>
      </c>
      <c r="I499" s="368"/>
      <c r="J499" s="369"/>
      <c r="K499" s="222"/>
      <c r="L499" s="140"/>
      <c r="N499" s="140"/>
    </row>
    <row r="500" spans="1:14" s="6" customFormat="1">
      <c r="A500" s="423" t="s">
        <v>2731</v>
      </c>
      <c r="B500" s="422" t="s">
        <v>2734</v>
      </c>
      <c r="C500" s="272"/>
      <c r="D500" s="272"/>
      <c r="E500" s="272"/>
      <c r="F500" s="422" t="s">
        <v>1927</v>
      </c>
      <c r="G500" s="422" t="s">
        <v>2736</v>
      </c>
      <c r="H500" s="368">
        <v>23</v>
      </c>
      <c r="I500" s="368"/>
      <c r="J500" s="369"/>
      <c r="K500" s="222"/>
      <c r="L500" s="140"/>
      <c r="N500" s="140"/>
    </row>
    <row r="501" spans="1:14" s="6" customFormat="1">
      <c r="A501" s="423" t="s">
        <v>2731</v>
      </c>
      <c r="B501" s="422" t="s">
        <v>2735</v>
      </c>
      <c r="C501" s="272"/>
      <c r="D501" s="272"/>
      <c r="E501" s="272"/>
      <c r="F501" s="422" t="s">
        <v>1927</v>
      </c>
      <c r="G501" s="422" t="s">
        <v>2737</v>
      </c>
      <c r="H501" s="368">
        <v>23</v>
      </c>
      <c r="I501" s="368"/>
      <c r="J501" s="369"/>
      <c r="K501" s="222"/>
      <c r="L501" s="140"/>
      <c r="N501" s="140"/>
    </row>
    <row r="502" spans="1:14" s="6" customFormat="1">
      <c r="A502" s="423" t="s">
        <v>2731</v>
      </c>
      <c r="B502" s="422" t="s">
        <v>2738</v>
      </c>
      <c r="C502" s="272"/>
      <c r="D502" s="272" t="s">
        <v>2939</v>
      </c>
      <c r="E502" s="272"/>
      <c r="F502" s="422" t="s">
        <v>2046</v>
      </c>
      <c r="G502" s="422" t="s">
        <v>2739</v>
      </c>
      <c r="H502" s="368">
        <v>22</v>
      </c>
      <c r="I502" s="368"/>
      <c r="J502" s="369"/>
      <c r="K502" s="222"/>
      <c r="L502" s="140"/>
      <c r="N502" s="140"/>
    </row>
    <row r="503" spans="1:14" s="6" customFormat="1">
      <c r="A503" s="423" t="s">
        <v>2731</v>
      </c>
      <c r="B503" s="422" t="s">
        <v>2741</v>
      </c>
      <c r="C503" s="272"/>
      <c r="D503" s="272"/>
      <c r="E503" s="272"/>
      <c r="F503" s="422" t="s">
        <v>1927</v>
      </c>
      <c r="G503" s="422" t="s">
        <v>2742</v>
      </c>
      <c r="H503" s="368">
        <v>23</v>
      </c>
      <c r="I503" s="368"/>
      <c r="J503" s="369"/>
      <c r="K503" s="222"/>
      <c r="L503" s="140"/>
      <c r="N503" s="140"/>
    </row>
    <row r="504" spans="1:14" s="6" customFormat="1">
      <c r="A504" s="423" t="s">
        <v>2743</v>
      </c>
      <c r="B504" s="422" t="s">
        <v>2744</v>
      </c>
      <c r="C504" s="272"/>
      <c r="D504" s="272"/>
      <c r="E504" s="272"/>
      <c r="F504" s="422"/>
      <c r="G504" s="422" t="s">
        <v>2745</v>
      </c>
      <c r="H504" s="368">
        <v>20</v>
      </c>
      <c r="I504" s="368"/>
      <c r="J504" s="369"/>
      <c r="K504" s="222"/>
      <c r="L504" s="140"/>
      <c r="N504" s="140"/>
    </row>
    <row r="505" spans="1:14" s="6" customFormat="1">
      <c r="A505" s="423" t="s">
        <v>2743</v>
      </c>
      <c r="B505" s="422" t="s">
        <v>2746</v>
      </c>
      <c r="C505" s="272">
        <v>18526465</v>
      </c>
      <c r="D505" s="272"/>
      <c r="E505" s="272"/>
      <c r="F505" s="422" t="s">
        <v>1134</v>
      </c>
      <c r="G505" s="422" t="s">
        <v>2747</v>
      </c>
      <c r="H505" s="368">
        <v>22</v>
      </c>
      <c r="I505" s="368"/>
      <c r="J505" s="369"/>
      <c r="K505" s="222"/>
      <c r="L505" s="140"/>
      <c r="N505" s="140"/>
    </row>
    <row r="506" spans="1:14" s="6" customFormat="1">
      <c r="A506" s="423" t="s">
        <v>2743</v>
      </c>
      <c r="B506" s="422" t="s">
        <v>2748</v>
      </c>
      <c r="C506" s="272">
        <v>46915356</v>
      </c>
      <c r="D506" s="272"/>
      <c r="E506" s="272"/>
      <c r="F506" s="422" t="s">
        <v>2100</v>
      </c>
      <c r="G506" s="422" t="s">
        <v>2749</v>
      </c>
      <c r="H506" s="368">
        <v>22</v>
      </c>
      <c r="I506" s="368"/>
      <c r="J506" s="369"/>
      <c r="K506" s="222"/>
      <c r="L506" s="140"/>
      <c r="N506" s="140"/>
    </row>
    <row r="507" spans="1:14" s="6" customFormat="1">
      <c r="A507" s="423" t="s">
        <v>2743</v>
      </c>
      <c r="B507" s="422" t="s">
        <v>2750</v>
      </c>
      <c r="C507" s="272"/>
      <c r="D507" s="272"/>
      <c r="E507" s="272"/>
      <c r="F507" s="422" t="s">
        <v>1927</v>
      </c>
      <c r="G507" s="422" t="s">
        <v>2751</v>
      </c>
      <c r="H507" s="368">
        <v>23</v>
      </c>
      <c r="I507" s="368"/>
      <c r="J507" s="369"/>
      <c r="K507" s="222"/>
      <c r="L507" s="140"/>
      <c r="N507" s="140"/>
    </row>
    <row r="508" spans="1:14" s="6" customFormat="1">
      <c r="A508" s="423" t="s">
        <v>2743</v>
      </c>
      <c r="B508" s="422" t="s">
        <v>2752</v>
      </c>
      <c r="C508" s="272"/>
      <c r="D508" s="272"/>
      <c r="E508" s="272"/>
      <c r="F508" s="422" t="s">
        <v>1927</v>
      </c>
      <c r="G508" s="422" t="s">
        <v>2753</v>
      </c>
      <c r="H508" s="368">
        <v>23</v>
      </c>
      <c r="I508" s="368"/>
      <c r="J508" s="369"/>
      <c r="K508" s="222"/>
      <c r="L508" s="140"/>
      <c r="N508" s="140"/>
    </row>
    <row r="509" spans="1:14" s="6" customFormat="1">
      <c r="A509" s="423" t="s">
        <v>2743</v>
      </c>
      <c r="B509" s="422" t="s">
        <v>2754</v>
      </c>
      <c r="C509" s="272"/>
      <c r="D509" s="272"/>
      <c r="E509" s="272"/>
      <c r="F509" s="422" t="s">
        <v>1927</v>
      </c>
      <c r="G509" s="422" t="s">
        <v>2755</v>
      </c>
      <c r="H509" s="368">
        <v>23</v>
      </c>
      <c r="I509" s="368"/>
      <c r="J509" s="369"/>
      <c r="K509" s="222"/>
      <c r="L509" s="140"/>
      <c r="N509" s="140"/>
    </row>
    <row r="510" spans="1:14" s="6" customFormat="1">
      <c r="A510" s="423" t="s">
        <v>2743</v>
      </c>
      <c r="B510" s="422" t="s">
        <v>2756</v>
      </c>
      <c r="C510" s="272"/>
      <c r="D510" s="272"/>
      <c r="E510" s="272"/>
      <c r="F510" s="422" t="s">
        <v>2757</v>
      </c>
      <c r="G510" s="422" t="s">
        <v>2758</v>
      </c>
      <c r="H510" s="368">
        <v>22</v>
      </c>
      <c r="I510" s="368"/>
      <c r="J510" s="369"/>
      <c r="K510" s="222"/>
      <c r="L510" s="140"/>
      <c r="N510" s="140"/>
    </row>
    <row r="511" spans="1:14" s="6" customFormat="1">
      <c r="A511" s="423" t="s">
        <v>2743</v>
      </c>
      <c r="B511" s="491" t="s">
        <v>2759</v>
      </c>
      <c r="C511" s="272">
        <v>96892684</v>
      </c>
      <c r="D511" s="272"/>
      <c r="E511" s="272"/>
      <c r="F511" s="422" t="s">
        <v>2760</v>
      </c>
      <c r="G511" s="422" t="s">
        <v>2761</v>
      </c>
      <c r="H511" s="368">
        <v>19.75</v>
      </c>
      <c r="I511" s="368"/>
      <c r="J511" s="369"/>
      <c r="K511" s="222"/>
      <c r="L511" s="140"/>
      <c r="N511" s="140"/>
    </row>
    <row r="512" spans="1:14" s="6" customFormat="1">
      <c r="A512" s="423" t="s">
        <v>2743</v>
      </c>
      <c r="B512" s="422" t="s">
        <v>2762</v>
      </c>
      <c r="C512" s="272"/>
      <c r="D512" s="272"/>
      <c r="E512" s="272"/>
      <c r="F512" s="422" t="s">
        <v>1927</v>
      </c>
      <c r="G512" s="422" t="s">
        <v>2763</v>
      </c>
      <c r="H512" s="368">
        <v>23</v>
      </c>
      <c r="I512" s="368"/>
      <c r="J512" s="369"/>
      <c r="K512" s="222"/>
      <c r="L512" s="140"/>
      <c r="N512" s="140"/>
    </row>
    <row r="513" spans="1:14" s="6" customFormat="1">
      <c r="A513" s="423" t="s">
        <v>2743</v>
      </c>
      <c r="B513" s="422" t="s">
        <v>2764</v>
      </c>
      <c r="C513" s="272"/>
      <c r="D513" s="272"/>
      <c r="E513" s="272"/>
      <c r="F513" s="422" t="s">
        <v>1927</v>
      </c>
      <c r="G513" s="422" t="s">
        <v>2765</v>
      </c>
      <c r="H513" s="368">
        <v>23</v>
      </c>
      <c r="I513" s="368"/>
      <c r="J513" s="369"/>
      <c r="K513" s="222"/>
      <c r="L513" s="140"/>
      <c r="N513" s="140"/>
    </row>
    <row r="514" spans="1:14" s="6" customFormat="1">
      <c r="A514" s="423" t="s">
        <v>2743</v>
      </c>
      <c r="B514" s="480" t="s">
        <v>2975</v>
      </c>
      <c r="C514" s="97">
        <v>53911563</v>
      </c>
      <c r="D514" s="97"/>
      <c r="E514" s="97"/>
      <c r="F514" s="424" t="s">
        <v>2766</v>
      </c>
      <c r="G514" s="424" t="s">
        <v>2767</v>
      </c>
      <c r="H514" s="379">
        <v>21</v>
      </c>
      <c r="I514" s="368">
        <v>5</v>
      </c>
      <c r="J514" s="369"/>
      <c r="K514" s="222"/>
      <c r="L514" s="140"/>
      <c r="N514" s="140"/>
    </row>
    <row r="515" spans="1:14" s="6" customFormat="1">
      <c r="A515" s="423" t="s">
        <v>2743</v>
      </c>
      <c r="B515" s="460" t="s">
        <v>2768</v>
      </c>
      <c r="C515" s="272">
        <v>12276952</v>
      </c>
      <c r="D515" s="272" t="s">
        <v>2938</v>
      </c>
      <c r="E515" s="272"/>
      <c r="F515" s="422" t="s">
        <v>2046</v>
      </c>
      <c r="G515" s="422" t="s">
        <v>2769</v>
      </c>
      <c r="H515" s="368">
        <v>22</v>
      </c>
      <c r="I515" s="368"/>
      <c r="J515" s="369"/>
      <c r="K515" s="222"/>
      <c r="L515" s="140"/>
      <c r="N515" s="140"/>
    </row>
    <row r="516" spans="1:14" s="6" customFormat="1">
      <c r="A516" s="423" t="s">
        <v>2743</v>
      </c>
      <c r="B516" s="422" t="s">
        <v>2770</v>
      </c>
      <c r="C516" s="272"/>
      <c r="D516" s="272"/>
      <c r="E516" s="272"/>
      <c r="F516" s="422" t="s">
        <v>2245</v>
      </c>
      <c r="G516" s="422" t="s">
        <v>2771</v>
      </c>
      <c r="H516" s="368">
        <v>22</v>
      </c>
      <c r="I516" s="368"/>
      <c r="J516" s="369"/>
      <c r="K516" s="222"/>
      <c r="L516" s="140"/>
      <c r="N516" s="140"/>
    </row>
    <row r="517" spans="1:14" s="6" customFormat="1">
      <c r="A517" s="423" t="s">
        <v>2743</v>
      </c>
      <c r="B517" s="477" t="s">
        <v>2772</v>
      </c>
      <c r="C517" s="272">
        <v>24478495</v>
      </c>
      <c r="D517" s="272" t="s">
        <v>2956</v>
      </c>
      <c r="E517" s="272"/>
      <c r="F517" s="422" t="s">
        <v>2501</v>
      </c>
      <c r="G517" s="422" t="s">
        <v>2773</v>
      </c>
      <c r="H517" s="368">
        <v>22</v>
      </c>
      <c r="I517" s="491" t="s">
        <v>3025</v>
      </c>
      <c r="J517" s="369"/>
      <c r="K517" s="222"/>
      <c r="L517" s="140"/>
      <c r="N517" s="140"/>
    </row>
    <row r="518" spans="1:14" s="6" customFormat="1">
      <c r="A518" s="423" t="s">
        <v>2743</v>
      </c>
      <c r="B518" s="424" t="s">
        <v>2774</v>
      </c>
      <c r="C518" s="97"/>
      <c r="D518" s="97"/>
      <c r="E518" s="97" t="s">
        <v>1273</v>
      </c>
      <c r="F518" s="424" t="s">
        <v>2775</v>
      </c>
      <c r="G518" s="424" t="s">
        <v>2776</v>
      </c>
      <c r="H518" s="379"/>
      <c r="I518" s="379"/>
      <c r="J518" s="369"/>
      <c r="K518" s="222"/>
      <c r="L518" s="140"/>
      <c r="N518" s="140"/>
    </row>
    <row r="519" spans="1:14" s="6" customFormat="1">
      <c r="A519" s="423" t="s">
        <v>2743</v>
      </c>
      <c r="B519" s="422" t="s">
        <v>2777</v>
      </c>
      <c r="C519" s="272"/>
      <c r="D519" s="272"/>
      <c r="E519" s="272"/>
      <c r="F519" s="422" t="s">
        <v>1134</v>
      </c>
      <c r="G519" s="422" t="s">
        <v>2778</v>
      </c>
      <c r="H519" s="368">
        <v>22</v>
      </c>
      <c r="I519" s="368"/>
      <c r="J519" s="369"/>
      <c r="K519" s="222"/>
      <c r="L519" s="140"/>
      <c r="N519" s="140"/>
    </row>
    <row r="520" spans="1:14" s="6" customFormat="1">
      <c r="A520" s="423" t="s">
        <v>2743</v>
      </c>
      <c r="B520" s="491" t="s">
        <v>2779</v>
      </c>
      <c r="C520" s="272"/>
      <c r="D520" s="272"/>
      <c r="E520" s="272"/>
      <c r="F520" s="422" t="s">
        <v>2416</v>
      </c>
      <c r="G520" s="422" t="s">
        <v>2780</v>
      </c>
      <c r="H520" s="368">
        <v>22</v>
      </c>
      <c r="I520" s="368"/>
      <c r="J520" s="369"/>
      <c r="K520" s="222"/>
      <c r="L520" s="140"/>
      <c r="N520" s="140"/>
    </row>
    <row r="521" spans="1:14" s="6" customFormat="1">
      <c r="A521" s="423" t="s">
        <v>2743</v>
      </c>
      <c r="B521" s="422" t="s">
        <v>2783</v>
      </c>
      <c r="C521" s="272"/>
      <c r="D521" s="272"/>
      <c r="E521" s="272"/>
      <c r="F521" s="422" t="s">
        <v>1927</v>
      </c>
      <c r="G521" s="422" t="s">
        <v>2784</v>
      </c>
      <c r="H521" s="368">
        <v>23</v>
      </c>
      <c r="I521" s="368"/>
      <c r="J521" s="369"/>
      <c r="K521" s="222"/>
      <c r="L521" s="140"/>
      <c r="N521" s="140"/>
    </row>
    <row r="522" spans="1:14" s="6" customFormat="1">
      <c r="A522" s="423" t="s">
        <v>2743</v>
      </c>
      <c r="B522" s="422" t="s">
        <v>2785</v>
      </c>
      <c r="C522" s="272"/>
      <c r="D522" s="272"/>
      <c r="E522" s="272"/>
      <c r="F522" s="422" t="s">
        <v>1134</v>
      </c>
      <c r="G522" s="422" t="s">
        <v>2786</v>
      </c>
      <c r="H522" s="368">
        <v>22</v>
      </c>
      <c r="I522" s="368"/>
      <c r="J522" s="369"/>
      <c r="K522" s="222"/>
      <c r="L522" s="140"/>
      <c r="N522" s="140"/>
    </row>
    <row r="523" spans="1:14" s="6" customFormat="1">
      <c r="A523" s="427" t="s">
        <v>2790</v>
      </c>
      <c r="B523" s="426" t="s">
        <v>2789</v>
      </c>
      <c r="C523" s="272">
        <v>84124904</v>
      </c>
      <c r="D523" s="272"/>
      <c r="E523" s="272"/>
      <c r="F523" s="426" t="s">
        <v>551</v>
      </c>
      <c r="G523" s="426" t="s">
        <v>2791</v>
      </c>
      <c r="H523" s="368">
        <v>22</v>
      </c>
      <c r="I523" s="368"/>
      <c r="J523" s="369"/>
      <c r="K523" s="222"/>
      <c r="L523" s="140"/>
      <c r="N523" s="140"/>
    </row>
    <row r="524" spans="1:14" s="6" customFormat="1">
      <c r="A524" s="427" t="s">
        <v>2790</v>
      </c>
      <c r="B524" s="426" t="s">
        <v>2792</v>
      </c>
      <c r="C524" s="272">
        <v>46568935</v>
      </c>
      <c r="D524" s="272"/>
      <c r="E524" s="272"/>
      <c r="F524" s="426" t="s">
        <v>2100</v>
      </c>
      <c r="G524" s="483" t="s">
        <v>2793</v>
      </c>
      <c r="H524" s="368">
        <v>22</v>
      </c>
      <c r="I524" s="368"/>
      <c r="J524" s="369"/>
      <c r="K524" s="222"/>
      <c r="L524" s="140"/>
      <c r="N524" s="140"/>
    </row>
    <row r="525" spans="1:14" s="6" customFormat="1">
      <c r="A525" s="427" t="s">
        <v>2790</v>
      </c>
      <c r="B525" s="486" t="s">
        <v>2794</v>
      </c>
      <c r="C525" s="97"/>
      <c r="D525" s="97"/>
      <c r="E525" s="97"/>
      <c r="F525" s="428" t="s">
        <v>2795</v>
      </c>
      <c r="G525" s="428" t="s">
        <v>2796</v>
      </c>
      <c r="H525" s="379">
        <v>22</v>
      </c>
      <c r="I525" s="368">
        <v>5</v>
      </c>
      <c r="J525" s="369"/>
      <c r="K525" s="222"/>
      <c r="L525" s="140"/>
      <c r="N525" s="140"/>
    </row>
    <row r="526" spans="1:14" s="6" customFormat="1">
      <c r="A526" s="427" t="s">
        <v>2790</v>
      </c>
      <c r="B526" s="426" t="s">
        <v>2797</v>
      </c>
      <c r="C526" s="272"/>
      <c r="D526" s="272"/>
      <c r="E526" s="272"/>
      <c r="F526" s="439" t="s">
        <v>2100</v>
      </c>
      <c r="G526" s="426" t="s">
        <v>2798</v>
      </c>
      <c r="H526" s="368">
        <v>26</v>
      </c>
      <c r="I526" s="426" t="s">
        <v>1946</v>
      </c>
      <c r="J526" s="369"/>
      <c r="K526" s="222"/>
      <c r="L526" s="140"/>
      <c r="N526" s="140"/>
    </row>
    <row r="527" spans="1:14" s="6" customFormat="1">
      <c r="A527" s="427" t="s">
        <v>2790</v>
      </c>
      <c r="B527" s="491" t="s">
        <v>2978</v>
      </c>
      <c r="C527" s="272">
        <v>37467982</v>
      </c>
      <c r="D527" s="272"/>
      <c r="E527" s="272"/>
      <c r="F527" s="426" t="s">
        <v>2799</v>
      </c>
      <c r="G527" s="477" t="s">
        <v>2979</v>
      </c>
      <c r="H527" s="368">
        <v>17</v>
      </c>
      <c r="I527" s="368"/>
      <c r="J527" s="369"/>
      <c r="K527" s="222"/>
      <c r="L527" s="140"/>
      <c r="N527" s="140"/>
    </row>
    <row r="528" spans="1:14" s="6" customFormat="1">
      <c r="A528" s="427" t="s">
        <v>2790</v>
      </c>
      <c r="B528" s="426" t="s">
        <v>2801</v>
      </c>
      <c r="C528" s="272"/>
      <c r="D528" s="272"/>
      <c r="E528" s="272"/>
      <c r="F528" s="426" t="s">
        <v>2802</v>
      </c>
      <c r="G528" s="426" t="s">
        <v>2803</v>
      </c>
      <c r="H528" s="368">
        <v>22</v>
      </c>
      <c r="I528" s="368"/>
      <c r="J528" s="369"/>
      <c r="K528" s="222"/>
      <c r="L528" s="140"/>
      <c r="N528" s="140"/>
    </row>
    <row r="529" spans="1:14" s="6" customFormat="1">
      <c r="A529" s="427" t="s">
        <v>2790</v>
      </c>
      <c r="B529" s="426" t="s">
        <v>2804</v>
      </c>
      <c r="C529" s="272">
        <v>85509294</v>
      </c>
      <c r="D529" s="272"/>
      <c r="E529" s="272"/>
      <c r="F529" s="426" t="s">
        <v>2231</v>
      </c>
      <c r="G529" s="426" t="s">
        <v>2805</v>
      </c>
      <c r="H529" s="368">
        <v>22</v>
      </c>
      <c r="I529" s="368"/>
      <c r="J529" s="369"/>
      <c r="K529" s="222"/>
      <c r="L529" s="140"/>
      <c r="N529" s="140"/>
    </row>
    <row r="530" spans="1:14" s="6" customFormat="1">
      <c r="A530" s="427" t="s">
        <v>2790</v>
      </c>
      <c r="B530" s="494" t="s">
        <v>2806</v>
      </c>
      <c r="C530" s="468">
        <v>50572649</v>
      </c>
      <c r="D530" s="468" t="s">
        <v>2937</v>
      </c>
      <c r="E530" s="468"/>
      <c r="F530" s="467" t="s">
        <v>2307</v>
      </c>
      <c r="G530" s="472" t="s">
        <v>2807</v>
      </c>
      <c r="H530" s="470">
        <v>22</v>
      </c>
      <c r="I530" s="368"/>
      <c r="J530" s="369"/>
      <c r="K530" s="222"/>
      <c r="L530" s="140"/>
      <c r="N530" s="140"/>
    </row>
    <row r="531" spans="1:14" s="6" customFormat="1">
      <c r="A531" s="427" t="s">
        <v>2790</v>
      </c>
      <c r="B531" s="428" t="s">
        <v>2808</v>
      </c>
      <c r="C531" s="97">
        <v>58171601</v>
      </c>
      <c r="D531" s="97"/>
      <c r="E531" s="97"/>
      <c r="F531" s="428" t="s">
        <v>2795</v>
      </c>
      <c r="G531" s="428" t="s">
        <v>2809</v>
      </c>
      <c r="H531" s="379"/>
      <c r="I531" s="368"/>
      <c r="J531" s="369"/>
      <c r="K531" s="222"/>
      <c r="L531" s="140"/>
      <c r="M531" s="6" t="s">
        <v>3030</v>
      </c>
      <c r="N531" s="140"/>
    </row>
    <row r="532" spans="1:14" s="6" customFormat="1">
      <c r="A532" s="427" t="s">
        <v>2790</v>
      </c>
      <c r="B532" s="460" t="s">
        <v>2810</v>
      </c>
      <c r="C532" s="272">
        <v>92670453</v>
      </c>
      <c r="D532" s="272"/>
      <c r="E532" s="272"/>
      <c r="F532" s="426" t="s">
        <v>2283</v>
      </c>
      <c r="G532" s="477" t="s">
        <v>2811</v>
      </c>
      <c r="H532" s="368">
        <v>22</v>
      </c>
      <c r="I532" s="368"/>
      <c r="J532" s="369"/>
      <c r="K532" s="222"/>
      <c r="L532" s="140"/>
      <c r="N532" s="140"/>
    </row>
    <row r="533" spans="1:14" s="6" customFormat="1">
      <c r="A533" s="427" t="s">
        <v>2790</v>
      </c>
      <c r="B533" s="496" t="s">
        <v>2812</v>
      </c>
      <c r="C533" s="497">
        <v>25480147</v>
      </c>
      <c r="D533" s="497"/>
      <c r="E533" s="497"/>
      <c r="F533" s="498" t="s">
        <v>2206</v>
      </c>
      <c r="G533" s="498" t="s">
        <v>2813</v>
      </c>
      <c r="H533" s="499">
        <v>22</v>
      </c>
      <c r="I533" s="368">
        <v>4</v>
      </c>
      <c r="J533" s="369"/>
      <c r="K533" s="222"/>
      <c r="L533" s="140"/>
      <c r="N533" s="140"/>
    </row>
    <row r="534" spans="1:14" s="6" customFormat="1">
      <c r="A534" s="427" t="s">
        <v>2790</v>
      </c>
      <c r="B534" s="521" t="s">
        <v>2814</v>
      </c>
      <c r="C534" s="497">
        <v>22558450</v>
      </c>
      <c r="D534" s="497"/>
      <c r="E534" s="497"/>
      <c r="F534" s="498" t="s">
        <v>643</v>
      </c>
      <c r="G534" s="498" t="s">
        <v>2815</v>
      </c>
      <c r="H534" s="499">
        <v>22</v>
      </c>
      <c r="I534" s="368">
        <v>4</v>
      </c>
      <c r="J534" s="369"/>
      <c r="K534" s="222"/>
      <c r="L534" s="140"/>
      <c r="N534" s="140"/>
    </row>
    <row r="535" spans="1:14" s="6" customFormat="1">
      <c r="A535" s="427" t="s">
        <v>2790</v>
      </c>
      <c r="B535" s="426" t="s">
        <v>2817</v>
      </c>
      <c r="C535" s="272"/>
      <c r="D535" s="272"/>
      <c r="E535" s="272"/>
      <c r="F535" s="426" t="s">
        <v>1927</v>
      </c>
      <c r="G535" s="426" t="s">
        <v>2818</v>
      </c>
      <c r="H535" s="368">
        <f>10-4.5</f>
        <v>5.5</v>
      </c>
      <c r="I535" s="455" t="s">
        <v>2925</v>
      </c>
      <c r="J535" s="369"/>
      <c r="K535" s="222"/>
      <c r="L535" s="140"/>
      <c r="N535" s="140"/>
    </row>
    <row r="536" spans="1:14" s="6" customFormat="1">
      <c r="A536" s="427" t="s">
        <v>2790</v>
      </c>
      <c r="B536" s="426" t="s">
        <v>2819</v>
      </c>
      <c r="C536" s="272"/>
      <c r="D536" s="272"/>
      <c r="E536" s="272"/>
      <c r="F536" s="426" t="s">
        <v>1927</v>
      </c>
      <c r="G536" s="426" t="s">
        <v>2820</v>
      </c>
      <c r="H536" s="368">
        <v>23</v>
      </c>
      <c r="I536" s="368"/>
      <c r="J536" s="369"/>
      <c r="K536" s="222"/>
      <c r="L536" s="140"/>
      <c r="N536" s="140"/>
    </row>
    <row r="537" spans="1:14" s="6" customFormat="1">
      <c r="A537" s="427" t="s">
        <v>2790</v>
      </c>
      <c r="B537" s="426" t="s">
        <v>2821</v>
      </c>
      <c r="C537" s="272"/>
      <c r="D537" s="272"/>
      <c r="E537" s="272"/>
      <c r="F537" s="426" t="s">
        <v>1927</v>
      </c>
      <c r="G537" s="426" t="s">
        <v>2822</v>
      </c>
      <c r="H537" s="368">
        <v>23</v>
      </c>
      <c r="I537" s="368"/>
      <c r="J537" s="369"/>
      <c r="K537" s="222"/>
      <c r="L537" s="140"/>
      <c r="N537" s="140"/>
    </row>
    <row r="538" spans="1:14" s="6" customFormat="1">
      <c r="A538" s="427" t="s">
        <v>2790</v>
      </c>
      <c r="B538" s="426" t="s">
        <v>2823</v>
      </c>
      <c r="C538" s="272"/>
      <c r="D538" s="272"/>
      <c r="E538" s="272"/>
      <c r="F538" s="426" t="s">
        <v>1927</v>
      </c>
      <c r="G538" s="426" t="s">
        <v>2824</v>
      </c>
      <c r="H538" s="368">
        <v>23</v>
      </c>
      <c r="I538" s="368"/>
      <c r="J538" s="369"/>
      <c r="K538" s="222"/>
      <c r="L538" s="140"/>
      <c r="N538" s="140"/>
    </row>
    <row r="539" spans="1:14" s="6" customFormat="1">
      <c r="A539" s="435" t="s">
        <v>2790</v>
      </c>
      <c r="B539" s="426" t="s">
        <v>2826</v>
      </c>
      <c r="C539" s="272"/>
      <c r="D539" s="272"/>
      <c r="E539" s="272"/>
      <c r="F539" s="426" t="s">
        <v>1927</v>
      </c>
      <c r="G539" s="426" t="s">
        <v>2827</v>
      </c>
      <c r="H539" s="368">
        <v>23</v>
      </c>
      <c r="I539" s="368"/>
      <c r="J539" s="369"/>
      <c r="K539" s="222"/>
      <c r="L539" s="140"/>
      <c r="N539" s="140"/>
    </row>
    <row r="540" spans="1:14" s="6" customFormat="1">
      <c r="A540" s="435" t="s">
        <v>2831</v>
      </c>
      <c r="B540" s="434" t="s">
        <v>2829</v>
      </c>
      <c r="C540" s="272"/>
      <c r="D540" s="272"/>
      <c r="E540" s="272"/>
      <c r="F540" s="426" t="s">
        <v>1927</v>
      </c>
      <c r="G540" s="434" t="s">
        <v>2830</v>
      </c>
      <c r="H540" s="368">
        <v>23</v>
      </c>
      <c r="I540" s="368"/>
      <c r="J540" s="369"/>
      <c r="K540" s="222"/>
      <c r="L540" s="140"/>
      <c r="N540" s="140"/>
    </row>
    <row r="541" spans="1:14" s="6" customFormat="1">
      <c r="A541" s="435" t="s">
        <v>2831</v>
      </c>
      <c r="B541" s="467" t="s">
        <v>2832</v>
      </c>
      <c r="C541" s="468">
        <v>48031449</v>
      </c>
      <c r="D541" s="468"/>
      <c r="E541" s="468"/>
      <c r="F541" s="475" t="s">
        <v>1951</v>
      </c>
      <c r="G541" s="475" t="s">
        <v>2833</v>
      </c>
      <c r="H541" s="470">
        <v>22</v>
      </c>
      <c r="I541" s="368"/>
      <c r="J541" s="369"/>
      <c r="K541" s="222"/>
      <c r="L541" s="140"/>
      <c r="N541" s="140">
        <v>41</v>
      </c>
    </row>
    <row r="542" spans="1:14" s="6" customFormat="1">
      <c r="A542" s="435" t="s">
        <v>2831</v>
      </c>
      <c r="B542" s="434" t="s">
        <v>2834</v>
      </c>
      <c r="C542" s="272">
        <v>57058728</v>
      </c>
      <c r="D542" s="272"/>
      <c r="E542" s="272"/>
      <c r="F542" s="434" t="s">
        <v>1134</v>
      </c>
      <c r="G542" s="434" t="s">
        <v>2835</v>
      </c>
      <c r="H542" s="368">
        <v>22</v>
      </c>
      <c r="I542" s="368"/>
      <c r="J542" s="369"/>
      <c r="K542" s="222"/>
      <c r="L542" s="140"/>
      <c r="N542" s="140"/>
    </row>
    <row r="543" spans="1:14" s="6" customFormat="1">
      <c r="A543" s="435" t="s">
        <v>2831</v>
      </c>
      <c r="B543" s="461" t="s">
        <v>2836</v>
      </c>
      <c r="C543" s="97">
        <v>39009273</v>
      </c>
      <c r="D543" s="97"/>
      <c r="E543" s="97"/>
      <c r="F543" s="436" t="s">
        <v>2245</v>
      </c>
      <c r="G543" s="436" t="s">
        <v>2837</v>
      </c>
      <c r="H543" s="379">
        <v>22</v>
      </c>
      <c r="I543" s="368">
        <v>5</v>
      </c>
      <c r="J543" s="369"/>
      <c r="K543" s="222"/>
      <c r="L543" s="140"/>
      <c r="N543" s="140"/>
    </row>
    <row r="544" spans="1:14" s="6" customFormat="1">
      <c r="A544" s="435" t="s">
        <v>2831</v>
      </c>
      <c r="B544" s="543" t="s">
        <v>2838</v>
      </c>
      <c r="C544" s="272">
        <v>57058728</v>
      </c>
      <c r="D544" s="272"/>
      <c r="E544" s="272"/>
      <c r="F544" s="434" t="s">
        <v>1967</v>
      </c>
      <c r="G544" s="434" t="s">
        <v>2839</v>
      </c>
      <c r="H544" s="368">
        <v>22</v>
      </c>
      <c r="I544" s="368"/>
      <c r="J544" s="369"/>
      <c r="K544" s="222"/>
      <c r="L544" s="140"/>
      <c r="N544" s="140"/>
    </row>
    <row r="545" spans="1:14" s="6" customFormat="1">
      <c r="A545" s="435" t="s">
        <v>2831</v>
      </c>
      <c r="B545" s="434" t="s">
        <v>2842</v>
      </c>
      <c r="C545" s="272"/>
      <c r="D545" s="272"/>
      <c r="E545" s="272"/>
      <c r="F545" s="434" t="s">
        <v>1927</v>
      </c>
      <c r="G545" s="434" t="s">
        <v>2843</v>
      </c>
      <c r="H545" s="368">
        <v>23</v>
      </c>
      <c r="I545" s="368"/>
      <c r="J545" s="369"/>
      <c r="K545" s="222"/>
      <c r="L545" s="140"/>
      <c r="N545" s="140"/>
    </row>
    <row r="546" spans="1:14" s="6" customFormat="1">
      <c r="A546" s="435" t="s">
        <v>2831</v>
      </c>
      <c r="B546" s="434" t="s">
        <v>2853</v>
      </c>
      <c r="C546" s="272">
        <v>85687669</v>
      </c>
      <c r="D546" s="272"/>
      <c r="E546" s="272"/>
      <c r="F546" s="434" t="s">
        <v>1927</v>
      </c>
      <c r="G546" s="434" t="s">
        <v>2854</v>
      </c>
      <c r="H546" s="368">
        <v>23</v>
      </c>
      <c r="I546" s="368"/>
      <c r="J546" s="369"/>
      <c r="K546" s="222"/>
      <c r="L546" s="140"/>
      <c r="N546" s="140"/>
    </row>
    <row r="547" spans="1:14" s="6" customFormat="1">
      <c r="A547" s="435" t="s">
        <v>2831</v>
      </c>
      <c r="B547" s="434" t="s">
        <v>2855</v>
      </c>
      <c r="C547" s="272">
        <v>81728860</v>
      </c>
      <c r="D547" s="272"/>
      <c r="E547" s="272"/>
      <c r="F547" s="434" t="s">
        <v>1927</v>
      </c>
      <c r="G547" s="434" t="s">
        <v>2856</v>
      </c>
      <c r="H547" s="368">
        <v>23</v>
      </c>
      <c r="I547" s="368"/>
      <c r="J547" s="369"/>
      <c r="K547" s="222"/>
      <c r="L547" s="140"/>
      <c r="N547" s="140"/>
    </row>
    <row r="548" spans="1:14" s="6" customFormat="1">
      <c r="A548" s="435" t="s">
        <v>2831</v>
      </c>
      <c r="B548" s="434" t="s">
        <v>2857</v>
      </c>
      <c r="C548" s="272">
        <v>60643806</v>
      </c>
      <c r="D548" s="272"/>
      <c r="E548" s="272"/>
      <c r="F548" s="434" t="s">
        <v>1927</v>
      </c>
      <c r="G548" s="434" t="s">
        <v>2858</v>
      </c>
      <c r="H548" s="368">
        <v>23</v>
      </c>
      <c r="I548" s="368"/>
      <c r="J548" s="369"/>
      <c r="K548" s="222"/>
      <c r="L548" s="140"/>
      <c r="N548" s="140"/>
    </row>
    <row r="549" spans="1:14" s="6" customFormat="1">
      <c r="A549" s="437" t="s">
        <v>2862</v>
      </c>
      <c r="B549" s="486" t="s">
        <v>2864</v>
      </c>
      <c r="C549" s="97">
        <v>57657065</v>
      </c>
      <c r="D549" s="97"/>
      <c r="E549" s="97"/>
      <c r="F549" s="442" t="s">
        <v>691</v>
      </c>
      <c r="G549" s="442" t="s">
        <v>2865</v>
      </c>
      <c r="H549" s="379">
        <v>22</v>
      </c>
      <c r="I549" s="368">
        <v>5</v>
      </c>
      <c r="J549" s="369"/>
      <c r="K549" s="222"/>
      <c r="L549" s="140"/>
      <c r="N549" s="140"/>
    </row>
    <row r="550" spans="1:14" s="6" customFormat="1">
      <c r="A550" s="438" t="s">
        <v>2862</v>
      </c>
      <c r="B550" s="439" t="s">
        <v>2866</v>
      </c>
      <c r="C550" s="272">
        <v>15052793</v>
      </c>
      <c r="D550" s="272"/>
      <c r="E550" s="272"/>
      <c r="F550" s="439" t="s">
        <v>1927</v>
      </c>
      <c r="G550" s="439" t="s">
        <v>2867</v>
      </c>
      <c r="H550" s="368">
        <v>23</v>
      </c>
      <c r="I550" s="368"/>
      <c r="J550" s="369"/>
      <c r="K550" s="222"/>
      <c r="L550" s="140"/>
      <c r="N550" s="140"/>
    </row>
    <row r="551" spans="1:14" s="6" customFormat="1">
      <c r="A551" s="438" t="s">
        <v>2862</v>
      </c>
      <c r="B551" s="439" t="s">
        <v>2870</v>
      </c>
      <c r="C551" s="272"/>
      <c r="D551" s="272" t="s">
        <v>2868</v>
      </c>
      <c r="E551" s="272"/>
      <c r="F551" s="439" t="s">
        <v>1927</v>
      </c>
      <c r="G551" s="439" t="s">
        <v>2869</v>
      </c>
      <c r="H551" s="368">
        <v>23</v>
      </c>
      <c r="I551" s="368"/>
      <c r="J551" s="369"/>
      <c r="K551" s="222"/>
      <c r="L551" s="140"/>
      <c r="N551" s="140"/>
    </row>
    <row r="552" spans="1:14" s="6" customFormat="1">
      <c r="A552" s="438" t="s">
        <v>2862</v>
      </c>
      <c r="B552" s="439" t="s">
        <v>2872</v>
      </c>
      <c r="C552" s="272">
        <v>19196791</v>
      </c>
      <c r="D552" s="272"/>
      <c r="E552" s="272"/>
      <c r="F552" s="439" t="s">
        <v>1927</v>
      </c>
      <c r="G552" s="439" t="s">
        <v>2871</v>
      </c>
      <c r="H552" s="368">
        <v>23</v>
      </c>
      <c r="I552" s="368"/>
      <c r="J552" s="369"/>
      <c r="K552" s="222"/>
      <c r="L552" s="140"/>
      <c r="N552" s="140"/>
    </row>
    <row r="553" spans="1:14" s="6" customFormat="1">
      <c r="A553" s="438" t="s">
        <v>2862</v>
      </c>
      <c r="B553" s="439" t="s">
        <v>2873</v>
      </c>
      <c r="C553" s="272"/>
      <c r="D553" s="272"/>
      <c r="E553" s="272"/>
      <c r="F553" s="439" t="s">
        <v>1927</v>
      </c>
      <c r="G553" s="439" t="s">
        <v>2874</v>
      </c>
      <c r="H553" s="368">
        <v>23</v>
      </c>
      <c r="I553" s="368"/>
      <c r="J553" s="369"/>
      <c r="K553" s="222"/>
      <c r="L553" s="140"/>
      <c r="N553" s="140"/>
    </row>
    <row r="554" spans="1:14" s="6" customFormat="1">
      <c r="A554" s="438" t="s">
        <v>2862</v>
      </c>
      <c r="B554" s="477" t="s">
        <v>2884</v>
      </c>
      <c r="C554" s="272">
        <v>72218212</v>
      </c>
      <c r="D554" s="272" t="s">
        <v>2957</v>
      </c>
      <c r="E554" s="272"/>
      <c r="F554" s="439" t="s">
        <v>2501</v>
      </c>
      <c r="G554" s="439" t="s">
        <v>2885</v>
      </c>
      <c r="H554" s="368">
        <v>22</v>
      </c>
      <c r="I554" s="491" t="s">
        <v>3025</v>
      </c>
      <c r="J554" s="369"/>
      <c r="K554" s="222"/>
      <c r="L554" s="140"/>
      <c r="N554" s="140"/>
    </row>
    <row r="555" spans="1:14" s="6" customFormat="1">
      <c r="A555" s="438" t="s">
        <v>2862</v>
      </c>
      <c r="B555" s="439" t="s">
        <v>2886</v>
      </c>
      <c r="C555" s="272">
        <v>14912504</v>
      </c>
      <c r="D555" s="272"/>
      <c r="E555" s="272"/>
      <c r="F555" s="439" t="s">
        <v>2887</v>
      </c>
      <c r="G555" s="439" t="s">
        <v>2888</v>
      </c>
      <c r="H555" s="368">
        <v>22</v>
      </c>
      <c r="I555" s="368"/>
      <c r="J555" s="369"/>
      <c r="K555" s="222"/>
      <c r="L555" s="140"/>
      <c r="N555" s="140"/>
    </row>
    <row r="556" spans="1:14" s="6" customFormat="1">
      <c r="A556" s="438" t="s">
        <v>2862</v>
      </c>
      <c r="B556" s="439" t="s">
        <v>2889</v>
      </c>
      <c r="C556" s="272">
        <v>99438134</v>
      </c>
      <c r="D556" s="272"/>
      <c r="E556" s="272"/>
      <c r="F556" s="439" t="s">
        <v>1927</v>
      </c>
      <c r="G556" s="439" t="s">
        <v>2890</v>
      </c>
      <c r="H556" s="368">
        <v>23</v>
      </c>
      <c r="I556" s="368"/>
      <c r="J556" s="369"/>
      <c r="K556" s="222"/>
      <c r="L556" s="140"/>
      <c r="N556" s="140"/>
    </row>
    <row r="557" spans="1:14" s="2" customFormat="1">
      <c r="A557" s="454" t="s">
        <v>2894</v>
      </c>
      <c r="B557" s="509" t="s">
        <v>2882</v>
      </c>
      <c r="C557" s="406">
        <v>11668149</v>
      </c>
      <c r="D557" s="406"/>
      <c r="E557" s="406"/>
      <c r="F557" s="509" t="s">
        <v>1927</v>
      </c>
      <c r="G557" s="509" t="s">
        <v>2883</v>
      </c>
      <c r="H557" s="407"/>
      <c r="I557" s="510" t="s">
        <v>3055</v>
      </c>
      <c r="J557" s="511"/>
      <c r="K557" s="512"/>
      <c r="L557" s="513"/>
      <c r="N557" s="513"/>
    </row>
    <row r="558" spans="1:14" s="6" customFormat="1">
      <c r="A558" s="446" t="s">
        <v>2894</v>
      </c>
      <c r="B558" s="447" t="s">
        <v>2897</v>
      </c>
      <c r="C558" s="272">
        <v>81005260</v>
      </c>
      <c r="D558" s="272"/>
      <c r="E558" s="272"/>
      <c r="F558" s="447" t="s">
        <v>2898</v>
      </c>
      <c r="G558" s="447" t="s">
        <v>2899</v>
      </c>
      <c r="H558" s="368">
        <v>22</v>
      </c>
      <c r="I558" s="368"/>
      <c r="J558" s="369"/>
      <c r="K558" s="222"/>
      <c r="L558" s="140"/>
      <c r="N558" s="140"/>
    </row>
    <row r="559" spans="1:14" s="6" customFormat="1">
      <c r="A559" s="446" t="s">
        <v>2894</v>
      </c>
      <c r="B559" s="460" t="s">
        <v>2900</v>
      </c>
      <c r="C559" s="272">
        <v>18405662</v>
      </c>
      <c r="D559" s="272"/>
      <c r="E559" s="272"/>
      <c r="F559" s="426" t="s">
        <v>2283</v>
      </c>
      <c r="G559" s="447" t="s">
        <v>2901</v>
      </c>
      <c r="H559" s="368">
        <v>22</v>
      </c>
      <c r="I559" s="368"/>
      <c r="J559" s="369"/>
      <c r="K559" s="222"/>
      <c r="L559" s="140"/>
      <c r="N559" s="140"/>
    </row>
    <row r="560" spans="1:14" s="6" customFormat="1">
      <c r="A560" s="446" t="s">
        <v>2894</v>
      </c>
      <c r="B560" s="447" t="s">
        <v>2904</v>
      </c>
      <c r="C560" s="272">
        <v>77344045</v>
      </c>
      <c r="D560" s="272"/>
      <c r="E560" s="272"/>
      <c r="F560" s="447" t="s">
        <v>2905</v>
      </c>
      <c r="G560" s="447">
        <v>940300285</v>
      </c>
      <c r="H560" s="368">
        <v>22</v>
      </c>
      <c r="I560" s="368"/>
      <c r="J560" s="369"/>
      <c r="K560" s="222"/>
      <c r="L560" s="140"/>
      <c r="N560" s="140"/>
    </row>
    <row r="561" spans="1:14" s="6" customFormat="1">
      <c r="A561" s="456" t="s">
        <v>2916</v>
      </c>
      <c r="B561" s="455" t="s">
        <v>2920</v>
      </c>
      <c r="C561" s="272"/>
      <c r="D561" s="272"/>
      <c r="E561" s="272"/>
      <c r="F561" s="426" t="s">
        <v>2283</v>
      </c>
      <c r="G561" s="455" t="s">
        <v>2921</v>
      </c>
      <c r="H561" s="368">
        <v>22</v>
      </c>
      <c r="I561" s="368"/>
      <c r="J561" s="369"/>
      <c r="K561" s="222"/>
      <c r="L561" s="140"/>
      <c r="N561" s="140"/>
    </row>
    <row r="562" spans="1:14" s="6" customFormat="1">
      <c r="A562" s="456" t="s">
        <v>2916</v>
      </c>
      <c r="B562" s="515" t="s">
        <v>2917</v>
      </c>
      <c r="C562" s="1">
        <v>57658004</v>
      </c>
      <c r="D562" s="450"/>
      <c r="E562" s="450"/>
      <c r="F562" s="457" t="s">
        <v>2919</v>
      </c>
      <c r="G562" s="450" t="s">
        <v>2918</v>
      </c>
      <c r="H562" s="1">
        <v>20</v>
      </c>
      <c r="I562" s="460">
        <v>3</v>
      </c>
      <c r="J562" s="369"/>
      <c r="K562" s="222"/>
      <c r="L562" s="140"/>
      <c r="N562" s="140"/>
    </row>
    <row r="563" spans="1:14" s="6" customFormat="1">
      <c r="A563" s="456" t="s">
        <v>2916</v>
      </c>
      <c r="B563" s="458" t="s">
        <v>2906</v>
      </c>
      <c r="C563" s="97">
        <v>60745893</v>
      </c>
      <c r="D563" s="97"/>
      <c r="E563" s="97"/>
      <c r="F563" s="452" t="s">
        <v>2907</v>
      </c>
      <c r="G563" s="452" t="s">
        <v>2908</v>
      </c>
      <c r="H563" s="379"/>
      <c r="J563" s="369"/>
      <c r="K563" s="222"/>
      <c r="L563" s="140"/>
      <c r="N563" s="140"/>
    </row>
    <row r="564" spans="1:14" s="6" customFormat="1">
      <c r="A564" s="456" t="s">
        <v>2916</v>
      </c>
      <c r="B564" s="491" t="s">
        <v>2922</v>
      </c>
      <c r="C564" s="272">
        <v>26222868</v>
      </c>
      <c r="D564" s="272"/>
      <c r="E564" s="272"/>
      <c r="F564" s="460" t="s">
        <v>2501</v>
      </c>
      <c r="G564" s="455" t="s">
        <v>2924</v>
      </c>
      <c r="H564" s="455">
        <v>21.5</v>
      </c>
      <c r="J564" s="369"/>
      <c r="K564" s="222"/>
      <c r="L564" s="140"/>
      <c r="N564" s="140"/>
    </row>
    <row r="565" spans="1:14" s="6" customFormat="1">
      <c r="A565" s="456" t="s">
        <v>2916</v>
      </c>
      <c r="B565" s="455" t="s">
        <v>2923</v>
      </c>
      <c r="D565" s="272"/>
      <c r="E565" s="272"/>
      <c r="F565" s="460" t="s">
        <v>2501</v>
      </c>
      <c r="G565" s="455" t="s">
        <v>2924</v>
      </c>
      <c r="H565" s="455">
        <v>21.5</v>
      </c>
      <c r="J565" s="369"/>
      <c r="K565" s="222"/>
      <c r="L565" s="140"/>
      <c r="N565" s="140"/>
    </row>
    <row r="566" spans="1:14" s="6" customFormat="1">
      <c r="A566" s="459" t="s">
        <v>2926</v>
      </c>
      <c r="B566" s="460" t="s">
        <v>2928</v>
      </c>
      <c r="C566" s="6">
        <v>23554155</v>
      </c>
      <c r="D566" s="272"/>
      <c r="E566" s="272"/>
      <c r="F566" s="460" t="s">
        <v>2692</v>
      </c>
      <c r="G566" s="460" t="s">
        <v>2929</v>
      </c>
      <c r="H566" s="455">
        <v>22</v>
      </c>
      <c r="J566" s="369"/>
      <c r="K566" s="222"/>
      <c r="L566" s="140"/>
      <c r="N566" s="140"/>
    </row>
    <row r="567" spans="1:14" s="6" customFormat="1">
      <c r="A567" s="459" t="s">
        <v>2934</v>
      </c>
      <c r="B567" s="523" t="s">
        <v>2935</v>
      </c>
      <c r="C567" s="463">
        <v>61577823</v>
      </c>
      <c r="D567" s="468"/>
      <c r="E567" s="468"/>
      <c r="F567" s="467" t="s">
        <v>2245</v>
      </c>
      <c r="G567" s="467" t="s">
        <v>2936</v>
      </c>
      <c r="H567" s="471">
        <v>22</v>
      </c>
      <c r="J567" s="369"/>
      <c r="K567" s="222"/>
      <c r="L567" s="140"/>
      <c r="N567" s="140"/>
    </row>
    <row r="568" spans="1:14" s="6" customFormat="1">
      <c r="A568" s="459" t="s">
        <v>2934</v>
      </c>
      <c r="B568" s="460" t="s">
        <v>2942</v>
      </c>
      <c r="C568" s="6">
        <v>34887683</v>
      </c>
      <c r="D568" s="272"/>
      <c r="E568" s="272"/>
      <c r="F568" s="460" t="s">
        <v>1896</v>
      </c>
      <c r="G568" s="460" t="s">
        <v>2943</v>
      </c>
      <c r="H568" s="455">
        <v>22</v>
      </c>
      <c r="J568" s="369"/>
      <c r="K568" s="222"/>
      <c r="L568" s="140"/>
      <c r="N568" s="140"/>
    </row>
    <row r="569" spans="1:14" s="6" customFormat="1">
      <c r="A569" s="459" t="s">
        <v>2934</v>
      </c>
      <c r="B569" s="460" t="s">
        <v>2944</v>
      </c>
      <c r="C569" s="6">
        <v>44411333</v>
      </c>
      <c r="D569" s="272"/>
      <c r="E569" s="272"/>
      <c r="F569" s="460" t="s">
        <v>1928</v>
      </c>
      <c r="G569" s="460" t="s">
        <v>2945</v>
      </c>
      <c r="H569" s="455">
        <v>22</v>
      </c>
      <c r="J569" s="369"/>
      <c r="K569" s="222"/>
      <c r="L569" s="140"/>
      <c r="N569" s="140"/>
    </row>
    <row r="570" spans="1:14" s="6" customFormat="1">
      <c r="A570" s="459" t="s">
        <v>2934</v>
      </c>
      <c r="B570" s="518" t="s">
        <v>2946</v>
      </c>
      <c r="C570" s="6">
        <v>87487683</v>
      </c>
      <c r="D570" s="272"/>
      <c r="E570" s="272"/>
      <c r="F570" s="460" t="s">
        <v>2840</v>
      </c>
      <c r="G570" s="460" t="s">
        <v>2947</v>
      </c>
      <c r="H570" s="455">
        <v>22</v>
      </c>
      <c r="J570" s="369"/>
      <c r="K570" s="222"/>
      <c r="L570" s="140"/>
      <c r="N570" s="140"/>
    </row>
    <row r="571" spans="1:14" s="6" customFormat="1">
      <c r="A571" s="459" t="s">
        <v>2934</v>
      </c>
      <c r="B571" s="461" t="s">
        <v>2948</v>
      </c>
      <c r="C571" s="97"/>
      <c r="D571" s="97"/>
      <c r="E571" s="97"/>
      <c r="F571" s="461" t="s">
        <v>2225</v>
      </c>
      <c r="G571" s="452"/>
      <c r="H571" s="379"/>
      <c r="I571" s="368"/>
      <c r="J571" s="369">
        <v>24</v>
      </c>
      <c r="K571" s="222"/>
      <c r="L571" s="140"/>
      <c r="N571" s="140"/>
    </row>
    <row r="572" spans="1:14" s="6" customFormat="1">
      <c r="A572" s="459" t="s">
        <v>2934</v>
      </c>
      <c r="B572" s="501" t="s">
        <v>2949</v>
      </c>
      <c r="C572" s="97">
        <v>46705427</v>
      </c>
      <c r="D572" s="97"/>
      <c r="E572" s="97"/>
      <c r="F572" s="461" t="s">
        <v>2950</v>
      </c>
      <c r="G572" s="461" t="s">
        <v>2951</v>
      </c>
      <c r="H572" s="379">
        <v>32</v>
      </c>
      <c r="I572" s="368">
        <v>5</v>
      </c>
      <c r="J572" s="369"/>
      <c r="K572" s="222"/>
      <c r="L572" s="140"/>
      <c r="N572" s="140"/>
    </row>
    <row r="573" spans="1:14" s="6" customFormat="1">
      <c r="A573" s="459" t="s">
        <v>2934</v>
      </c>
      <c r="B573" s="460" t="s">
        <v>2952</v>
      </c>
      <c r="C573" s="272"/>
      <c r="D573" s="272" t="s">
        <v>2953</v>
      </c>
      <c r="E573" s="272"/>
      <c r="F573" s="460" t="s">
        <v>2231</v>
      </c>
      <c r="G573" s="460" t="s">
        <v>2954</v>
      </c>
      <c r="H573" s="368">
        <v>22</v>
      </c>
      <c r="I573" s="368"/>
      <c r="J573" s="369"/>
      <c r="K573" s="222"/>
      <c r="L573" s="140"/>
      <c r="N573" s="140"/>
    </row>
    <row r="574" spans="1:14" s="6" customFormat="1">
      <c r="A574" s="478" t="s">
        <v>2959</v>
      </c>
      <c r="B574" s="483" t="s">
        <v>2958</v>
      </c>
      <c r="C574" s="272">
        <v>89530911</v>
      </c>
      <c r="D574" s="272"/>
      <c r="E574" s="272"/>
      <c r="F574" s="477" t="s">
        <v>2601</v>
      </c>
      <c r="G574" s="477" t="s">
        <v>2960</v>
      </c>
      <c r="H574" s="368">
        <v>22</v>
      </c>
      <c r="I574" s="368"/>
      <c r="J574" s="369"/>
      <c r="K574" s="222"/>
      <c r="L574" s="140"/>
      <c r="N574" s="140"/>
    </row>
    <row r="575" spans="1:14" s="6" customFormat="1">
      <c r="A575" s="478" t="s">
        <v>2959</v>
      </c>
      <c r="B575" s="515" t="s">
        <v>2913</v>
      </c>
      <c r="C575" s="450">
        <v>27068140</v>
      </c>
      <c r="D575" s="450"/>
      <c r="E575" s="450"/>
      <c r="F575" s="449" t="s">
        <v>2914</v>
      </c>
      <c r="G575" s="449" t="s">
        <v>2915</v>
      </c>
      <c r="H575" s="451">
        <v>19</v>
      </c>
      <c r="I575" s="368">
        <v>3</v>
      </c>
      <c r="J575" s="369"/>
      <c r="K575" s="222"/>
      <c r="L575" s="140"/>
      <c r="N575" s="140"/>
    </row>
    <row r="576" spans="1:14" s="6" customFormat="1">
      <c r="A576" s="478" t="s">
        <v>2959</v>
      </c>
      <c r="B576" s="491" t="s">
        <v>2976</v>
      </c>
      <c r="C576" s="272">
        <v>28705855</v>
      </c>
      <c r="D576" s="272"/>
      <c r="E576" s="272"/>
      <c r="F576" s="477" t="s">
        <v>2265</v>
      </c>
      <c r="G576" s="477" t="s">
        <v>2977</v>
      </c>
      <c r="H576" s="368">
        <v>21.4</v>
      </c>
      <c r="I576" s="368"/>
      <c r="J576" s="369"/>
      <c r="K576" s="222"/>
      <c r="L576" s="140"/>
      <c r="N576" s="140"/>
    </row>
    <row r="577" spans="1:14" s="6" customFormat="1">
      <c r="A577" s="478" t="s">
        <v>2959</v>
      </c>
      <c r="B577" s="491" t="s">
        <v>2980</v>
      </c>
      <c r="C577" s="272">
        <v>93586770</v>
      </c>
      <c r="D577" s="272"/>
      <c r="E577" s="272"/>
      <c r="F577" s="477" t="s">
        <v>2501</v>
      </c>
      <c r="G577" s="477" t="s">
        <v>2981</v>
      </c>
      <c r="H577" s="368">
        <v>22</v>
      </c>
      <c r="I577" s="368"/>
      <c r="J577" s="369"/>
      <c r="K577" s="222"/>
      <c r="L577" s="140"/>
      <c r="N577" s="140"/>
    </row>
    <row r="578" spans="1:14" s="6" customFormat="1">
      <c r="A578" s="478" t="s">
        <v>2959</v>
      </c>
      <c r="B578" s="521" t="s">
        <v>2982</v>
      </c>
      <c r="C578" s="497">
        <v>43188004</v>
      </c>
      <c r="D578" s="497"/>
      <c r="E578" s="497"/>
      <c r="F578" s="524" t="s">
        <v>2983</v>
      </c>
      <c r="G578" s="524" t="s">
        <v>2984</v>
      </c>
      <c r="H578" s="499">
        <v>35</v>
      </c>
      <c r="I578" s="518">
        <v>4</v>
      </c>
      <c r="J578" s="518" t="s">
        <v>2985</v>
      </c>
      <c r="K578" s="222"/>
      <c r="L578" s="140"/>
      <c r="N578" s="140"/>
    </row>
    <row r="579" spans="1:14" s="6" customFormat="1">
      <c r="A579" s="478" t="s">
        <v>2959</v>
      </c>
      <c r="B579" s="477" t="s">
        <v>2986</v>
      </c>
      <c r="C579" s="272"/>
      <c r="D579" s="272"/>
      <c r="E579" s="272"/>
      <c r="F579" s="518" t="s">
        <v>2501</v>
      </c>
      <c r="G579" s="477" t="s">
        <v>2986</v>
      </c>
      <c r="H579" s="368">
        <v>8.1999999999999993</v>
      </c>
      <c r="I579" s="368"/>
      <c r="J579" s="369"/>
      <c r="K579" s="222"/>
      <c r="L579" s="140"/>
      <c r="N579" s="140"/>
    </row>
    <row r="580" spans="1:14" s="6" customFormat="1">
      <c r="A580" s="484" t="s">
        <v>2999</v>
      </c>
      <c r="B580" s="483" t="s">
        <v>3000</v>
      </c>
      <c r="C580" s="272">
        <v>22931694</v>
      </c>
      <c r="D580" s="272"/>
      <c r="E580" s="272"/>
      <c r="F580" s="483" t="s">
        <v>2091</v>
      </c>
      <c r="G580" s="483" t="s">
        <v>3001</v>
      </c>
      <c r="H580" s="368">
        <v>22</v>
      </c>
      <c r="I580" s="368"/>
      <c r="J580" s="369"/>
      <c r="K580" s="222"/>
      <c r="L580" s="140"/>
      <c r="N580" s="140"/>
    </row>
    <row r="581" spans="1:14" s="6" customFormat="1">
      <c r="A581" s="484" t="s">
        <v>2999</v>
      </c>
      <c r="B581" s="515" t="s">
        <v>3002</v>
      </c>
      <c r="C581" s="450">
        <v>75701409</v>
      </c>
      <c r="D581" s="450"/>
      <c r="E581" s="450"/>
      <c r="F581" s="485" t="s">
        <v>3003</v>
      </c>
      <c r="G581" s="485" t="s">
        <v>3004</v>
      </c>
      <c r="H581" s="451">
        <v>22</v>
      </c>
      <c r="I581" s="368">
        <v>3</v>
      </c>
      <c r="J581" s="369">
        <v>25</v>
      </c>
      <c r="K581" s="222"/>
      <c r="L581" s="140"/>
      <c r="N581" s="140"/>
    </row>
    <row r="582" spans="1:14" s="6" customFormat="1">
      <c r="A582" s="484" t="s">
        <v>2999</v>
      </c>
      <c r="B582" s="543" t="s">
        <v>3006</v>
      </c>
      <c r="C582" s="272"/>
      <c r="D582" s="272"/>
      <c r="E582" s="272"/>
      <c r="F582" s="483" t="s">
        <v>3007</v>
      </c>
      <c r="G582" s="483" t="s">
        <v>3008</v>
      </c>
      <c r="H582" s="368">
        <v>33</v>
      </c>
      <c r="I582" s="368"/>
      <c r="J582" s="369"/>
      <c r="K582" s="222"/>
      <c r="L582" s="140"/>
      <c r="N582" s="140"/>
    </row>
    <row r="583" spans="1:14" s="6" customFormat="1">
      <c r="A583" s="484" t="s">
        <v>2999</v>
      </c>
      <c r="B583" s="486" t="s">
        <v>3010</v>
      </c>
      <c r="C583" s="97"/>
      <c r="D583" s="97"/>
      <c r="E583" s="97"/>
      <c r="F583" s="486" t="s">
        <v>2265</v>
      </c>
      <c r="G583" s="486" t="s">
        <v>3011</v>
      </c>
      <c r="H583" s="379">
        <v>22</v>
      </c>
      <c r="I583" s="368">
        <v>5</v>
      </c>
      <c r="J583" s="369"/>
      <c r="K583" s="222"/>
      <c r="L583" s="140"/>
      <c r="N583" s="140"/>
    </row>
    <row r="584" spans="1:14" s="6" customFormat="1">
      <c r="A584" s="484" t="s">
        <v>2999</v>
      </c>
      <c r="B584" s="483" t="s">
        <v>3012</v>
      </c>
      <c r="C584" s="272">
        <v>55202547</v>
      </c>
      <c r="D584" s="272"/>
      <c r="E584" s="272"/>
      <c r="F584" s="483" t="s">
        <v>935</v>
      </c>
      <c r="G584" s="483" t="s">
        <v>3013</v>
      </c>
      <c r="H584" s="368">
        <v>22</v>
      </c>
      <c r="I584" s="368"/>
      <c r="J584" s="369"/>
      <c r="K584" s="222"/>
      <c r="L584" s="140"/>
      <c r="N584" s="140"/>
    </row>
    <row r="585" spans="1:14" s="6" customFormat="1">
      <c r="A585" s="484" t="s">
        <v>2999</v>
      </c>
      <c r="B585" s="491" t="s">
        <v>3014</v>
      </c>
      <c r="C585" s="272">
        <v>97972768</v>
      </c>
      <c r="D585" s="272"/>
      <c r="E585" s="272"/>
      <c r="F585" s="483" t="s">
        <v>935</v>
      </c>
      <c r="G585" s="483" t="s">
        <v>3015</v>
      </c>
      <c r="H585" s="368">
        <v>22</v>
      </c>
      <c r="I585" s="368"/>
      <c r="J585" s="369"/>
      <c r="K585" s="222"/>
      <c r="L585" s="140"/>
      <c r="N585" s="140"/>
    </row>
    <row r="586" spans="1:14" s="6" customFormat="1">
      <c r="A586" s="490" t="s">
        <v>3017</v>
      </c>
      <c r="B586" s="491" t="s">
        <v>3018</v>
      </c>
      <c r="C586" s="272">
        <v>91274561</v>
      </c>
      <c r="D586" s="272"/>
      <c r="E586" s="272"/>
      <c r="F586" s="491" t="s">
        <v>3019</v>
      </c>
      <c r="G586" s="491" t="s">
        <v>3020</v>
      </c>
      <c r="H586" s="368">
        <v>33</v>
      </c>
      <c r="I586" s="368"/>
      <c r="J586" s="369"/>
      <c r="K586" s="222"/>
      <c r="L586" s="140"/>
      <c r="N586" s="140"/>
    </row>
    <row r="587" spans="1:14" s="6" customFormat="1">
      <c r="A587" s="490" t="s">
        <v>3017</v>
      </c>
      <c r="B587" s="491" t="s">
        <v>3021</v>
      </c>
      <c r="C587" s="272">
        <v>92718317</v>
      </c>
      <c r="D587" s="272"/>
      <c r="E587" s="272"/>
      <c r="F587" s="491" t="s">
        <v>2795</v>
      </c>
      <c r="G587" s="491" t="s">
        <v>3022</v>
      </c>
      <c r="H587" s="368">
        <v>22</v>
      </c>
      <c r="I587" s="368"/>
      <c r="J587" s="369"/>
      <c r="K587" s="222"/>
      <c r="L587" s="140"/>
      <c r="N587" s="140"/>
    </row>
    <row r="588" spans="1:14" s="6" customFormat="1">
      <c r="A588" s="490" t="s">
        <v>3017</v>
      </c>
      <c r="B588" s="491" t="s">
        <v>3023</v>
      </c>
      <c r="C588" s="272">
        <v>77165649</v>
      </c>
      <c r="D588" s="272"/>
      <c r="E588" s="272"/>
      <c r="F588" s="491" t="s">
        <v>666</v>
      </c>
      <c r="G588" s="491" t="s">
        <v>3024</v>
      </c>
      <c r="H588" s="368">
        <v>32</v>
      </c>
      <c r="I588" s="368"/>
      <c r="J588" s="369"/>
      <c r="K588" s="222"/>
      <c r="L588" s="140"/>
      <c r="N588" s="140"/>
    </row>
    <row r="589" spans="1:14" s="6" customFormat="1">
      <c r="A589" s="490" t="s">
        <v>3030</v>
      </c>
      <c r="B589" s="491" t="s">
        <v>3031</v>
      </c>
      <c r="C589" s="272">
        <v>46425471</v>
      </c>
      <c r="D589" s="272"/>
      <c r="E589" s="272"/>
      <c r="F589" s="491" t="s">
        <v>3032</v>
      </c>
      <c r="G589" s="491" t="s">
        <v>3033</v>
      </c>
      <c r="H589" s="368">
        <v>22</v>
      </c>
      <c r="I589" s="368"/>
      <c r="J589" s="369"/>
      <c r="K589" s="222"/>
      <c r="L589" s="140"/>
      <c r="N589" s="140"/>
    </row>
    <row r="590" spans="1:14" s="6" customFormat="1">
      <c r="A590" s="490" t="s">
        <v>3030</v>
      </c>
      <c r="B590" s="491" t="s">
        <v>3034</v>
      </c>
      <c r="C590" s="272">
        <v>91846909</v>
      </c>
      <c r="D590" s="272"/>
      <c r="E590" s="272"/>
      <c r="F590" s="491" t="s">
        <v>2283</v>
      </c>
      <c r="G590" s="491" t="s">
        <v>3035</v>
      </c>
      <c r="H590" s="368">
        <v>22</v>
      </c>
      <c r="I590" s="368"/>
      <c r="J590" s="369"/>
      <c r="K590" s="222"/>
      <c r="L590" s="140"/>
      <c r="N590" s="140"/>
    </row>
    <row r="591" spans="1:14" s="6" customFormat="1">
      <c r="A591" s="490" t="s">
        <v>3030</v>
      </c>
      <c r="B591" s="491" t="s">
        <v>3036</v>
      </c>
      <c r="C591" s="272">
        <v>93937884</v>
      </c>
      <c r="D591" s="272"/>
      <c r="E591" s="272"/>
      <c r="F591" s="491" t="s">
        <v>1958</v>
      </c>
      <c r="G591" s="491" t="s">
        <v>3041</v>
      </c>
      <c r="H591" s="368">
        <v>22</v>
      </c>
      <c r="I591" s="368"/>
      <c r="J591" s="369"/>
      <c r="K591" s="222"/>
      <c r="L591" s="140"/>
      <c r="N591" s="140"/>
    </row>
    <row r="592" spans="1:14" s="6" customFormat="1">
      <c r="A592" s="490" t="s">
        <v>3030</v>
      </c>
      <c r="B592" s="491" t="s">
        <v>3037</v>
      </c>
      <c r="C592" s="272">
        <v>48701219</v>
      </c>
      <c r="D592" s="272"/>
      <c r="E592" s="272"/>
      <c r="F592" s="491" t="s">
        <v>1958</v>
      </c>
      <c r="G592" s="491" t="s">
        <v>3040</v>
      </c>
      <c r="H592" s="368">
        <v>22</v>
      </c>
      <c r="I592" s="368"/>
      <c r="J592" s="369"/>
      <c r="K592" s="222"/>
      <c r="L592" s="140"/>
      <c r="N592" s="140"/>
    </row>
    <row r="593" spans="1:14" s="6" customFormat="1">
      <c r="A593" s="490" t="s">
        <v>3030</v>
      </c>
      <c r="B593" s="491" t="s">
        <v>3038</v>
      </c>
      <c r="C593" s="272">
        <v>19164567</v>
      </c>
      <c r="D593" s="272"/>
      <c r="E593" s="272"/>
      <c r="F593" s="491" t="s">
        <v>1928</v>
      </c>
      <c r="G593" s="491" t="s">
        <v>3039</v>
      </c>
      <c r="H593" s="368">
        <v>26.5</v>
      </c>
      <c r="I593" s="502"/>
      <c r="J593" s="369"/>
      <c r="K593" s="222"/>
      <c r="L593" s="140"/>
      <c r="N593" s="140"/>
    </row>
    <row r="594" spans="1:14" s="6" customFormat="1">
      <c r="A594" s="490" t="s">
        <v>3030</v>
      </c>
      <c r="B594" s="491" t="s">
        <v>3051</v>
      </c>
      <c r="C594" s="272"/>
      <c r="D594" s="272"/>
      <c r="E594" s="272"/>
      <c r="F594" s="491" t="s">
        <v>1984</v>
      </c>
      <c r="G594" s="491"/>
      <c r="H594" s="368">
        <v>22</v>
      </c>
      <c r="I594" s="368"/>
      <c r="J594" s="369"/>
      <c r="K594" s="222"/>
      <c r="L594" s="140"/>
      <c r="N594" s="140"/>
    </row>
    <row r="595" spans="1:14" s="6" customFormat="1">
      <c r="A595" s="490" t="s">
        <v>3030</v>
      </c>
      <c r="B595" s="532" t="s">
        <v>3046</v>
      </c>
      <c r="C595" s="272"/>
      <c r="D595" s="272" t="s">
        <v>3047</v>
      </c>
      <c r="E595" s="272"/>
      <c r="F595" s="491" t="s">
        <v>2091</v>
      </c>
      <c r="G595" s="491" t="s">
        <v>3048</v>
      </c>
      <c r="H595" s="368">
        <v>20</v>
      </c>
      <c r="I595" s="368"/>
      <c r="J595" s="369"/>
      <c r="K595" s="222"/>
      <c r="L595" s="140"/>
      <c r="N595" s="140"/>
    </row>
    <row r="596" spans="1:14" s="6" customFormat="1">
      <c r="A596" s="504" t="s">
        <v>3053</v>
      </c>
      <c r="B596" s="535" t="s">
        <v>3052</v>
      </c>
      <c r="C596" s="536">
        <v>51992724</v>
      </c>
      <c r="D596" s="536"/>
      <c r="E596" s="536"/>
      <c r="F596" s="535" t="s">
        <v>931</v>
      </c>
      <c r="G596" s="535" t="s">
        <v>3054</v>
      </c>
      <c r="H596" s="537">
        <v>22</v>
      </c>
      <c r="I596" s="368"/>
      <c r="J596" s="369"/>
      <c r="K596" s="222"/>
      <c r="L596" s="140"/>
      <c r="N596" s="140"/>
    </row>
    <row r="597" spans="1:14" s="6" customFormat="1">
      <c r="A597" s="504" t="s">
        <v>3053</v>
      </c>
      <c r="B597" s="491"/>
      <c r="C597" s="272"/>
      <c r="D597" s="272"/>
      <c r="E597" s="272"/>
      <c r="F597" s="491"/>
      <c r="G597" s="503" t="s">
        <v>3056</v>
      </c>
      <c r="H597" s="368"/>
      <c r="I597" s="368">
        <v>17.25</v>
      </c>
      <c r="J597" s="369"/>
      <c r="K597" s="222"/>
      <c r="L597" s="140"/>
      <c r="N597" s="140"/>
    </row>
    <row r="598" spans="1:14" s="6" customFormat="1">
      <c r="A598" s="504" t="s">
        <v>3053</v>
      </c>
      <c r="B598" s="447"/>
      <c r="C598" s="272"/>
      <c r="D598" s="272"/>
      <c r="E598" s="272"/>
      <c r="F598" s="460"/>
      <c r="G598" s="514" t="s">
        <v>3062</v>
      </c>
      <c r="H598" s="368"/>
      <c r="I598" s="368">
        <v>18</v>
      </c>
      <c r="J598" s="369"/>
      <c r="K598" s="222"/>
      <c r="L598" s="140"/>
      <c r="N598" s="140"/>
    </row>
    <row r="599" spans="1:14" s="6" customFormat="1">
      <c r="A599" s="506" t="s">
        <v>3057</v>
      </c>
      <c r="B599" s="447"/>
      <c r="C599" s="272"/>
      <c r="D599" s="272"/>
      <c r="E599" s="272"/>
      <c r="F599" s="460"/>
      <c r="G599" s="505" t="s">
        <v>3058</v>
      </c>
      <c r="H599" s="368"/>
      <c r="I599" s="368">
        <v>18.5</v>
      </c>
      <c r="J599" s="369"/>
      <c r="K599" s="222"/>
      <c r="L599" s="140"/>
      <c r="N599" s="140"/>
    </row>
    <row r="600" spans="1:14" s="6" customFormat="1">
      <c r="A600" s="506" t="s">
        <v>3057</v>
      </c>
      <c r="B600" s="505" t="s">
        <v>753</v>
      </c>
      <c r="C600" s="272"/>
      <c r="D600" s="272"/>
      <c r="E600" s="272"/>
      <c r="F600" s="505" t="s">
        <v>2795</v>
      </c>
      <c r="G600" s="505" t="s">
        <v>3059</v>
      </c>
      <c r="H600" s="368">
        <v>22</v>
      </c>
      <c r="I600" s="368"/>
      <c r="J600" s="369"/>
      <c r="K600" s="222"/>
      <c r="L600" s="140"/>
      <c r="N600" s="140"/>
    </row>
    <row r="601" spans="1:14" s="6" customFormat="1">
      <c r="A601" s="508" t="s">
        <v>3057</v>
      </c>
      <c r="B601" s="507" t="s">
        <v>3060</v>
      </c>
      <c r="C601" s="272">
        <v>66735972</v>
      </c>
      <c r="D601" s="272"/>
      <c r="E601" s="272"/>
      <c r="F601" s="507" t="s">
        <v>2091</v>
      </c>
      <c r="G601" s="507" t="s">
        <v>3061</v>
      </c>
      <c r="H601" s="368">
        <v>21</v>
      </c>
      <c r="I601" s="368"/>
      <c r="J601" s="369"/>
      <c r="K601" s="222"/>
      <c r="L601" s="140"/>
      <c r="N601" s="140"/>
    </row>
    <row r="602" spans="1:14" s="6" customFormat="1">
      <c r="A602" s="517" t="s">
        <v>3064</v>
      </c>
      <c r="B602" s="518" t="s">
        <v>3065</v>
      </c>
      <c r="C602" s="272"/>
      <c r="D602" s="272"/>
      <c r="E602" s="272"/>
      <c r="F602" s="518" t="s">
        <v>597</v>
      </c>
      <c r="G602" s="518" t="s">
        <v>3066</v>
      </c>
      <c r="H602" s="368">
        <v>17</v>
      </c>
      <c r="I602" s="368"/>
      <c r="J602" s="369"/>
      <c r="K602" s="222"/>
      <c r="L602" s="140"/>
      <c r="N602" s="140"/>
    </row>
    <row r="603" spans="1:14" s="6" customFormat="1">
      <c r="A603" s="517" t="s">
        <v>3064</v>
      </c>
      <c r="B603" s="518" t="s">
        <v>3067</v>
      </c>
      <c r="C603" s="272">
        <v>85521953</v>
      </c>
      <c r="D603" s="272"/>
      <c r="E603" s="272"/>
      <c r="F603" s="518" t="s">
        <v>1984</v>
      </c>
      <c r="G603" s="518" t="s">
        <v>3068</v>
      </c>
      <c r="H603" s="368">
        <v>22</v>
      </c>
      <c r="I603" s="368"/>
      <c r="J603" s="369"/>
      <c r="K603" s="222"/>
      <c r="L603" s="140"/>
      <c r="N603" s="140"/>
    </row>
    <row r="604" spans="1:14" s="6" customFormat="1">
      <c r="A604" s="517" t="s">
        <v>3064</v>
      </c>
      <c r="B604" s="518" t="s">
        <v>3069</v>
      </c>
      <c r="C604" s="272">
        <v>64615493</v>
      </c>
      <c r="D604" s="272"/>
      <c r="E604" s="272"/>
      <c r="F604" s="518" t="s">
        <v>1984</v>
      </c>
      <c r="G604" s="518" t="s">
        <v>3070</v>
      </c>
      <c r="H604" s="368">
        <v>22</v>
      </c>
      <c r="I604" s="368"/>
      <c r="J604" s="369"/>
      <c r="K604" s="222"/>
      <c r="L604" s="140"/>
      <c r="N604" s="140"/>
    </row>
    <row r="605" spans="1:14" s="6" customFormat="1">
      <c r="A605" s="517" t="s">
        <v>3064</v>
      </c>
      <c r="B605" s="518" t="s">
        <v>3071</v>
      </c>
      <c r="C605" s="272">
        <v>85568220</v>
      </c>
      <c r="D605" s="272"/>
      <c r="E605" s="272"/>
      <c r="F605" s="518" t="s">
        <v>960</v>
      </c>
      <c r="G605" s="518" t="s">
        <v>3072</v>
      </c>
      <c r="H605" s="368">
        <v>22</v>
      </c>
      <c r="I605" s="368"/>
      <c r="J605" s="369"/>
      <c r="K605" s="222"/>
      <c r="L605" s="140"/>
      <c r="N605" s="140"/>
    </row>
    <row r="606" spans="1:14" s="6" customFormat="1">
      <c r="A606" s="517" t="s">
        <v>3064</v>
      </c>
      <c r="B606" s="518" t="s">
        <v>3073</v>
      </c>
      <c r="C606" s="272">
        <v>27533861</v>
      </c>
      <c r="D606" s="272"/>
      <c r="E606" s="272"/>
      <c r="F606" s="518" t="s">
        <v>2501</v>
      </c>
      <c r="G606" s="518" t="s">
        <v>3074</v>
      </c>
      <c r="H606" s="368">
        <v>22</v>
      </c>
      <c r="I606" s="368"/>
      <c r="J606" s="369"/>
      <c r="K606" s="222"/>
      <c r="L606" s="140"/>
      <c r="N606" s="140"/>
    </row>
    <row r="607" spans="1:14" s="6" customFormat="1">
      <c r="A607" s="517" t="s">
        <v>3064</v>
      </c>
      <c r="B607" s="518" t="s">
        <v>3081</v>
      </c>
      <c r="C607" s="522">
        <v>29367258</v>
      </c>
      <c r="D607" s="272"/>
      <c r="E607" s="272"/>
      <c r="F607" s="518" t="s">
        <v>1134</v>
      </c>
      <c r="G607" s="518" t="s">
        <v>3075</v>
      </c>
      <c r="H607" s="368">
        <v>26.5</v>
      </c>
      <c r="I607" s="368"/>
      <c r="J607" s="369"/>
      <c r="K607" s="222"/>
      <c r="L607" s="140"/>
      <c r="N607" s="140"/>
    </row>
    <row r="608" spans="1:14" s="6" customFormat="1">
      <c r="A608" s="517" t="s">
        <v>3064</v>
      </c>
      <c r="B608" s="518" t="s">
        <v>3077</v>
      </c>
      <c r="C608" s="272">
        <v>36498222</v>
      </c>
      <c r="D608" s="272"/>
      <c r="E608" s="272"/>
      <c r="F608" s="518" t="s">
        <v>935</v>
      </c>
      <c r="G608" s="518" t="s">
        <v>3078</v>
      </c>
      <c r="H608" s="368">
        <v>22</v>
      </c>
      <c r="I608" s="368"/>
      <c r="J608" s="369"/>
      <c r="K608" s="222"/>
      <c r="L608" s="140"/>
      <c r="N608" s="140"/>
    </row>
    <row r="609" spans="1:14" s="6" customFormat="1">
      <c r="A609" s="517" t="s">
        <v>3064</v>
      </c>
      <c r="B609" s="518" t="s">
        <v>3087</v>
      </c>
      <c r="C609" s="272">
        <v>34932013</v>
      </c>
      <c r="D609" s="272"/>
      <c r="E609" s="272"/>
      <c r="F609" s="518" t="s">
        <v>3088</v>
      </c>
      <c r="G609" s="518" t="s">
        <v>3089</v>
      </c>
      <c r="H609" s="368">
        <v>22</v>
      </c>
      <c r="I609" s="368"/>
      <c r="J609" s="369"/>
      <c r="K609" s="222"/>
      <c r="L609" s="140"/>
      <c r="N609" s="140"/>
    </row>
    <row r="610" spans="1:14" s="6" customFormat="1">
      <c r="A610" s="517" t="s">
        <v>3064</v>
      </c>
      <c r="B610" s="518"/>
      <c r="C610" s="272"/>
      <c r="D610" s="272"/>
      <c r="E610" s="272"/>
      <c r="F610" s="518"/>
      <c r="G610" s="518" t="s">
        <v>2073</v>
      </c>
      <c r="H610" s="368"/>
      <c r="I610" s="368">
        <v>17</v>
      </c>
      <c r="J610" s="369"/>
      <c r="K610" s="222"/>
      <c r="L610" s="140"/>
      <c r="N610" s="140"/>
    </row>
    <row r="611" spans="1:14" s="6" customFormat="1">
      <c r="A611" s="517" t="s">
        <v>3064</v>
      </c>
      <c r="B611" s="518"/>
      <c r="C611" s="272"/>
      <c r="D611" s="272"/>
      <c r="E611" s="272"/>
      <c r="F611" s="518"/>
      <c r="G611" s="518" t="s">
        <v>2760</v>
      </c>
      <c r="H611" s="368"/>
      <c r="I611" s="368">
        <v>17</v>
      </c>
      <c r="J611" s="369"/>
      <c r="K611" s="222"/>
      <c r="L611" s="140"/>
      <c r="N611" s="140"/>
    </row>
    <row r="612" spans="1:14" s="6" customFormat="1">
      <c r="A612" s="517" t="s">
        <v>3064</v>
      </c>
      <c r="B612" s="518"/>
      <c r="C612" s="272"/>
      <c r="D612" s="272"/>
      <c r="E612" s="272"/>
      <c r="F612" s="518"/>
      <c r="G612" s="518" t="s">
        <v>2760</v>
      </c>
      <c r="H612" s="368"/>
      <c r="I612" s="368">
        <v>17</v>
      </c>
      <c r="J612" s="369"/>
      <c r="K612" s="222"/>
      <c r="L612" s="140"/>
      <c r="N612" s="140"/>
    </row>
    <row r="613" spans="1:14" s="6" customFormat="1">
      <c r="A613" s="517" t="s">
        <v>3064</v>
      </c>
      <c r="B613" s="518"/>
      <c r="C613" s="272"/>
      <c r="D613" s="272"/>
      <c r="E613" s="272"/>
      <c r="F613" s="518"/>
      <c r="G613" s="518" t="s">
        <v>3091</v>
      </c>
      <c r="H613" s="368"/>
      <c r="I613" s="368">
        <v>17.149999999999999</v>
      </c>
      <c r="J613" s="369"/>
      <c r="K613" s="222"/>
      <c r="L613" s="140"/>
      <c r="N613" s="140"/>
    </row>
    <row r="614" spans="1:14" s="6" customFormat="1">
      <c r="A614" s="517" t="s">
        <v>3095</v>
      </c>
      <c r="B614" s="518"/>
      <c r="C614" s="272"/>
      <c r="D614" s="272"/>
      <c r="E614" s="272"/>
      <c r="F614" s="518"/>
      <c r="G614" s="518" t="s">
        <v>3096</v>
      </c>
      <c r="H614" s="368"/>
      <c r="I614" s="368">
        <v>17</v>
      </c>
      <c r="J614" s="369"/>
      <c r="K614" s="222"/>
      <c r="L614" s="140"/>
      <c r="N614" s="140"/>
    </row>
    <row r="615" spans="1:14" s="6" customFormat="1">
      <c r="A615" s="530" t="s">
        <v>3095</v>
      </c>
      <c r="B615" s="527" t="s">
        <v>3105</v>
      </c>
      <c r="C615" s="272">
        <v>20800013</v>
      </c>
      <c r="D615" s="272"/>
      <c r="E615" s="272"/>
      <c r="F615" s="527" t="s">
        <v>1926</v>
      </c>
      <c r="G615" s="527" t="s">
        <v>3106</v>
      </c>
      <c r="H615" s="368">
        <v>22</v>
      </c>
      <c r="I615" s="368"/>
      <c r="J615" s="369"/>
      <c r="K615" s="222"/>
      <c r="L615" s="140"/>
      <c r="N615" s="140"/>
    </row>
    <row r="616" spans="1:14" s="6" customFormat="1">
      <c r="A616" s="517"/>
      <c r="B616" s="518"/>
      <c r="C616" s="272"/>
      <c r="D616" s="272"/>
      <c r="E616" s="272"/>
      <c r="F616" s="518"/>
      <c r="G616" s="518"/>
      <c r="H616" s="368"/>
      <c r="I616" s="368"/>
      <c r="J616" s="369"/>
      <c r="K616" s="222"/>
      <c r="L616" s="140"/>
      <c r="N616" s="140"/>
    </row>
    <row r="617" spans="1:14" s="6" customFormat="1">
      <c r="A617" s="517"/>
      <c r="B617" s="518"/>
      <c r="C617" s="272"/>
      <c r="D617" s="272"/>
      <c r="E617" s="272"/>
      <c r="F617" s="518"/>
      <c r="G617" s="518"/>
      <c r="H617" s="368"/>
      <c r="I617" s="368"/>
      <c r="J617" s="369"/>
      <c r="K617" s="222"/>
      <c r="L617" s="140"/>
      <c r="N617" s="140"/>
    </row>
    <row r="618" spans="1:14" s="6" customFormat="1">
      <c r="A618" s="517"/>
      <c r="B618" s="518"/>
      <c r="C618" s="272"/>
      <c r="D618" s="272"/>
      <c r="E618" s="272"/>
      <c r="F618" s="518"/>
      <c r="G618" s="518"/>
      <c r="H618" s="368"/>
      <c r="I618" s="368"/>
      <c r="J618" s="369"/>
      <c r="K618" s="222"/>
      <c r="L618" s="140"/>
      <c r="N618" s="140"/>
    </row>
    <row r="619" spans="1:14" s="6" customFormat="1">
      <c r="A619" s="517"/>
      <c r="B619" s="518"/>
      <c r="C619" s="272"/>
      <c r="D619" s="272"/>
      <c r="E619" s="272"/>
      <c r="F619" s="518"/>
      <c r="G619" s="518"/>
      <c r="H619" s="368">
        <v>3</v>
      </c>
      <c r="I619" s="368"/>
      <c r="J619" s="369"/>
      <c r="K619" s="222"/>
      <c r="L619" s="140"/>
      <c r="N619" s="140"/>
    </row>
    <row r="620" spans="1:14" s="6" customFormat="1">
      <c r="A620" s="517" t="s">
        <v>3064</v>
      </c>
      <c r="B620" s="518" t="s">
        <v>3082</v>
      </c>
      <c r="C620" s="272">
        <v>44975389</v>
      </c>
      <c r="D620" s="272"/>
      <c r="E620" s="272"/>
      <c r="F620" s="518" t="s">
        <v>1984</v>
      </c>
      <c r="G620" s="518" t="s">
        <v>3083</v>
      </c>
      <c r="H620" s="368"/>
      <c r="I620" s="368"/>
      <c r="J620" s="369"/>
      <c r="K620" s="222"/>
      <c r="L620" s="140"/>
      <c r="N620" s="140"/>
    </row>
    <row r="621" spans="1:14" s="6" customFormat="1">
      <c r="A621" s="517"/>
      <c r="B621" s="518"/>
      <c r="C621" s="272"/>
      <c r="D621" s="272"/>
      <c r="E621" s="272"/>
      <c r="F621" s="518"/>
      <c r="G621" s="518"/>
      <c r="H621" s="368"/>
      <c r="I621" s="368"/>
      <c r="J621" s="369"/>
      <c r="K621" s="222"/>
      <c r="L621" s="140"/>
      <c r="N621" s="140"/>
    </row>
    <row r="622" spans="1:14" s="6" customFormat="1">
      <c r="A622" s="517"/>
      <c r="B622" s="518"/>
      <c r="C622" s="272"/>
      <c r="D622" s="272"/>
      <c r="E622" s="272"/>
      <c r="F622" s="518"/>
      <c r="G622" s="518"/>
      <c r="H622" s="368"/>
      <c r="I622" s="368"/>
      <c r="J622" s="369"/>
      <c r="K622" s="222"/>
      <c r="L622" s="140"/>
      <c r="N622" s="140"/>
    </row>
    <row r="623" spans="1:14" s="6" customFormat="1">
      <c r="A623" s="517"/>
      <c r="B623" s="529" t="s">
        <v>3102</v>
      </c>
      <c r="C623" s="497">
        <v>69769773</v>
      </c>
      <c r="D623" s="497"/>
      <c r="E623" s="497"/>
      <c r="F623" s="529" t="s">
        <v>3103</v>
      </c>
      <c r="G623" s="529" t="s">
        <v>3104</v>
      </c>
      <c r="H623" s="499"/>
      <c r="I623" s="368">
        <v>4</v>
      </c>
      <c r="J623" s="369"/>
      <c r="K623" s="222"/>
      <c r="L623" s="140"/>
      <c r="N623" s="140"/>
    </row>
    <row r="624" spans="1:14" s="6" customFormat="1">
      <c r="A624" s="517"/>
      <c r="B624" s="528" t="s">
        <v>3101</v>
      </c>
      <c r="C624" s="450">
        <v>32468431</v>
      </c>
      <c r="D624" s="450"/>
      <c r="E624" s="450"/>
      <c r="F624" s="528" t="s">
        <v>3098</v>
      </c>
      <c r="G624" s="528" t="s">
        <v>3099</v>
      </c>
      <c r="H624" s="451"/>
      <c r="I624" s="368">
        <v>3</v>
      </c>
      <c r="J624" s="369"/>
      <c r="K624" s="222"/>
      <c r="L624" s="140"/>
      <c r="N624" s="140"/>
    </row>
    <row r="625" spans="1:14" s="6" customFormat="1">
      <c r="A625" s="517"/>
      <c r="B625" s="528" t="s">
        <v>3100</v>
      </c>
      <c r="C625" s="450">
        <v>24327713</v>
      </c>
      <c r="D625" s="450"/>
      <c r="E625" s="450"/>
      <c r="F625" s="528" t="s">
        <v>3098</v>
      </c>
      <c r="G625" s="528" t="s">
        <v>3099</v>
      </c>
      <c r="H625" s="451"/>
      <c r="I625" s="368">
        <v>3</v>
      </c>
      <c r="J625" s="369"/>
      <c r="K625" s="222"/>
      <c r="L625" s="140"/>
      <c r="N625" s="140"/>
    </row>
    <row r="626" spans="1:14" s="6" customFormat="1">
      <c r="A626" s="517"/>
      <c r="B626" s="528" t="s">
        <v>3097</v>
      </c>
      <c r="C626" s="450">
        <v>69816061</v>
      </c>
      <c r="D626" s="450"/>
      <c r="E626" s="450"/>
      <c r="F626" s="528" t="s">
        <v>3098</v>
      </c>
      <c r="G626" s="528" t="s">
        <v>3099</v>
      </c>
      <c r="H626" s="451"/>
      <c r="I626" s="368">
        <v>3</v>
      </c>
      <c r="J626" s="369"/>
      <c r="K626" s="222"/>
      <c r="L626" s="140"/>
      <c r="N626" s="140"/>
    </row>
    <row r="627" spans="1:14" s="6" customFormat="1">
      <c r="A627" s="490"/>
      <c r="B627" s="521" t="s">
        <v>3079</v>
      </c>
      <c r="C627" s="497">
        <v>65326730</v>
      </c>
      <c r="D627" s="497"/>
      <c r="E627" s="497"/>
      <c r="F627" s="521" t="s">
        <v>643</v>
      </c>
      <c r="G627" s="521" t="s">
        <v>3080</v>
      </c>
      <c r="H627" s="499"/>
      <c r="I627" s="368">
        <v>4</v>
      </c>
      <c r="J627" s="369"/>
      <c r="K627" s="222"/>
      <c r="L627" s="140"/>
      <c r="N627" s="140"/>
    </row>
    <row r="628" spans="1:14" s="6" customFormat="1">
      <c r="A628" s="446"/>
      <c r="B628" s="521" t="s">
        <v>2973</v>
      </c>
      <c r="C628" s="497">
        <v>96865823</v>
      </c>
      <c r="D628" s="497"/>
      <c r="E628" s="497"/>
      <c r="F628" s="524" t="s">
        <v>643</v>
      </c>
      <c r="G628" s="524" t="s">
        <v>2974</v>
      </c>
      <c r="H628" s="499"/>
      <c r="I628" s="460">
        <v>4</v>
      </c>
      <c r="J628" s="369"/>
      <c r="K628" s="222"/>
      <c r="L628" s="140"/>
      <c r="N628" s="140"/>
    </row>
    <row r="629" spans="1:14" s="6" customFormat="1">
      <c r="A629" s="435"/>
      <c r="B629" s="452" t="s">
        <v>2892</v>
      </c>
      <c r="C629" s="97">
        <v>50909387</v>
      </c>
      <c r="D629" s="97"/>
      <c r="E629" s="97"/>
      <c r="F629" s="436"/>
      <c r="G629" s="453" t="s">
        <v>2893</v>
      </c>
      <c r="H629" s="379"/>
      <c r="I629" s="368"/>
      <c r="J629" s="369"/>
      <c r="K629" s="222"/>
      <c r="L629" s="140"/>
      <c r="N629" s="140"/>
    </row>
    <row r="630" spans="1:14" s="6" customFormat="1">
      <c r="A630" s="435"/>
      <c r="B630" s="442" t="s">
        <v>2860</v>
      </c>
      <c r="C630" s="97">
        <v>55868468</v>
      </c>
      <c r="D630" s="97"/>
      <c r="E630" s="97"/>
      <c r="F630" s="436"/>
      <c r="G630" s="436" t="s">
        <v>2861</v>
      </c>
      <c r="H630" s="379"/>
      <c r="I630" s="368"/>
      <c r="J630" s="369"/>
      <c r="K630" s="222"/>
      <c r="L630" s="140"/>
      <c r="N630" s="140"/>
    </row>
    <row r="631" spans="1:14" s="6" customFormat="1">
      <c r="A631" s="427"/>
      <c r="B631" s="442" t="s">
        <v>2859</v>
      </c>
      <c r="C631" s="97">
        <v>33133489</v>
      </c>
      <c r="D631" s="97"/>
      <c r="E631" s="97"/>
      <c r="F631" s="428"/>
      <c r="G631" s="436" t="s">
        <v>2861</v>
      </c>
      <c r="H631" s="379"/>
      <c r="I631" s="368"/>
      <c r="J631" s="369"/>
      <c r="K631" s="222"/>
      <c r="L631" s="140"/>
      <c r="N631" s="140"/>
    </row>
    <row r="632" spans="1:14" s="6" customFormat="1">
      <c r="A632" s="423"/>
      <c r="B632" s="434" t="s">
        <v>2845</v>
      </c>
      <c r="C632" s="272">
        <v>88520567</v>
      </c>
      <c r="D632" s="272"/>
      <c r="E632" s="272"/>
      <c r="F632" s="434" t="s">
        <v>2026</v>
      </c>
      <c r="G632" s="434" t="s">
        <v>2846</v>
      </c>
      <c r="H632" s="368"/>
      <c r="I632" s="368"/>
      <c r="J632" s="369"/>
      <c r="K632" s="222"/>
      <c r="L632" s="140"/>
      <c r="N632" s="140"/>
    </row>
    <row r="633" spans="1:14" s="6" customFormat="1">
      <c r="A633" s="380"/>
      <c r="B633" s="428" t="s">
        <v>2781</v>
      </c>
      <c r="C633" s="97">
        <v>993601919</v>
      </c>
      <c r="D633" s="97"/>
      <c r="E633" s="97"/>
      <c r="F633" s="382"/>
      <c r="G633" s="424" t="s">
        <v>2782</v>
      </c>
      <c r="H633" s="379"/>
      <c r="I633" s="368"/>
      <c r="J633" s="369"/>
      <c r="K633" s="222"/>
      <c r="L633" s="140"/>
      <c r="N633" s="140"/>
    </row>
    <row r="634" spans="1:14" s="6" customFormat="1">
      <c r="A634" s="380"/>
      <c r="B634" s="413" t="s">
        <v>2666</v>
      </c>
      <c r="C634" s="414">
        <v>30197396</v>
      </c>
      <c r="D634" s="414"/>
      <c r="E634" s="414"/>
      <c r="F634" s="414"/>
      <c r="G634" s="414" t="s">
        <v>2667</v>
      </c>
      <c r="H634" s="414"/>
      <c r="I634" s="409"/>
      <c r="J634" s="369"/>
      <c r="K634" s="222"/>
      <c r="L634" s="140"/>
      <c r="N634" s="140"/>
    </row>
    <row r="635" spans="1:14" s="6" customFormat="1">
      <c r="A635" s="373"/>
      <c r="B635" s="385" t="s">
        <v>2582</v>
      </c>
      <c r="C635" s="97">
        <v>96839361</v>
      </c>
      <c r="D635" s="97"/>
      <c r="E635" s="97"/>
      <c r="F635" s="379"/>
      <c r="G635" s="385" t="s">
        <v>2583</v>
      </c>
      <c r="H635" s="379"/>
      <c r="I635" s="368"/>
      <c r="J635" s="369"/>
      <c r="K635" s="222"/>
      <c r="L635" s="140"/>
      <c r="N635" s="140"/>
    </row>
    <row r="636" spans="1:14" s="6" customFormat="1">
      <c r="A636" s="364"/>
      <c r="B636" s="385" t="s">
        <v>2573</v>
      </c>
      <c r="C636" s="97"/>
      <c r="D636" s="97"/>
      <c r="E636" s="97"/>
      <c r="F636" s="379"/>
      <c r="G636" s="379"/>
      <c r="H636" s="379"/>
      <c r="I636" s="368"/>
      <c r="J636" s="369"/>
      <c r="K636" s="222"/>
      <c r="L636" s="140"/>
      <c r="N636" s="140"/>
    </row>
    <row r="637" spans="1:14" s="6" customFormat="1">
      <c r="A637" s="364"/>
      <c r="B637" s="385" t="s">
        <v>2549</v>
      </c>
      <c r="C637" s="97">
        <v>68965796</v>
      </c>
      <c r="D637" s="97"/>
      <c r="E637" s="97"/>
      <c r="F637" s="379"/>
      <c r="G637" s="378" t="s">
        <v>2550</v>
      </c>
      <c r="H637" s="379"/>
      <c r="I637" s="368"/>
      <c r="J637" s="369"/>
      <c r="K637" s="222"/>
      <c r="L637" s="140"/>
      <c r="N637" s="140"/>
    </row>
    <row r="638" spans="1:14" s="6" customFormat="1">
      <c r="A638" s="364"/>
      <c r="B638" s="385" t="s">
        <v>2542</v>
      </c>
      <c r="C638" s="97">
        <v>15336719</v>
      </c>
      <c r="D638" s="97"/>
      <c r="E638" s="97"/>
      <c r="F638" s="379"/>
      <c r="G638" s="378" t="s">
        <v>2543</v>
      </c>
      <c r="H638" s="379"/>
      <c r="I638" s="368"/>
      <c r="J638" s="369"/>
      <c r="K638" s="222"/>
      <c r="L638" s="140"/>
      <c r="N638" s="140"/>
    </row>
    <row r="639" spans="1:14" s="6" customFormat="1">
      <c r="A639" s="364"/>
      <c r="B639" s="372" t="s">
        <v>2540</v>
      </c>
      <c r="C639" s="5">
        <v>56909648</v>
      </c>
      <c r="D639" s="5"/>
      <c r="E639" s="5"/>
      <c r="F639" s="365"/>
      <c r="G639" s="372" t="s">
        <v>2541</v>
      </c>
      <c r="H639" s="365"/>
      <c r="I639" s="364"/>
      <c r="J639" s="219"/>
      <c r="K639" s="222"/>
      <c r="L639" s="140"/>
      <c r="N639" s="140"/>
    </row>
    <row r="640" spans="1:14" s="6" customFormat="1">
      <c r="A640" s="358"/>
      <c r="B640" s="371" t="s">
        <v>2505</v>
      </c>
      <c r="C640" s="5">
        <v>95663498</v>
      </c>
      <c r="D640" s="5"/>
      <c r="E640" s="5"/>
      <c r="F640" s="345"/>
      <c r="G640" s="365" t="s">
        <v>2504</v>
      </c>
      <c r="H640" s="5"/>
      <c r="J640" s="219"/>
      <c r="K640" s="222"/>
      <c r="L640" s="140"/>
      <c r="N640" s="140"/>
    </row>
    <row r="641" spans="1:14" s="6" customFormat="1">
      <c r="A641" s="349"/>
      <c r="B641" s="372" t="s">
        <v>2503</v>
      </c>
      <c r="C641" s="5">
        <v>19061547</v>
      </c>
      <c r="D641" s="5"/>
      <c r="E641" s="5"/>
      <c r="F641" s="345"/>
      <c r="G641" s="365" t="s">
        <v>2504</v>
      </c>
      <c r="H641" s="5"/>
      <c r="J641" s="219"/>
      <c r="K641" s="222"/>
      <c r="L641" s="140"/>
      <c r="N641" s="140"/>
    </row>
    <row r="642" spans="1:14" s="6" customFormat="1">
      <c r="A642" s="344"/>
      <c r="B642" s="490" t="s">
        <v>2368</v>
      </c>
      <c r="C642" s="6">
        <v>45538838</v>
      </c>
      <c r="D642" s="344" t="s">
        <v>2369</v>
      </c>
      <c r="G642" s="341"/>
      <c r="J642" s="219">
        <v>975124600</v>
      </c>
      <c r="K642" s="222"/>
      <c r="L642" s="140"/>
      <c r="N642" s="140"/>
    </row>
    <row r="643" spans="1:14" s="6" customFormat="1">
      <c r="A643" s="344"/>
      <c r="B643" s="355" t="s">
        <v>2366</v>
      </c>
      <c r="C643" s="5">
        <v>56110638</v>
      </c>
      <c r="D643" s="5"/>
      <c r="E643" s="5"/>
      <c r="F643" s="5"/>
      <c r="G643" s="345" t="s">
        <v>2367</v>
      </c>
      <c r="H643" s="5"/>
      <c r="J643" s="219"/>
      <c r="K643" s="222"/>
      <c r="L643" s="140"/>
      <c r="N643" s="140"/>
    </row>
    <row r="644" spans="1:14" s="6" customFormat="1">
      <c r="A644" s="342"/>
      <c r="B644" s="346" t="s">
        <v>2364</v>
      </c>
      <c r="C644" s="347">
        <v>14911135</v>
      </c>
      <c r="D644" s="347"/>
      <c r="E644" s="347"/>
      <c r="F644" s="347"/>
      <c r="G644" s="346" t="s">
        <v>2363</v>
      </c>
      <c r="H644" s="347"/>
      <c r="J644" s="219"/>
      <c r="K644" s="222"/>
      <c r="L644" s="140"/>
      <c r="N644" s="140"/>
    </row>
    <row r="645" spans="1:14" s="6" customFormat="1">
      <c r="A645" s="342"/>
      <c r="B645" s="346" t="s">
        <v>2362</v>
      </c>
      <c r="C645" s="347">
        <v>66528620</v>
      </c>
      <c r="D645" s="347"/>
      <c r="E645" s="347"/>
      <c r="F645" s="347"/>
      <c r="G645" s="346" t="s">
        <v>2363</v>
      </c>
      <c r="H645" s="347"/>
      <c r="J645" s="219"/>
      <c r="K645" s="222"/>
      <c r="L645" s="140"/>
      <c r="N645" s="140"/>
    </row>
    <row r="646" spans="1:14" s="6" customFormat="1">
      <c r="A646" s="342"/>
      <c r="B646" s="345" t="s">
        <v>2360</v>
      </c>
      <c r="C646" s="5">
        <v>83403008</v>
      </c>
      <c r="D646" s="5"/>
      <c r="E646" s="5"/>
      <c r="F646" s="5"/>
      <c r="G646" s="345" t="s">
        <v>2361</v>
      </c>
      <c r="H646" s="5"/>
      <c r="J646" s="219"/>
      <c r="K646" s="222"/>
      <c r="L646" s="140"/>
      <c r="N646" s="140"/>
    </row>
    <row r="647" spans="1:14" s="6" customFormat="1">
      <c r="A647" s="342"/>
      <c r="B647" s="346" t="s">
        <v>2357</v>
      </c>
      <c r="C647" s="347">
        <v>34326493</v>
      </c>
      <c r="D647" s="347"/>
      <c r="E647" s="347"/>
      <c r="F647" s="347" t="s">
        <v>666</v>
      </c>
      <c r="G647" s="346" t="s">
        <v>2358</v>
      </c>
      <c r="H647" s="347"/>
      <c r="J647" s="219"/>
      <c r="K647" s="222"/>
      <c r="L647" s="140"/>
      <c r="N647" s="140"/>
    </row>
    <row r="648" spans="1:14" s="6" customFormat="1">
      <c r="A648" s="342"/>
      <c r="B648" s="346"/>
      <c r="C648" s="347"/>
      <c r="D648" s="347"/>
      <c r="E648" s="347"/>
      <c r="F648" s="347"/>
      <c r="G648" s="346"/>
      <c r="H648" s="347"/>
      <c r="J648" s="219"/>
      <c r="K648" s="222"/>
      <c r="L648" s="140"/>
      <c r="N648" s="140">
        <v>48</v>
      </c>
    </row>
    <row r="649" spans="1:14" s="6" customFormat="1">
      <c r="A649" s="342"/>
      <c r="B649" s="346"/>
      <c r="C649" s="347"/>
      <c r="D649" s="347"/>
      <c r="E649" s="347"/>
      <c r="F649" s="347"/>
      <c r="G649" s="346"/>
      <c r="H649" s="347"/>
      <c r="J649" s="219"/>
      <c r="K649" s="222"/>
      <c r="L649" s="140"/>
      <c r="N649" s="140">
        <v>95</v>
      </c>
    </row>
    <row r="650" spans="1:14" s="6" customFormat="1">
      <c r="A650" s="339"/>
      <c r="B650" s="336"/>
      <c r="G650" s="333"/>
      <c r="J650" s="219"/>
      <c r="K650" s="222"/>
      <c r="L650" s="140"/>
      <c r="N650" s="140">
        <v>353</v>
      </c>
    </row>
    <row r="651" spans="1:14" s="6" customFormat="1">
      <c r="A651" s="333"/>
      <c r="B651" s="343" t="s">
        <v>2336</v>
      </c>
      <c r="C651" s="5">
        <v>84451503</v>
      </c>
      <c r="D651" s="5"/>
      <c r="E651" s="5"/>
      <c r="F651" s="5"/>
      <c r="G651" s="343" t="s">
        <v>2337</v>
      </c>
      <c r="H651" s="5"/>
      <c r="J651" s="219"/>
      <c r="K651" s="222"/>
      <c r="L651" s="140"/>
      <c r="N651" s="140">
        <v>42</v>
      </c>
    </row>
    <row r="652" spans="1:14" s="6" customFormat="1">
      <c r="A652" s="341" t="s">
        <v>2330</v>
      </c>
      <c r="B652" s="344" t="s">
        <v>2329</v>
      </c>
      <c r="C652" s="6">
        <v>72369671</v>
      </c>
      <c r="F652" s="6" t="s">
        <v>2322</v>
      </c>
      <c r="G652" s="341" t="s">
        <v>2331</v>
      </c>
      <c r="J652" s="219"/>
      <c r="K652" s="222"/>
      <c r="L652" s="140"/>
      <c r="N652" s="140">
        <v>42</v>
      </c>
    </row>
    <row r="653" spans="1:14" s="6" customFormat="1">
      <c r="A653" s="328"/>
      <c r="B653" s="334" t="s">
        <v>2293</v>
      </c>
      <c r="C653" s="5">
        <v>11323799</v>
      </c>
      <c r="D653" s="5"/>
      <c r="E653" s="5"/>
      <c r="F653" s="5"/>
      <c r="G653" s="334" t="s">
        <v>2294</v>
      </c>
      <c r="H653" s="5"/>
      <c r="J653" s="219"/>
      <c r="K653" s="222"/>
      <c r="L653" s="140"/>
      <c r="N653" s="140">
        <v>1000</v>
      </c>
    </row>
    <row r="654" spans="1:14" s="6" customFormat="1">
      <c r="A654" s="328"/>
      <c r="B654" s="342" t="s">
        <v>2291</v>
      </c>
      <c r="C654" s="6">
        <v>79169390</v>
      </c>
      <c r="G654" s="333" t="s">
        <v>2292</v>
      </c>
      <c r="J654" s="219"/>
      <c r="K654" s="222"/>
      <c r="L654" s="140"/>
      <c r="N654" s="140">
        <v>90</v>
      </c>
    </row>
    <row r="655" spans="1:14" s="6" customFormat="1">
      <c r="A655" s="319"/>
      <c r="B655" s="329" t="s">
        <v>2213</v>
      </c>
      <c r="C655" s="5">
        <v>12078800</v>
      </c>
      <c r="D655" s="5"/>
      <c r="E655" s="5"/>
      <c r="F655" s="5"/>
      <c r="G655" s="329" t="s">
        <v>2214</v>
      </c>
      <c r="H655" s="5"/>
      <c r="J655" s="220"/>
      <c r="K655" s="222"/>
      <c r="L655" s="140"/>
      <c r="N655" s="140">
        <v>88</v>
      </c>
    </row>
    <row r="656" spans="1:14" s="6" customFormat="1">
      <c r="A656" s="319"/>
      <c r="B656" s="317"/>
      <c r="G656" s="319"/>
      <c r="J656" s="219"/>
      <c r="K656" s="222"/>
      <c r="L656" s="140">
        <f>1490*4</f>
        <v>5960</v>
      </c>
      <c r="N656" s="140">
        <v>100</v>
      </c>
    </row>
    <row r="657" spans="1:14" s="6" customFormat="1">
      <c r="A657" s="319"/>
      <c r="B657" s="325" t="s">
        <v>2190</v>
      </c>
      <c r="C657" s="5">
        <v>48124647</v>
      </c>
      <c r="D657" s="5"/>
      <c r="E657" s="5"/>
      <c r="F657" s="5"/>
      <c r="G657" s="325" t="s">
        <v>2189</v>
      </c>
      <c r="J657" s="219"/>
      <c r="K657" s="222"/>
      <c r="L657" s="140">
        <f>28000000/11450</f>
        <v>2445.4148471615722</v>
      </c>
      <c r="N657" s="140">
        <v>43</v>
      </c>
    </row>
    <row r="658" spans="1:14" s="6" customFormat="1">
      <c r="A658" s="319"/>
      <c r="B658" s="325" t="s">
        <v>2188</v>
      </c>
      <c r="C658" s="5">
        <v>51049594</v>
      </c>
      <c r="D658" s="5"/>
      <c r="E658" s="5"/>
      <c r="F658" s="5"/>
      <c r="G658" s="325" t="s">
        <v>2189</v>
      </c>
      <c r="J658" s="219"/>
      <c r="K658" s="222"/>
      <c r="L658" s="140"/>
      <c r="N658" s="140">
        <v>106</v>
      </c>
    </row>
    <row r="659" spans="1:14" s="6" customFormat="1">
      <c r="A659" s="317"/>
      <c r="B659" s="334" t="s">
        <v>2177</v>
      </c>
      <c r="C659" s="5">
        <v>56660034</v>
      </c>
      <c r="D659" s="5"/>
      <c r="E659" s="5"/>
      <c r="F659" s="5"/>
      <c r="G659" s="320" t="s">
        <v>2178</v>
      </c>
      <c r="H659" s="5"/>
      <c r="J659" s="219"/>
      <c r="K659" s="222"/>
      <c r="L659" s="140">
        <f>+L656-L657</f>
        <v>3514.5851528384278</v>
      </c>
      <c r="N659" s="140">
        <v>236</v>
      </c>
    </row>
    <row r="660" spans="1:14" s="6" customFormat="1">
      <c r="A660" s="317"/>
      <c r="B660" s="319" t="s">
        <v>1096</v>
      </c>
      <c r="C660" s="6">
        <v>33115834</v>
      </c>
      <c r="G660" s="319" t="s">
        <v>2154</v>
      </c>
      <c r="J660" s="219"/>
      <c r="K660" s="222"/>
      <c r="L660" s="140"/>
      <c r="N660" s="140">
        <v>555</v>
      </c>
    </row>
    <row r="661" spans="1:14" s="6" customFormat="1">
      <c r="A661" s="310"/>
      <c r="B661" s="320" t="s">
        <v>2152</v>
      </c>
      <c r="C661" s="5">
        <v>89489856</v>
      </c>
      <c r="D661" s="5"/>
      <c r="E661" s="5"/>
      <c r="F661" s="5"/>
      <c r="G661" s="316" t="s">
        <v>2153</v>
      </c>
      <c r="H661" s="5"/>
      <c r="J661" s="219"/>
      <c r="K661" s="222"/>
      <c r="L661" s="140">
        <f>14.59*11450</f>
        <v>167055.5</v>
      </c>
      <c r="N661" s="140">
        <v>60</v>
      </c>
    </row>
    <row r="662" spans="1:14" s="6" customFormat="1">
      <c r="A662" s="310"/>
      <c r="B662" s="411" t="s">
        <v>2132</v>
      </c>
      <c r="C662" s="5">
        <v>39727096</v>
      </c>
      <c r="D662" s="5"/>
      <c r="E662" s="5"/>
      <c r="F662" s="5"/>
      <c r="G662" s="316" t="s">
        <v>2133</v>
      </c>
      <c r="H662" s="5"/>
      <c r="J662" s="219"/>
      <c r="K662" s="222"/>
      <c r="L662" s="140"/>
      <c r="N662" s="140"/>
    </row>
    <row r="663" spans="1:14" s="6" customFormat="1">
      <c r="A663" s="310"/>
      <c r="B663" s="316" t="s">
        <v>2130</v>
      </c>
      <c r="C663" s="5">
        <v>53128754</v>
      </c>
      <c r="D663" s="5"/>
      <c r="E663" s="5"/>
      <c r="F663" s="5"/>
      <c r="G663" s="316" t="s">
        <v>2131</v>
      </c>
      <c r="H663" s="5"/>
      <c r="J663" s="310"/>
      <c r="K663" s="222"/>
      <c r="L663" s="140"/>
      <c r="N663" s="140"/>
    </row>
    <row r="664" spans="1:14" s="6" customFormat="1">
      <c r="A664" s="310"/>
      <c r="B664" s="410" t="s">
        <v>2123</v>
      </c>
      <c r="C664" s="5">
        <v>68521467</v>
      </c>
      <c r="D664" s="5"/>
      <c r="E664" s="5"/>
      <c r="F664" s="5"/>
      <c r="G664" s="314" t="s">
        <v>2124</v>
      </c>
      <c r="H664" s="5"/>
      <c r="J664" s="310"/>
      <c r="K664" s="222"/>
      <c r="L664" s="140"/>
      <c r="N664" s="140"/>
    </row>
    <row r="665" spans="1:14" s="6" customFormat="1">
      <c r="A665" s="310"/>
      <c r="B665" s="350" t="s">
        <v>2117</v>
      </c>
      <c r="C665" s="1">
        <v>79476298</v>
      </c>
      <c r="D665" s="1"/>
      <c r="E665" s="1"/>
      <c r="F665" s="1"/>
      <c r="G665" s="315" t="s">
        <v>2116</v>
      </c>
      <c r="H665" s="1"/>
      <c r="J665" s="219"/>
      <c r="K665" s="222"/>
      <c r="L665" s="140"/>
      <c r="N665" s="140"/>
    </row>
    <row r="666" spans="1:14" s="6" customFormat="1">
      <c r="A666" s="310"/>
      <c r="B666" s="316" t="s">
        <v>2115</v>
      </c>
      <c r="C666" s="314">
        <v>81915768</v>
      </c>
      <c r="D666" s="314"/>
      <c r="E666" s="314"/>
      <c r="F666" s="314"/>
      <c r="G666" s="314" t="s">
        <v>2116</v>
      </c>
      <c r="H666" s="314"/>
      <c r="I666" s="313"/>
      <c r="J666" s="219"/>
      <c r="K666" s="222"/>
      <c r="L666" s="140"/>
      <c r="N666" s="140"/>
    </row>
    <row r="667" spans="1:14" s="6" customFormat="1">
      <c r="A667" s="299"/>
      <c r="B667" s="329" t="s">
        <v>2102</v>
      </c>
      <c r="C667" s="5">
        <v>46324389</v>
      </c>
      <c r="D667" s="5"/>
      <c r="E667" s="5"/>
      <c r="F667" s="5"/>
      <c r="G667" s="309" t="s">
        <v>2103</v>
      </c>
      <c r="H667" s="5"/>
      <c r="J667" s="219"/>
      <c r="K667" s="222"/>
      <c r="L667" s="140"/>
      <c r="N667" s="140"/>
    </row>
    <row r="668" spans="1:14" s="6" customFormat="1">
      <c r="A668" s="299"/>
      <c r="B668" s="299" t="s">
        <v>2052</v>
      </c>
      <c r="C668" s="6">
        <v>34901725</v>
      </c>
      <c r="G668" s="299" t="s">
        <v>2053</v>
      </c>
      <c r="J668" s="219"/>
      <c r="K668" s="222"/>
      <c r="L668" s="140"/>
      <c r="N668" s="140"/>
    </row>
    <row r="669" spans="1:14" s="6" customFormat="1">
      <c r="A669" s="288"/>
      <c r="B669" s="299" t="s">
        <v>2050</v>
      </c>
      <c r="C669" s="6">
        <v>38536709</v>
      </c>
      <c r="G669" s="299" t="s">
        <v>2051</v>
      </c>
      <c r="J669" s="219"/>
      <c r="K669" s="222"/>
      <c r="L669" s="140"/>
      <c r="N669" s="140"/>
    </row>
    <row r="670" spans="1:14" s="6" customFormat="1">
      <c r="A670" s="288"/>
      <c r="B670" s="293" t="s">
        <v>2041</v>
      </c>
      <c r="C670" s="6">
        <v>32340972</v>
      </c>
      <c r="G670" s="293" t="s">
        <v>2042</v>
      </c>
      <c r="J670" s="219"/>
      <c r="K670" s="222"/>
      <c r="L670" s="140"/>
      <c r="N670" s="140"/>
    </row>
    <row r="671" spans="1:14" s="6" customFormat="1">
      <c r="A671" s="288"/>
      <c r="B671" s="294" t="s">
        <v>2014</v>
      </c>
      <c r="C671" s="5">
        <v>87211621</v>
      </c>
      <c r="D671" s="5"/>
      <c r="E671" s="5"/>
      <c r="F671" s="5"/>
      <c r="G671" s="287" t="s">
        <v>2015</v>
      </c>
      <c r="H671" s="5"/>
      <c r="J671" s="219"/>
      <c r="K671" s="222"/>
      <c r="L671" s="140"/>
      <c r="N671" s="140"/>
    </row>
    <row r="672" spans="1:14" s="6" customFormat="1">
      <c r="A672" s="261"/>
      <c r="B672" s="298" t="s">
        <v>2012</v>
      </c>
      <c r="C672" s="5">
        <v>18258821</v>
      </c>
      <c r="D672" s="5"/>
      <c r="E672" s="5"/>
      <c r="F672" s="5"/>
      <c r="G672" s="287" t="s">
        <v>2013</v>
      </c>
      <c r="H672" s="5"/>
      <c r="J672" s="219"/>
      <c r="K672" s="222"/>
      <c r="L672" s="140"/>
      <c r="N672" s="140"/>
    </row>
    <row r="673" spans="1:14" s="6" customFormat="1">
      <c r="A673" s="261"/>
      <c r="B673" s="295" t="s">
        <v>2010</v>
      </c>
      <c r="C673" s="23">
        <v>28253525</v>
      </c>
      <c r="D673" s="23"/>
      <c r="E673" s="23"/>
      <c r="F673" s="23"/>
      <c r="G673" s="296" t="s">
        <v>2011</v>
      </c>
      <c r="H673" s="23"/>
      <c r="J673" s="219"/>
      <c r="K673" s="222"/>
      <c r="L673" s="140"/>
      <c r="N673" s="140"/>
    </row>
    <row r="674" spans="1:14" s="6" customFormat="1">
      <c r="A674" s="261"/>
      <c r="B674" s="411" t="s">
        <v>1991</v>
      </c>
      <c r="C674" s="5">
        <v>85331492</v>
      </c>
      <c r="D674" s="5"/>
      <c r="E674" s="5"/>
      <c r="F674" s="5"/>
      <c r="G674" s="286" t="s">
        <v>1439</v>
      </c>
      <c r="H674" s="5"/>
      <c r="J674" s="219"/>
      <c r="K674" s="222"/>
      <c r="L674" s="140"/>
      <c r="N674" s="140"/>
    </row>
    <row r="675" spans="1:14" s="6" customFormat="1">
      <c r="A675" s="261"/>
      <c r="B675" s="286" t="s">
        <v>1990</v>
      </c>
      <c r="C675" s="5">
        <v>48301850</v>
      </c>
      <c r="D675" s="5"/>
      <c r="E675" s="5"/>
      <c r="F675" s="5"/>
      <c r="G675" s="286" t="s">
        <v>833</v>
      </c>
      <c r="H675" s="5"/>
      <c r="J675" s="219"/>
      <c r="K675" s="222"/>
      <c r="L675" s="140"/>
      <c r="N675" s="140"/>
    </row>
    <row r="676" spans="1:14" s="6" customFormat="1">
      <c r="A676" s="261"/>
      <c r="B676" s="286" t="s">
        <v>1988</v>
      </c>
      <c r="C676" s="5">
        <v>90908002</v>
      </c>
      <c r="D676" s="5"/>
      <c r="E676" s="5"/>
      <c r="F676" s="5"/>
      <c r="G676" s="286" t="s">
        <v>1989</v>
      </c>
      <c r="H676" s="5"/>
      <c r="J676" s="219"/>
      <c r="K676" s="222"/>
      <c r="L676" s="140"/>
      <c r="N676" s="140"/>
    </row>
    <row r="677" spans="1:14" s="6" customFormat="1" hidden="1">
      <c r="A677" s="261"/>
      <c r="B677" s="287" t="s">
        <v>1969</v>
      </c>
      <c r="C677" s="287">
        <v>41579132</v>
      </c>
      <c r="D677" s="287"/>
      <c r="E677" s="287"/>
      <c r="F677" s="287"/>
      <c r="G677" s="287" t="s">
        <v>1970</v>
      </c>
      <c r="H677" s="287"/>
      <c r="I677" s="288"/>
      <c r="J677" s="219"/>
      <c r="K677" s="222"/>
      <c r="L677" s="140"/>
      <c r="N677" s="140"/>
    </row>
    <row r="678" spans="1:14" s="6" customFormat="1" hidden="1">
      <c r="A678" s="261"/>
      <c r="B678" s="278" t="s">
        <v>1939</v>
      </c>
      <c r="C678" s="5"/>
      <c r="D678" s="5"/>
      <c r="E678" s="5"/>
      <c r="F678" s="5"/>
      <c r="G678" s="278" t="s">
        <v>1021</v>
      </c>
      <c r="H678" s="5"/>
      <c r="J678" s="219"/>
      <c r="K678" s="222"/>
      <c r="L678" s="140"/>
      <c r="N678" s="140"/>
    </row>
    <row r="679" spans="1:14" s="6" customFormat="1" hidden="1">
      <c r="A679" s="261"/>
      <c r="B679" s="278" t="s">
        <v>1938</v>
      </c>
      <c r="C679" s="5"/>
      <c r="D679" s="5"/>
      <c r="E679" s="5"/>
      <c r="F679" s="5"/>
      <c r="G679" s="278" t="s">
        <v>1021</v>
      </c>
      <c r="H679" s="5"/>
      <c r="J679" s="219"/>
      <c r="K679" s="222"/>
      <c r="L679" s="140"/>
      <c r="N679" s="140"/>
    </row>
    <row r="680" spans="1:14" s="6" customFormat="1" hidden="1">
      <c r="A680" s="261"/>
      <c r="B680" s="287" t="s">
        <v>1830</v>
      </c>
      <c r="C680" s="5"/>
      <c r="D680" s="5"/>
      <c r="E680" s="5"/>
      <c r="F680" s="5"/>
      <c r="G680" s="278" t="s">
        <v>1021</v>
      </c>
      <c r="H680" s="5"/>
      <c r="J680" s="219"/>
      <c r="K680" s="222"/>
      <c r="L680" s="140"/>
      <c r="N680" s="140"/>
    </row>
    <row r="681" spans="1:14" s="6" customFormat="1" hidden="1">
      <c r="A681" s="261"/>
      <c r="B681" s="286" t="s">
        <v>1844</v>
      </c>
      <c r="C681" s="5">
        <v>77299977</v>
      </c>
      <c r="D681" s="5"/>
      <c r="E681" s="5"/>
      <c r="F681" s="5"/>
      <c r="G681" s="262" t="s">
        <v>1845</v>
      </c>
      <c r="H681" s="5"/>
      <c r="J681" s="219"/>
      <c r="K681" s="222"/>
      <c r="L681" s="140"/>
      <c r="N681" s="140"/>
    </row>
    <row r="682" spans="1:14" s="6" customFormat="1" hidden="1">
      <c r="A682" s="261"/>
      <c r="B682" s="277" t="s">
        <v>1838</v>
      </c>
      <c r="C682" s="6">
        <v>30700625</v>
      </c>
      <c r="G682" s="261" t="s">
        <v>1839</v>
      </c>
      <c r="J682" s="219"/>
      <c r="K682" s="222"/>
      <c r="L682" s="140"/>
      <c r="N682" s="140"/>
    </row>
    <row r="683" spans="1:14" s="6" customFormat="1" hidden="1">
      <c r="A683" s="261"/>
      <c r="B683" s="278" t="s">
        <v>1835</v>
      </c>
      <c r="C683" s="5" t="s">
        <v>1836</v>
      </c>
      <c r="D683" s="5"/>
      <c r="E683" s="5"/>
      <c r="F683" s="5"/>
      <c r="G683" s="262" t="s">
        <v>1837</v>
      </c>
      <c r="H683" s="5"/>
      <c r="J683" s="219"/>
      <c r="K683" s="222"/>
      <c r="L683" s="140"/>
      <c r="N683" s="140"/>
    </row>
    <row r="684" spans="1:14" s="6" customFormat="1" hidden="1">
      <c r="A684" s="261"/>
      <c r="B684" s="278" t="s">
        <v>1831</v>
      </c>
      <c r="C684" s="5">
        <v>21058482</v>
      </c>
      <c r="D684" s="5"/>
      <c r="E684" s="5"/>
      <c r="F684" s="5"/>
      <c r="G684" s="262" t="s">
        <v>1832</v>
      </c>
      <c r="H684" s="5"/>
      <c r="J684" s="219"/>
      <c r="K684" s="222"/>
      <c r="L684" s="140"/>
      <c r="N684" s="140"/>
    </row>
    <row r="685" spans="1:14" s="6" customFormat="1" hidden="1">
      <c r="A685" s="255"/>
      <c r="B685" s="278" t="s">
        <v>1831</v>
      </c>
      <c r="C685" s="5">
        <v>29511813</v>
      </c>
      <c r="D685" s="5"/>
      <c r="E685" s="5"/>
      <c r="F685" s="5"/>
      <c r="G685" s="262" t="s">
        <v>1824</v>
      </c>
      <c r="H685" s="5"/>
      <c r="J685" s="219"/>
      <c r="K685" s="222"/>
      <c r="L685" s="140"/>
      <c r="N685" s="140"/>
    </row>
    <row r="686" spans="1:14" s="6" customFormat="1" hidden="1">
      <c r="A686" s="255"/>
      <c r="B686" s="278" t="s">
        <v>1822</v>
      </c>
      <c r="C686" s="5">
        <v>39561108</v>
      </c>
      <c r="D686" s="5"/>
      <c r="E686" s="5"/>
      <c r="F686" s="5"/>
      <c r="G686" s="262" t="s">
        <v>1823</v>
      </c>
      <c r="H686" s="5"/>
      <c r="J686" s="219"/>
      <c r="K686" s="222">
        <v>114700000</v>
      </c>
      <c r="L686" s="140"/>
      <c r="N686" s="140"/>
    </row>
    <row r="687" spans="1:14" s="6" customFormat="1" hidden="1">
      <c r="A687" s="255"/>
      <c r="B687" s="278" t="s">
        <v>1820</v>
      </c>
      <c r="C687" s="5">
        <v>74671662</v>
      </c>
      <c r="D687" s="5"/>
      <c r="E687" s="5"/>
      <c r="F687" s="5"/>
      <c r="G687" s="262" t="s">
        <v>1821</v>
      </c>
      <c r="H687" s="5"/>
      <c r="J687" s="219"/>
      <c r="K687" s="222"/>
      <c r="L687" s="140"/>
      <c r="N687" s="140"/>
    </row>
    <row r="688" spans="1:14" s="6" customFormat="1" hidden="1">
      <c r="A688" s="255"/>
      <c r="B688" s="260" t="s">
        <v>1812</v>
      </c>
      <c r="C688" s="53">
        <v>10239218</v>
      </c>
      <c r="D688" s="53"/>
      <c r="E688" s="53"/>
      <c r="F688" s="53"/>
      <c r="G688" s="260" t="s">
        <v>1813</v>
      </c>
      <c r="H688" s="53"/>
      <c r="J688" s="219"/>
      <c r="K688" s="222"/>
      <c r="L688" s="140"/>
      <c r="N688" s="140"/>
    </row>
    <row r="689" spans="1:14" s="6" customFormat="1" hidden="1">
      <c r="A689" s="252"/>
      <c r="B689" s="256" t="s">
        <v>1794</v>
      </c>
      <c r="C689" s="5">
        <v>10970135</v>
      </c>
      <c r="D689" s="5"/>
      <c r="E689" s="5"/>
      <c r="F689" s="5"/>
      <c r="G689" s="256" t="s">
        <v>1795</v>
      </c>
      <c r="H689" s="5"/>
      <c r="J689" s="219"/>
      <c r="K689" s="222"/>
      <c r="L689" s="140"/>
      <c r="N689" s="140"/>
    </row>
    <row r="690" spans="1:14" s="6" customFormat="1" hidden="1">
      <c r="A690" s="252"/>
      <c r="B690" s="255" t="s">
        <v>1779</v>
      </c>
      <c r="G690" s="252"/>
      <c r="J690" s="219"/>
      <c r="K690" s="222"/>
      <c r="L690" s="140"/>
      <c r="N690" s="140"/>
    </row>
    <row r="691" spans="1:14" s="6" customFormat="1" hidden="1">
      <c r="A691" s="252"/>
      <c r="B691" s="251" t="s">
        <v>1771</v>
      </c>
      <c r="C691" s="5"/>
      <c r="D691" s="5"/>
      <c r="E691" s="5"/>
      <c r="F691" s="5"/>
      <c r="G691" s="247"/>
      <c r="H691" s="5"/>
      <c r="J691" s="219"/>
      <c r="K691" s="222"/>
      <c r="L691" s="140"/>
      <c r="N691" s="140"/>
    </row>
    <row r="692" spans="1:14" s="6" customFormat="1" hidden="1">
      <c r="A692" s="244"/>
      <c r="B692" s="278" t="s">
        <v>1777</v>
      </c>
      <c r="C692" s="5">
        <v>81635659</v>
      </c>
      <c r="D692" s="5"/>
      <c r="E692" s="5"/>
      <c r="F692" s="5"/>
      <c r="G692" s="251" t="s">
        <v>1778</v>
      </c>
      <c r="H692" s="5"/>
      <c r="J692" s="219"/>
      <c r="K692" s="222"/>
      <c r="L692" s="140"/>
      <c r="N692" s="140"/>
    </row>
    <row r="693" spans="1:14" s="6" customFormat="1" hidden="1">
      <c r="A693" s="244"/>
      <c r="B693" s="278" t="s">
        <v>1772</v>
      </c>
      <c r="C693" s="5">
        <v>84098603</v>
      </c>
      <c r="D693" s="5"/>
      <c r="E693" s="5"/>
      <c r="F693" s="5"/>
      <c r="G693" s="247"/>
      <c r="H693" s="5"/>
      <c r="J693" s="219"/>
      <c r="K693" s="222"/>
      <c r="L693" s="140"/>
      <c r="N693" s="140"/>
    </row>
    <row r="694" spans="1:14" s="6" customFormat="1" hidden="1">
      <c r="A694" s="244"/>
      <c r="B694" s="252" t="s">
        <v>1765</v>
      </c>
      <c r="C694" s="6">
        <v>67509018</v>
      </c>
      <c r="G694" s="252" t="s">
        <v>1766</v>
      </c>
      <c r="J694" s="219"/>
      <c r="K694" s="222"/>
      <c r="L694" s="140"/>
      <c r="N694" s="140"/>
    </row>
    <row r="695" spans="1:14" s="6" customFormat="1" hidden="1">
      <c r="A695" s="244"/>
      <c r="B695" s="256" t="s">
        <v>1763</v>
      </c>
      <c r="C695" s="5">
        <v>32384438</v>
      </c>
      <c r="D695" s="5"/>
      <c r="E695" s="5"/>
      <c r="F695" s="5"/>
      <c r="G695" s="251" t="s">
        <v>1764</v>
      </c>
      <c r="H695" s="5"/>
      <c r="J695" s="219"/>
      <c r="K695" s="222"/>
      <c r="L695" s="140"/>
      <c r="N695" s="140"/>
    </row>
    <row r="696" spans="1:14" s="6" customFormat="1" hidden="1">
      <c r="A696" s="244"/>
      <c r="B696" s="256" t="s">
        <v>1762</v>
      </c>
      <c r="C696" s="5">
        <v>88645511</v>
      </c>
      <c r="D696" s="5"/>
      <c r="E696" s="5"/>
      <c r="F696" s="5"/>
      <c r="G696" s="251" t="s">
        <v>1764</v>
      </c>
      <c r="H696" s="5"/>
      <c r="J696" s="219"/>
      <c r="K696" s="222"/>
      <c r="L696" s="140"/>
      <c r="N696" s="140"/>
    </row>
    <row r="697" spans="1:14" s="6" customFormat="1" hidden="1">
      <c r="A697" s="244"/>
      <c r="B697" s="256" t="s">
        <v>1760</v>
      </c>
      <c r="C697" s="5">
        <v>28049075</v>
      </c>
      <c r="D697" s="5"/>
      <c r="E697" s="5"/>
      <c r="F697" s="5"/>
      <c r="G697" s="251" t="s">
        <v>594</v>
      </c>
      <c r="H697" s="5"/>
      <c r="J697" s="219"/>
      <c r="K697" s="222"/>
      <c r="L697" s="140"/>
      <c r="N697" s="140"/>
    </row>
    <row r="698" spans="1:14" s="6" customFormat="1" hidden="1">
      <c r="A698" s="244"/>
      <c r="B698" s="251" t="s">
        <v>1759</v>
      </c>
      <c r="C698" s="5">
        <v>50123621</v>
      </c>
      <c r="D698" s="5"/>
      <c r="E698" s="5"/>
      <c r="F698" s="5"/>
      <c r="G698" s="251" t="s">
        <v>594</v>
      </c>
      <c r="H698" s="5"/>
      <c r="J698" s="219"/>
      <c r="K698" s="222"/>
      <c r="L698" s="140"/>
      <c r="N698" s="140"/>
    </row>
    <row r="699" spans="1:14" s="6" customFormat="1" hidden="1">
      <c r="A699" s="244"/>
      <c r="B699" s="256" t="s">
        <v>1757</v>
      </c>
      <c r="C699" s="5">
        <v>15168396</v>
      </c>
      <c r="D699" s="5"/>
      <c r="E699" s="5"/>
      <c r="F699" s="5"/>
      <c r="G699" s="251" t="s">
        <v>1758</v>
      </c>
      <c r="H699" s="5"/>
      <c r="J699" s="219"/>
      <c r="K699" s="222"/>
      <c r="L699" s="140">
        <v>375</v>
      </c>
      <c r="N699" s="140"/>
    </row>
    <row r="700" spans="1:14" s="6" customFormat="1" hidden="1">
      <c r="A700" s="244"/>
      <c r="B700" s="251" t="s">
        <v>1755</v>
      </c>
      <c r="C700" s="5">
        <v>88443852</v>
      </c>
      <c r="D700" s="5"/>
      <c r="E700" s="5"/>
      <c r="F700" s="5"/>
      <c r="G700" s="251" t="s">
        <v>820</v>
      </c>
      <c r="H700" s="5"/>
      <c r="J700" s="219"/>
      <c r="K700" s="222"/>
      <c r="L700" s="140">
        <v>124</v>
      </c>
      <c r="N700" s="140"/>
    </row>
    <row r="701" spans="1:14" s="6" customFormat="1" hidden="1">
      <c r="A701" s="244"/>
      <c r="B701" s="251" t="s">
        <v>1753</v>
      </c>
      <c r="C701" s="5">
        <v>56968520</v>
      </c>
      <c r="D701" s="5"/>
      <c r="E701" s="5"/>
      <c r="F701" s="5"/>
      <c r="G701" s="251" t="s">
        <v>1754</v>
      </c>
      <c r="H701" s="5"/>
      <c r="J701" s="219"/>
      <c r="K701" s="222"/>
      <c r="L701" s="140"/>
      <c r="N701" s="140"/>
    </row>
    <row r="702" spans="1:14" s="6" customFormat="1" hidden="1">
      <c r="A702" s="244"/>
      <c r="B702" s="278" t="s">
        <v>1750</v>
      </c>
      <c r="C702" s="5">
        <v>39390838</v>
      </c>
      <c r="D702" s="5"/>
      <c r="E702" s="5"/>
      <c r="F702" s="5"/>
      <c r="G702" s="247" t="s">
        <v>1751</v>
      </c>
      <c r="H702" s="5"/>
      <c r="J702" s="219"/>
      <c r="K702" s="222"/>
      <c r="L702" s="140"/>
      <c r="N702" s="140"/>
    </row>
    <row r="703" spans="1:14" s="6" customFormat="1" hidden="1">
      <c r="A703" s="244"/>
      <c r="B703" s="259" t="s">
        <v>1738</v>
      </c>
      <c r="C703" s="5">
        <v>75552198</v>
      </c>
      <c r="D703" s="5"/>
      <c r="E703" s="5"/>
      <c r="F703" s="5"/>
      <c r="G703" s="247" t="s">
        <v>1739</v>
      </c>
      <c r="H703" s="5"/>
      <c r="J703" s="219"/>
      <c r="K703" s="222"/>
      <c r="L703" s="140"/>
      <c r="N703" s="140"/>
    </row>
    <row r="704" spans="1:14" s="6" customFormat="1" hidden="1">
      <c r="A704" s="234"/>
      <c r="B704" s="254" t="s">
        <v>1730</v>
      </c>
      <c r="C704" s="1">
        <v>72902390</v>
      </c>
      <c r="D704" s="1"/>
      <c r="E704" s="1"/>
      <c r="F704" s="1"/>
      <c r="G704" s="245" t="s">
        <v>1731</v>
      </c>
      <c r="H704" s="1"/>
      <c r="J704" s="255" t="s">
        <v>1780</v>
      </c>
      <c r="K704" s="222"/>
      <c r="L704" s="140"/>
      <c r="N704" s="140"/>
    </row>
    <row r="705" spans="1:14" s="6" customFormat="1" hidden="1">
      <c r="A705" s="234"/>
      <c r="B705" s="242" t="s">
        <v>1693</v>
      </c>
      <c r="C705" s="5">
        <v>16406157</v>
      </c>
      <c r="D705" s="5"/>
      <c r="E705" s="5"/>
      <c r="F705" s="5"/>
      <c r="G705" s="242" t="s">
        <v>1694</v>
      </c>
      <c r="H705" s="5"/>
      <c r="J705" s="219"/>
      <c r="K705" s="222"/>
      <c r="L705" s="140"/>
      <c r="N705" s="140"/>
    </row>
    <row r="706" spans="1:14" s="6" customFormat="1" hidden="1">
      <c r="A706" s="234"/>
      <c r="B706" s="247" t="s">
        <v>1681</v>
      </c>
      <c r="C706" s="5">
        <v>70464852</v>
      </c>
      <c r="D706" s="5"/>
      <c r="E706" s="5"/>
      <c r="F706" s="5"/>
      <c r="G706" s="242" t="s">
        <v>1682</v>
      </c>
      <c r="H706" s="5"/>
      <c r="J706" s="219"/>
      <c r="K706" s="222"/>
      <c r="L706" s="140"/>
      <c r="N706" s="140"/>
    </row>
    <row r="707" spans="1:14" s="6" customFormat="1" hidden="1">
      <c r="A707" s="234"/>
      <c r="B707" s="242" t="s">
        <v>1679</v>
      </c>
      <c r="C707" s="5">
        <v>56944083</v>
      </c>
      <c r="D707" s="5"/>
      <c r="E707" s="5"/>
      <c r="F707" s="5"/>
      <c r="G707" s="236" t="s">
        <v>1680</v>
      </c>
      <c r="H707" s="5"/>
      <c r="J707" s="219"/>
      <c r="K707" s="222"/>
      <c r="L707" s="140"/>
      <c r="N707" s="140"/>
    </row>
    <row r="708" spans="1:14" s="6" customFormat="1" hidden="1">
      <c r="A708" s="234"/>
      <c r="B708" s="236" t="s">
        <v>1659</v>
      </c>
      <c r="C708" s="5">
        <v>43927566</v>
      </c>
      <c r="D708" s="5"/>
      <c r="E708" s="5"/>
      <c r="F708" s="5"/>
      <c r="G708" s="236" t="s">
        <v>1660</v>
      </c>
      <c r="H708" s="5"/>
      <c r="J708" s="219"/>
      <c r="K708" s="222"/>
      <c r="L708" s="140"/>
      <c r="N708" s="140"/>
    </row>
    <row r="709" spans="1:14" s="6" customFormat="1" hidden="1">
      <c r="A709" s="234"/>
      <c r="B709" s="236" t="s">
        <v>1658</v>
      </c>
      <c r="C709" s="5"/>
      <c r="D709" s="5"/>
      <c r="E709" s="5"/>
      <c r="F709" s="5"/>
      <c r="G709" s="236"/>
      <c r="H709" s="5"/>
      <c r="J709" s="219"/>
      <c r="K709" s="222"/>
      <c r="L709" s="140"/>
      <c r="N709" s="140"/>
    </row>
    <row r="710" spans="1:14" s="6" customFormat="1" hidden="1">
      <c r="A710" s="234"/>
      <c r="B710" s="236" t="s">
        <v>1657</v>
      </c>
      <c r="C710" s="5"/>
      <c r="D710" s="5"/>
      <c r="E710" s="5"/>
      <c r="F710" s="5"/>
      <c r="G710" s="236"/>
      <c r="H710" s="5"/>
      <c r="J710" s="219"/>
      <c r="K710" s="222"/>
      <c r="L710" s="140"/>
      <c r="N710" s="140"/>
    </row>
    <row r="711" spans="1:14" s="6" customFormat="1" hidden="1">
      <c r="A711" s="234"/>
      <c r="B711" s="236" t="s">
        <v>1655</v>
      </c>
      <c r="C711" s="5"/>
      <c r="D711" s="5"/>
      <c r="E711" s="5"/>
      <c r="F711" s="5"/>
      <c r="G711" s="236" t="s">
        <v>1656</v>
      </c>
      <c r="H711" s="5"/>
      <c r="J711" s="219"/>
      <c r="K711" s="222"/>
      <c r="L711" s="140"/>
      <c r="N711" s="140"/>
    </row>
    <row r="712" spans="1:14" s="6" customFormat="1" hidden="1">
      <c r="A712" s="219"/>
      <c r="B712" s="251" t="s">
        <v>1653</v>
      </c>
      <c r="C712" s="5">
        <v>11693321</v>
      </c>
      <c r="D712" s="5"/>
      <c r="E712" s="5"/>
      <c r="F712" s="5"/>
      <c r="G712" s="236" t="s">
        <v>1654</v>
      </c>
      <c r="H712" s="5"/>
      <c r="J712" s="219"/>
      <c r="K712" s="222"/>
      <c r="L712" s="140"/>
      <c r="N712" s="140"/>
    </row>
    <row r="713" spans="1:14" s="6" customFormat="1" hidden="1">
      <c r="A713" s="219"/>
      <c r="B713" s="235" t="s">
        <v>1639</v>
      </c>
      <c r="C713" s="1"/>
      <c r="D713" s="1"/>
      <c r="E713" s="1"/>
      <c r="F713" s="1"/>
      <c r="G713" s="235" t="s">
        <v>1638</v>
      </c>
      <c r="H713" s="1"/>
      <c r="J713" s="219"/>
      <c r="K713" s="222"/>
      <c r="L713" s="140">
        <f>187-68.2</f>
        <v>118.8</v>
      </c>
      <c r="N713" s="140"/>
    </row>
    <row r="714" spans="1:14" s="6" customFormat="1" hidden="1">
      <c r="A714" s="219"/>
      <c r="B714" s="242" t="s">
        <v>1637</v>
      </c>
      <c r="C714" s="5">
        <v>66403595</v>
      </c>
      <c r="D714" s="5"/>
      <c r="E714" s="5"/>
      <c r="F714" s="5"/>
      <c r="G714" s="236" t="s">
        <v>1638</v>
      </c>
      <c r="H714" s="5"/>
      <c r="J714" s="219"/>
      <c r="K714" s="222"/>
      <c r="L714" s="140"/>
      <c r="N714" s="140"/>
    </row>
    <row r="715" spans="1:14" s="6" customFormat="1" hidden="1">
      <c r="A715" s="219"/>
      <c r="B715" s="228" t="s">
        <v>1595</v>
      </c>
      <c r="C715" s="5">
        <v>11364008</v>
      </c>
      <c r="D715" s="5"/>
      <c r="E715" s="5"/>
      <c r="F715" s="5"/>
      <c r="G715" s="228" t="s">
        <v>1604</v>
      </c>
      <c r="H715" s="5"/>
      <c r="J715" s="227" t="s">
        <v>1601</v>
      </c>
      <c r="K715" s="222"/>
      <c r="L715" s="140"/>
      <c r="N715" s="140"/>
    </row>
    <row r="716" spans="1:14" s="6" customFormat="1" hidden="1">
      <c r="A716" s="219"/>
      <c r="B716" s="228" t="s">
        <v>1571</v>
      </c>
      <c r="C716" s="5">
        <v>42982504</v>
      </c>
      <c r="D716" s="5"/>
      <c r="E716" s="5"/>
      <c r="F716" s="5"/>
      <c r="G716" s="224" t="s">
        <v>1572</v>
      </c>
      <c r="H716" s="5"/>
      <c r="J716" s="219"/>
      <c r="K716" s="222"/>
      <c r="L716" s="389" t="s">
        <v>1613</v>
      </c>
      <c r="N716" s="140"/>
    </row>
    <row r="717" spans="1:14" s="6" customFormat="1" hidden="1">
      <c r="A717" s="206"/>
      <c r="B717" s="224" t="s">
        <v>1569</v>
      </c>
      <c r="C717" s="5">
        <v>21797207</v>
      </c>
      <c r="D717" s="5"/>
      <c r="E717" s="5"/>
      <c r="F717" s="5"/>
      <c r="G717" s="224" t="s">
        <v>1570</v>
      </c>
      <c r="H717" s="5"/>
      <c r="J717" s="88"/>
      <c r="K717" s="206"/>
      <c r="L717" s="140"/>
      <c r="N717" s="140"/>
    </row>
    <row r="718" spans="1:14" s="6" customFormat="1" hidden="1">
      <c r="A718" s="206"/>
      <c r="B718" s="236" t="s">
        <v>1559</v>
      </c>
      <c r="C718" s="5">
        <v>30952220</v>
      </c>
      <c r="D718" s="5"/>
      <c r="E718" s="5"/>
      <c r="F718" s="5"/>
      <c r="G718" s="220" t="s">
        <v>1560</v>
      </c>
      <c r="H718" s="5"/>
      <c r="J718" s="88"/>
      <c r="K718" s="206"/>
      <c r="L718" s="140"/>
      <c r="N718" s="140"/>
    </row>
    <row r="719" spans="1:14" s="6" customFormat="1" hidden="1">
      <c r="A719" s="206"/>
      <c r="B719" s="236" t="s">
        <v>1549</v>
      </c>
      <c r="C719" s="5">
        <v>91680045</v>
      </c>
      <c r="D719" s="5"/>
      <c r="E719" s="5"/>
      <c r="F719" s="5"/>
      <c r="G719" s="220" t="s">
        <v>1550</v>
      </c>
      <c r="H719" s="5"/>
      <c r="J719" s="88"/>
      <c r="K719" s="206"/>
      <c r="L719" s="140"/>
      <c r="N719" s="140"/>
    </row>
    <row r="720" spans="1:14" s="6" customFormat="1" hidden="1">
      <c r="A720" s="206"/>
      <c r="B720" s="224" t="s">
        <v>1545</v>
      </c>
      <c r="C720" s="5">
        <v>66856022</v>
      </c>
      <c r="D720" s="5"/>
      <c r="E720" s="5"/>
      <c r="F720" s="5"/>
      <c r="G720" s="220" t="s">
        <v>1546</v>
      </c>
      <c r="H720" s="5"/>
      <c r="J720" s="88"/>
      <c r="K720" s="206"/>
      <c r="L720" s="140"/>
      <c r="N720" s="140"/>
    </row>
    <row r="721" spans="1:14" s="6" customFormat="1" hidden="1">
      <c r="A721" s="206"/>
      <c r="B721" s="219" t="s">
        <v>1530</v>
      </c>
      <c r="C721" s="6">
        <v>62695623</v>
      </c>
      <c r="G721" s="219" t="s">
        <v>1531</v>
      </c>
      <c r="J721" s="88"/>
      <c r="K721" s="206"/>
      <c r="L721" s="140"/>
      <c r="N721" s="140"/>
    </row>
    <row r="722" spans="1:14" s="6" customFormat="1" hidden="1">
      <c r="A722" s="206"/>
      <c r="B722" s="224" t="s">
        <v>1528</v>
      </c>
      <c r="C722" s="5">
        <v>79420060</v>
      </c>
      <c r="D722" s="5"/>
      <c r="E722" s="5"/>
      <c r="F722" s="5"/>
      <c r="G722" s="220" t="s">
        <v>1529</v>
      </c>
      <c r="H722" s="5"/>
      <c r="J722" s="88"/>
      <c r="K722" s="206"/>
      <c r="L722" s="140"/>
      <c r="N722" s="140"/>
    </row>
    <row r="723" spans="1:14" s="6" customFormat="1" hidden="1">
      <c r="A723" s="206"/>
      <c r="B723" s="220" t="s">
        <v>1527</v>
      </c>
      <c r="C723" s="5"/>
      <c r="D723" s="5"/>
      <c r="E723" s="5"/>
      <c r="F723" s="5"/>
      <c r="G723" s="220" t="s">
        <v>1526</v>
      </c>
      <c r="H723" s="5"/>
      <c r="J723" s="88"/>
      <c r="K723" s="206"/>
      <c r="L723" s="140"/>
      <c r="N723" s="140"/>
    </row>
    <row r="724" spans="1:14" s="6" customFormat="1" hidden="1">
      <c r="A724" s="206"/>
      <c r="B724" s="224" t="s">
        <v>1534</v>
      </c>
      <c r="C724" s="5"/>
      <c r="D724" s="5"/>
      <c r="E724" s="5"/>
      <c r="F724" s="5"/>
      <c r="G724" s="220" t="s">
        <v>1533</v>
      </c>
      <c r="H724" s="5"/>
      <c r="J724" s="88"/>
      <c r="K724" s="206"/>
      <c r="L724" s="140"/>
      <c r="N724" s="140"/>
    </row>
    <row r="725" spans="1:14" s="6" customFormat="1" hidden="1">
      <c r="A725" s="206"/>
      <c r="B725" s="224" t="s">
        <v>1532</v>
      </c>
      <c r="C725" s="5"/>
      <c r="D725" s="5"/>
      <c r="E725" s="5"/>
      <c r="F725" s="5"/>
      <c r="G725" s="220" t="s">
        <v>1533</v>
      </c>
      <c r="H725" s="5"/>
      <c r="J725" s="88"/>
      <c r="K725" s="206"/>
      <c r="L725" s="140"/>
      <c r="N725" s="140"/>
    </row>
    <row r="726" spans="1:14" s="6" customFormat="1" hidden="1">
      <c r="A726" s="206"/>
      <c r="B726" s="224" t="s">
        <v>1525</v>
      </c>
      <c r="C726" s="5"/>
      <c r="D726" s="5"/>
      <c r="E726" s="5"/>
      <c r="F726" s="5"/>
      <c r="G726" s="220" t="s">
        <v>1526</v>
      </c>
      <c r="H726" s="5"/>
      <c r="J726" s="88"/>
      <c r="K726" s="206"/>
      <c r="L726" s="140"/>
      <c r="N726" s="140"/>
    </row>
    <row r="727" spans="1:14" s="6" customFormat="1" hidden="1">
      <c r="A727" s="206"/>
      <c r="B727" s="224" t="s">
        <v>1535</v>
      </c>
      <c r="C727" s="5"/>
      <c r="D727" s="5"/>
      <c r="E727" s="5"/>
      <c r="F727" s="5"/>
      <c r="G727" s="220" t="s">
        <v>1526</v>
      </c>
      <c r="H727" s="5"/>
      <c r="J727" s="88"/>
      <c r="K727" s="206"/>
      <c r="L727" s="140"/>
      <c r="N727" s="140"/>
    </row>
    <row r="728" spans="1:14" s="6" customFormat="1" hidden="1">
      <c r="A728" s="206"/>
      <c r="B728" s="228" t="s">
        <v>1523</v>
      </c>
      <c r="C728" s="5">
        <v>47207569</v>
      </c>
      <c r="D728" s="5"/>
      <c r="E728" s="5"/>
      <c r="F728" s="5"/>
      <c r="G728" s="220" t="s">
        <v>1524</v>
      </c>
      <c r="H728" s="5"/>
      <c r="J728" s="88"/>
      <c r="K728" s="206"/>
      <c r="L728" s="140"/>
      <c r="N728" s="140"/>
    </row>
    <row r="729" spans="1:14" s="6" customFormat="1" hidden="1">
      <c r="A729" s="206"/>
      <c r="B729" s="224" t="s">
        <v>1521</v>
      </c>
      <c r="C729" s="5"/>
      <c r="D729" s="5"/>
      <c r="E729" s="5"/>
      <c r="F729" s="5"/>
      <c r="G729" s="220" t="s">
        <v>1522</v>
      </c>
      <c r="H729" s="5"/>
      <c r="J729" s="88"/>
      <c r="K729" s="206">
        <f>31.25*3</f>
        <v>93.75</v>
      </c>
      <c r="L729" s="140"/>
      <c r="N729" s="140"/>
    </row>
    <row r="730" spans="1:14" s="6" customFormat="1" hidden="1">
      <c r="A730" s="206"/>
      <c r="B730" s="218" t="s">
        <v>1511</v>
      </c>
      <c r="C730" s="5">
        <v>11909222</v>
      </c>
      <c r="D730" s="5"/>
      <c r="E730" s="5"/>
      <c r="F730" s="5"/>
      <c r="G730" s="218" t="s">
        <v>1512</v>
      </c>
      <c r="H730" s="5"/>
      <c r="J730" s="88"/>
      <c r="K730" s="206"/>
      <c r="L730" s="140"/>
      <c r="N730" s="140"/>
    </row>
    <row r="731" spans="1:14" s="6" customFormat="1" hidden="1">
      <c r="A731" s="206"/>
      <c r="B731" s="218" t="s">
        <v>1513</v>
      </c>
      <c r="C731" s="5">
        <v>82462001</v>
      </c>
      <c r="D731" s="5"/>
      <c r="E731" s="5"/>
      <c r="F731" s="5"/>
      <c r="G731" s="218" t="s">
        <v>1512</v>
      </c>
      <c r="H731" s="5"/>
      <c r="J731" s="88"/>
      <c r="K731" s="206"/>
      <c r="L731" s="140"/>
      <c r="N731" s="140"/>
    </row>
    <row r="732" spans="1:14" s="6" customFormat="1" hidden="1">
      <c r="A732" s="206"/>
      <c r="B732" s="228" t="s">
        <v>1503</v>
      </c>
      <c r="C732" s="5">
        <v>94186581</v>
      </c>
      <c r="D732" s="5"/>
      <c r="E732" s="5"/>
      <c r="F732" s="5"/>
      <c r="G732" s="211" t="s">
        <v>1504</v>
      </c>
      <c r="H732" s="5"/>
      <c r="J732" s="88"/>
      <c r="K732" s="206"/>
      <c r="L732" s="140"/>
      <c r="N732" s="140"/>
    </row>
    <row r="733" spans="1:14" s="6" customFormat="1" hidden="1">
      <c r="A733" s="206"/>
      <c r="B733" s="231" t="s">
        <v>1499</v>
      </c>
      <c r="C733" s="5">
        <v>32209485</v>
      </c>
      <c r="D733" s="5"/>
      <c r="E733" s="5"/>
      <c r="F733" s="5"/>
      <c r="G733" s="211" t="s">
        <v>1500</v>
      </c>
      <c r="H733" s="5"/>
      <c r="J733" s="88"/>
      <c r="K733" s="206"/>
      <c r="L733" s="140"/>
      <c r="N733" s="140"/>
    </row>
    <row r="734" spans="1:14" s="6" customFormat="1" hidden="1">
      <c r="A734" s="206"/>
      <c r="B734" s="218" t="s">
        <v>1495</v>
      </c>
      <c r="C734" s="5">
        <v>81244392</v>
      </c>
      <c r="D734" s="5"/>
      <c r="E734" s="5"/>
      <c r="F734" s="5"/>
      <c r="G734" s="211" t="s">
        <v>1496</v>
      </c>
      <c r="H734" s="5"/>
      <c r="J734" s="88"/>
      <c r="K734" s="206"/>
      <c r="L734" s="140"/>
      <c r="N734" s="140"/>
    </row>
    <row r="735" spans="1:14" s="6" customFormat="1" hidden="1">
      <c r="A735" s="206"/>
      <c r="B735" s="224" t="s">
        <v>1493</v>
      </c>
      <c r="C735" s="5">
        <v>21611224</v>
      </c>
      <c r="D735" s="5"/>
      <c r="E735" s="5"/>
      <c r="F735" s="5"/>
      <c r="G735" s="211" t="s">
        <v>1494</v>
      </c>
      <c r="H735" s="5"/>
      <c r="J735" s="88"/>
      <c r="K735" s="206"/>
      <c r="L735" s="140"/>
      <c r="N735" s="140"/>
    </row>
    <row r="736" spans="1:14" s="6" customFormat="1" hidden="1">
      <c r="A736" s="206"/>
      <c r="B736" s="329" t="s">
        <v>1483</v>
      </c>
      <c r="C736" s="5">
        <v>13527130</v>
      </c>
      <c r="D736" s="5"/>
      <c r="E736" s="5"/>
      <c r="F736" s="5"/>
      <c r="G736" s="211" t="s">
        <v>1484</v>
      </c>
      <c r="H736" s="5"/>
      <c r="J736" s="88"/>
      <c r="K736" s="206"/>
      <c r="L736" s="140"/>
      <c r="N736" s="140"/>
    </row>
    <row r="737" spans="1:14" s="6" customFormat="1" hidden="1">
      <c r="A737" s="206"/>
      <c r="B737" s="247" t="s">
        <v>1481</v>
      </c>
      <c r="C737" s="5">
        <v>55871538</v>
      </c>
      <c r="D737" s="5"/>
      <c r="E737" s="5"/>
      <c r="F737" s="5"/>
      <c r="G737" s="211" t="s">
        <v>1482</v>
      </c>
      <c r="H737" s="5"/>
      <c r="J737" s="88"/>
      <c r="K737" s="206"/>
      <c r="L737" s="140"/>
      <c r="N737" s="140"/>
    </row>
    <row r="738" spans="1:14" s="6" customFormat="1" hidden="1">
      <c r="A738" s="206"/>
      <c r="B738" s="211" t="s">
        <v>1479</v>
      </c>
      <c r="C738" s="5">
        <v>51228126</v>
      </c>
      <c r="D738" s="5"/>
      <c r="E738" s="5"/>
      <c r="F738" s="5"/>
      <c r="G738" s="211" t="s">
        <v>1480</v>
      </c>
      <c r="H738" s="5"/>
      <c r="J738" s="88"/>
      <c r="K738" s="206"/>
      <c r="L738" s="140"/>
      <c r="N738" s="140"/>
    </row>
    <row r="739" spans="1:14" s="6" customFormat="1" hidden="1">
      <c r="A739" s="206"/>
      <c r="B739" s="220" t="s">
        <v>972</v>
      </c>
      <c r="C739" s="5"/>
      <c r="D739" s="5"/>
      <c r="E739" s="5"/>
      <c r="F739" s="5"/>
      <c r="G739" s="207"/>
      <c r="H739" s="5"/>
      <c r="J739" s="88"/>
      <c r="L739" s="140"/>
      <c r="N739" s="140"/>
    </row>
    <row r="740" spans="1:14" s="6" customFormat="1" hidden="1">
      <c r="A740" s="197"/>
      <c r="B740" s="228" t="s">
        <v>1468</v>
      </c>
      <c r="C740" s="5">
        <v>66023808</v>
      </c>
      <c r="D740" s="5"/>
      <c r="E740" s="5"/>
      <c r="F740" s="5"/>
      <c r="G740" s="211" t="s">
        <v>1469</v>
      </c>
      <c r="H740" s="5"/>
      <c r="J740" s="88"/>
      <c r="K740" s="6">
        <v>858</v>
      </c>
      <c r="L740" s="140"/>
      <c r="N740" s="140"/>
    </row>
    <row r="741" spans="1:14" s="6" customFormat="1" hidden="1">
      <c r="A741" s="197"/>
      <c r="B741" s="218" t="s">
        <v>1448</v>
      </c>
      <c r="C741" s="5">
        <v>34230178</v>
      </c>
      <c r="D741" s="5"/>
      <c r="E741" s="5"/>
      <c r="F741" s="5"/>
      <c r="G741" s="207" t="s">
        <v>1449</v>
      </c>
      <c r="H741" s="5"/>
      <c r="J741" s="88"/>
      <c r="K741" s="6">
        <v>330</v>
      </c>
      <c r="L741" s="140">
        <v>28.76</v>
      </c>
      <c r="N741" s="140"/>
    </row>
    <row r="742" spans="1:14" s="6" customFormat="1" hidden="1">
      <c r="A742" s="197"/>
      <c r="B742" s="218" t="s">
        <v>1437</v>
      </c>
      <c r="C742" s="5">
        <v>18170191</v>
      </c>
      <c r="D742" s="5"/>
      <c r="E742" s="5"/>
      <c r="F742" s="5"/>
      <c r="G742" s="205" t="s">
        <v>1438</v>
      </c>
      <c r="H742" s="5"/>
      <c r="J742" s="88"/>
      <c r="L742" s="140"/>
      <c r="N742" s="140"/>
    </row>
    <row r="743" spans="1:14" s="6" customFormat="1" hidden="1">
      <c r="A743" s="197"/>
      <c r="B743" s="224" t="s">
        <v>1430</v>
      </c>
      <c r="C743" s="5">
        <v>48841482</v>
      </c>
      <c r="D743" s="5"/>
      <c r="E743" s="5"/>
      <c r="F743" s="5"/>
      <c r="G743" s="205" t="s">
        <v>1431</v>
      </c>
      <c r="H743" s="5"/>
      <c r="J743" s="88"/>
      <c r="L743" s="140"/>
      <c r="N743" s="140"/>
    </row>
    <row r="744" spans="1:14" s="6" customFormat="1" hidden="1">
      <c r="A744" s="197"/>
      <c r="B744" s="209" t="s">
        <v>1428</v>
      </c>
      <c r="C744" s="2">
        <v>87081006</v>
      </c>
      <c r="D744" s="2"/>
      <c r="E744" s="2"/>
      <c r="F744" s="2"/>
      <c r="G744" s="210" t="s">
        <v>1429</v>
      </c>
      <c r="J744" s="88"/>
      <c r="L744" s="140"/>
      <c r="N744" s="140"/>
    </row>
    <row r="745" spans="1:14" s="6" customFormat="1" hidden="1">
      <c r="A745" s="197"/>
      <c r="B745" s="208" t="s">
        <v>1422</v>
      </c>
      <c r="C745" s="102">
        <v>61264474</v>
      </c>
      <c r="D745" s="102"/>
      <c r="E745" s="102"/>
      <c r="F745" s="102"/>
      <c r="G745" s="204" t="s">
        <v>1423</v>
      </c>
      <c r="J745" s="88"/>
      <c r="K745" s="6">
        <f>140*77000</f>
        <v>10780000</v>
      </c>
      <c r="L745" s="140"/>
      <c r="N745" s="140"/>
    </row>
    <row r="746" spans="1:14" s="6" customFormat="1" hidden="1">
      <c r="A746" s="197"/>
      <c r="B746" s="201" t="s">
        <v>1405</v>
      </c>
      <c r="C746" s="5">
        <v>74658403</v>
      </c>
      <c r="D746" s="5"/>
      <c r="E746" s="5"/>
      <c r="F746" s="5"/>
      <c r="G746" s="201" t="s">
        <v>1406</v>
      </c>
      <c r="J746" s="88"/>
      <c r="L746" s="140"/>
      <c r="N746" s="140"/>
    </row>
    <row r="747" spans="1:14" s="6" customFormat="1" hidden="1">
      <c r="A747" s="197"/>
      <c r="B747" s="228" t="s">
        <v>1392</v>
      </c>
      <c r="C747" s="5">
        <v>40037572</v>
      </c>
      <c r="D747" s="5"/>
      <c r="E747" s="5"/>
      <c r="F747" s="5"/>
      <c r="G747" s="216" t="s">
        <v>1393</v>
      </c>
      <c r="H747" s="5"/>
      <c r="J747" s="88"/>
      <c r="L747" s="140"/>
      <c r="N747" s="140"/>
    </row>
    <row r="748" spans="1:14" s="6" customFormat="1" hidden="1">
      <c r="A748" s="197"/>
      <c r="B748" s="205" t="s">
        <v>1385</v>
      </c>
      <c r="C748" s="5">
        <v>35390066</v>
      </c>
      <c r="D748" s="5"/>
      <c r="E748" s="5"/>
      <c r="F748" s="5"/>
      <c r="G748" s="205" t="s">
        <v>1386</v>
      </c>
      <c r="J748" s="88"/>
      <c r="L748" s="140"/>
      <c r="N748" s="140"/>
    </row>
    <row r="749" spans="1:14" s="6" customFormat="1" hidden="1">
      <c r="A749" s="197"/>
      <c r="B749" s="198" t="s">
        <v>1383</v>
      </c>
      <c r="C749" s="5">
        <v>42476752</v>
      </c>
      <c r="D749" s="5"/>
      <c r="E749" s="5"/>
      <c r="F749" s="5"/>
      <c r="G749" s="198" t="s">
        <v>1384</v>
      </c>
      <c r="J749" s="88"/>
      <c r="L749" s="140"/>
      <c r="N749" s="140"/>
    </row>
    <row r="750" spans="1:14" s="6" customFormat="1" hidden="1">
      <c r="A750" s="191"/>
      <c r="B750" s="198" t="s">
        <v>1379</v>
      </c>
      <c r="C750" s="5">
        <v>76005725</v>
      </c>
      <c r="D750" s="5"/>
      <c r="E750" s="5"/>
      <c r="F750" s="5"/>
      <c r="G750" s="5" t="s">
        <v>1380</v>
      </c>
      <c r="H750" s="5"/>
      <c r="J750" s="88"/>
      <c r="K750" s="6">
        <f>3400*11420</f>
        <v>38828000</v>
      </c>
      <c r="L750" s="140"/>
      <c r="N750" s="140"/>
    </row>
    <row r="751" spans="1:14" s="6" customFormat="1" hidden="1">
      <c r="A751" s="191"/>
      <c r="B751" s="217" t="s">
        <v>1373</v>
      </c>
      <c r="C751" s="6">
        <v>58442432</v>
      </c>
      <c r="G751" s="6" t="s">
        <v>1374</v>
      </c>
      <c r="J751" s="88"/>
      <c r="L751" s="140"/>
      <c r="N751" s="140"/>
    </row>
    <row r="752" spans="1:14" s="6" customFormat="1" hidden="1">
      <c r="A752" s="191"/>
      <c r="B752" s="256" t="s">
        <v>1347</v>
      </c>
      <c r="C752" s="194">
        <v>18172570</v>
      </c>
      <c r="D752" s="194"/>
      <c r="E752" s="194"/>
      <c r="F752" s="194"/>
      <c r="G752" s="194" t="s">
        <v>1348</v>
      </c>
      <c r="H752" s="194"/>
      <c r="I752" s="193"/>
      <c r="J752" s="88"/>
      <c r="L752" s="140"/>
      <c r="N752" s="140"/>
    </row>
    <row r="753" spans="1:14" s="6" customFormat="1" hidden="1">
      <c r="A753" s="191"/>
      <c r="B753" s="198" t="s">
        <v>1344</v>
      </c>
      <c r="C753" s="5">
        <v>16740009</v>
      </c>
      <c r="D753" s="5"/>
      <c r="E753" s="5"/>
      <c r="F753" s="5"/>
      <c r="G753" s="5" t="s">
        <v>1345</v>
      </c>
      <c r="H753" s="5"/>
      <c r="J753" s="88"/>
      <c r="L753" s="140"/>
      <c r="N753" s="140"/>
    </row>
    <row r="754" spans="1:14" s="6" customFormat="1" hidden="1">
      <c r="A754" s="191"/>
      <c r="B754" s="194" t="s">
        <v>1340</v>
      </c>
      <c r="C754" s="194" t="s">
        <v>1341</v>
      </c>
      <c r="D754" s="5"/>
      <c r="E754" s="5"/>
      <c r="F754" s="5"/>
      <c r="G754" s="5" t="s">
        <v>1342</v>
      </c>
      <c r="H754" s="5"/>
      <c r="J754" s="88"/>
      <c r="L754" s="140"/>
      <c r="N754" s="140"/>
    </row>
    <row r="755" spans="1:14" s="6" customFormat="1" hidden="1">
      <c r="A755" s="183"/>
      <c r="B755" s="192" t="s">
        <v>1320</v>
      </c>
      <c r="C755" s="5">
        <v>24270305</v>
      </c>
      <c r="D755" s="5"/>
      <c r="E755" s="5"/>
      <c r="F755" s="5"/>
      <c r="G755" s="5" t="s">
        <v>1321</v>
      </c>
      <c r="H755" s="5"/>
      <c r="J755" s="88"/>
      <c r="L755" s="140"/>
      <c r="N755" s="140"/>
    </row>
    <row r="756" spans="1:14" s="6" customFormat="1" hidden="1">
      <c r="A756" s="183"/>
      <c r="B756" s="192" t="s">
        <v>1317</v>
      </c>
      <c r="C756" s="5">
        <v>22873659</v>
      </c>
      <c r="D756" s="5"/>
      <c r="E756" s="5"/>
      <c r="F756" s="5"/>
      <c r="G756" s="5" t="s">
        <v>1318</v>
      </c>
      <c r="H756" s="5"/>
      <c r="J756" s="88"/>
      <c r="L756" s="140"/>
      <c r="N756" s="140"/>
    </row>
    <row r="757" spans="1:14" s="6" customFormat="1" hidden="1">
      <c r="A757" s="183"/>
      <c r="B757" s="193" t="s">
        <v>1314</v>
      </c>
      <c r="C757" s="6">
        <v>50917913</v>
      </c>
      <c r="D757" s="6" t="s">
        <v>1316</v>
      </c>
      <c r="G757" s="6" t="s">
        <v>1315</v>
      </c>
      <c r="J757" s="88"/>
      <c r="L757" s="140"/>
      <c r="N757" s="140"/>
    </row>
    <row r="758" spans="1:14" s="6" customFormat="1" hidden="1">
      <c r="A758" s="183"/>
      <c r="B758" s="189" t="s">
        <v>1311</v>
      </c>
      <c r="C758" s="5">
        <v>97037979</v>
      </c>
      <c r="D758" s="5"/>
      <c r="E758" s="5"/>
      <c r="F758" s="5"/>
      <c r="G758" s="5" t="s">
        <v>1312</v>
      </c>
      <c r="H758" s="5"/>
      <c r="J758" s="88"/>
      <c r="L758" s="140"/>
      <c r="N758" s="140"/>
    </row>
    <row r="759" spans="1:14" s="6" customFormat="1" hidden="1">
      <c r="A759" s="159"/>
      <c r="B759" s="198" t="s">
        <v>1308</v>
      </c>
      <c r="C759" s="5">
        <v>91246260</v>
      </c>
      <c r="D759" s="5"/>
      <c r="E759" s="5"/>
      <c r="F759" s="5"/>
      <c r="G759" s="182" t="s">
        <v>1309</v>
      </c>
      <c r="H759" s="5"/>
      <c r="J759" s="88"/>
      <c r="L759" s="140"/>
      <c r="N759" s="140"/>
    </row>
    <row r="760" spans="1:14" s="6" customFormat="1" hidden="1">
      <c r="A760" s="159"/>
      <c r="B760" s="194" t="s">
        <v>1303</v>
      </c>
      <c r="C760" s="5">
        <v>53298674</v>
      </c>
      <c r="D760" s="5"/>
      <c r="E760" s="5"/>
      <c r="F760" s="5"/>
      <c r="G760" s="5" t="s">
        <v>1304</v>
      </c>
      <c r="H760" s="5">
        <v>33</v>
      </c>
      <c r="J760" s="88"/>
      <c r="L760" s="140"/>
      <c r="N760" s="140"/>
    </row>
    <row r="761" spans="1:14" s="6" customFormat="1" hidden="1">
      <c r="A761" s="159"/>
      <c r="B761" s="192" t="s">
        <v>1302</v>
      </c>
      <c r="C761" s="5">
        <v>46938113</v>
      </c>
      <c r="D761" s="5"/>
      <c r="E761" s="5"/>
      <c r="F761" s="5"/>
      <c r="G761" s="5" t="s">
        <v>1319</v>
      </c>
      <c r="H761" s="5"/>
      <c r="J761" s="88"/>
      <c r="L761" s="140"/>
      <c r="N761" s="140"/>
    </row>
    <row r="762" spans="1:14" s="6" customFormat="1" hidden="1">
      <c r="A762" s="159"/>
      <c r="B762" s="182" t="s">
        <v>1300</v>
      </c>
      <c r="C762" s="5">
        <v>42992036</v>
      </c>
      <c r="D762" s="5"/>
      <c r="E762" s="5"/>
      <c r="F762" s="5"/>
      <c r="G762" s="5" t="s">
        <v>1301</v>
      </c>
      <c r="H762" s="5">
        <v>33</v>
      </c>
      <c r="J762" s="88"/>
      <c r="L762" s="140"/>
      <c r="N762" s="140"/>
    </row>
    <row r="763" spans="1:14" s="6" customFormat="1" hidden="1">
      <c r="A763" s="159"/>
      <c r="B763" s="189" t="s">
        <v>1295</v>
      </c>
      <c r="C763" s="5">
        <v>87295288</v>
      </c>
      <c r="D763" s="5"/>
      <c r="E763" s="5"/>
      <c r="F763" s="5"/>
      <c r="G763" s="5" t="s">
        <v>1296</v>
      </c>
      <c r="H763" s="5"/>
      <c r="J763" s="88"/>
      <c r="L763" s="140"/>
      <c r="N763" s="140"/>
    </row>
    <row r="764" spans="1:14" s="6" customFormat="1" hidden="1">
      <c r="A764" s="159"/>
      <c r="B764" s="189" t="s">
        <v>1292</v>
      </c>
      <c r="C764" s="5">
        <v>65874780</v>
      </c>
      <c r="D764" s="5"/>
      <c r="E764" s="5"/>
      <c r="F764" s="5"/>
      <c r="G764" s="5" t="s">
        <v>1293</v>
      </c>
      <c r="H764" s="5">
        <v>8.4</v>
      </c>
      <c r="J764" s="88"/>
      <c r="L764" s="140"/>
      <c r="N764" s="140"/>
    </row>
    <row r="765" spans="1:14" s="6" customFormat="1" hidden="1">
      <c r="A765" s="159"/>
      <c r="B765" s="179" t="s">
        <v>1282</v>
      </c>
      <c r="C765" s="5">
        <v>95121734</v>
      </c>
      <c r="D765" s="5"/>
      <c r="E765" s="5"/>
      <c r="F765" s="5"/>
      <c r="G765" s="5" t="s">
        <v>1283</v>
      </c>
      <c r="J765" s="88"/>
      <c r="L765" s="140"/>
      <c r="N765" s="140"/>
    </row>
    <row r="766" spans="1:14" s="6" customFormat="1" hidden="1">
      <c r="A766" s="159"/>
      <c r="B766" s="237" t="s">
        <v>1279</v>
      </c>
      <c r="C766" s="2">
        <v>64621425</v>
      </c>
      <c r="D766" s="2"/>
      <c r="E766" s="2"/>
      <c r="F766" s="2"/>
      <c r="G766" s="2" t="s">
        <v>1280</v>
      </c>
      <c r="J766" s="88"/>
      <c r="L766" s="140"/>
      <c r="N766" s="140">
        <v>24900000</v>
      </c>
    </row>
    <row r="767" spans="1:14" s="6" customFormat="1" hidden="1">
      <c r="A767" s="159"/>
      <c r="B767" s="236" t="s">
        <v>1278</v>
      </c>
      <c r="C767" s="5">
        <v>88189116</v>
      </c>
      <c r="D767" s="5"/>
      <c r="E767" s="5"/>
      <c r="F767" s="5"/>
      <c r="G767" s="5" t="s">
        <v>1280</v>
      </c>
      <c r="J767" s="88"/>
      <c r="L767" s="140"/>
      <c r="N767" s="140">
        <v>26045000</v>
      </c>
    </row>
    <row r="768" spans="1:14" s="6" customFormat="1" hidden="1">
      <c r="A768" s="159"/>
      <c r="B768" s="179" t="s">
        <v>1270</v>
      </c>
      <c r="C768" s="5">
        <v>48800801</v>
      </c>
      <c r="D768" s="5"/>
      <c r="E768" s="5"/>
      <c r="F768" s="5"/>
      <c r="G768" s="5" t="s">
        <v>1271</v>
      </c>
      <c r="J768" s="88"/>
      <c r="L768" s="140"/>
      <c r="N768" s="140">
        <v>27300000</v>
      </c>
    </row>
    <row r="769" spans="1:14" s="6" customFormat="1" hidden="1">
      <c r="A769" s="159"/>
      <c r="B769" s="179" t="s">
        <v>1268</v>
      </c>
      <c r="C769" s="5"/>
      <c r="D769" s="5"/>
      <c r="E769" s="5"/>
      <c r="F769" s="5"/>
      <c r="G769" s="5" t="s">
        <v>1269</v>
      </c>
      <c r="J769" s="88"/>
      <c r="L769" s="140"/>
      <c r="N769" s="140"/>
    </row>
    <row r="770" spans="1:14" s="6" customFormat="1" hidden="1">
      <c r="A770" s="159"/>
      <c r="B770" s="315" t="s">
        <v>1251</v>
      </c>
      <c r="C770" s="1"/>
      <c r="D770" s="1"/>
      <c r="E770" s="1"/>
      <c r="F770" s="1"/>
      <c r="G770" s="1" t="s">
        <v>1262</v>
      </c>
      <c r="J770" s="88"/>
      <c r="L770" s="140"/>
      <c r="N770" s="140"/>
    </row>
    <row r="771" spans="1:14" s="6" customFormat="1" hidden="1">
      <c r="A771" s="159"/>
      <c r="B771" s="189" t="s">
        <v>1225</v>
      </c>
      <c r="C771" s="5">
        <v>19203722</v>
      </c>
      <c r="D771" s="5"/>
      <c r="E771" s="5"/>
      <c r="F771" s="5"/>
      <c r="G771" s="177" t="s">
        <v>1226</v>
      </c>
      <c r="J771" s="88"/>
      <c r="L771" s="140"/>
      <c r="N771" s="140"/>
    </row>
    <row r="772" spans="1:14" s="6" customFormat="1" hidden="1">
      <c r="A772" s="159"/>
      <c r="B772" s="176" t="s">
        <v>1213</v>
      </c>
      <c r="C772" s="5">
        <v>63487963</v>
      </c>
      <c r="D772" s="5"/>
      <c r="E772" s="5"/>
      <c r="F772" s="5"/>
      <c r="G772" s="5" t="s">
        <v>1214</v>
      </c>
      <c r="J772" s="88"/>
      <c r="L772" s="140"/>
      <c r="N772" s="140"/>
    </row>
    <row r="773" spans="1:14" s="6" customFormat="1" hidden="1">
      <c r="A773" s="159"/>
      <c r="B773" s="176" t="s">
        <v>1199</v>
      </c>
      <c r="C773" s="5">
        <v>93400786</v>
      </c>
      <c r="D773" s="5"/>
      <c r="E773" s="5"/>
      <c r="F773" s="5"/>
      <c r="G773" s="5" t="s">
        <v>1200</v>
      </c>
      <c r="J773" s="88"/>
      <c r="L773" s="140"/>
      <c r="N773" s="140"/>
    </row>
    <row r="774" spans="1:14" s="6" customFormat="1" hidden="1">
      <c r="A774" s="159"/>
      <c r="B774" s="191" t="s">
        <v>1195</v>
      </c>
      <c r="C774" s="6">
        <v>32751306</v>
      </c>
      <c r="G774" s="6" t="s">
        <v>1196</v>
      </c>
      <c r="J774" s="88"/>
      <c r="L774" s="140"/>
      <c r="N774" s="140"/>
    </row>
    <row r="775" spans="1:14" s="6" customFormat="1" hidden="1">
      <c r="A775" s="159"/>
      <c r="B775" s="176" t="s">
        <v>1178</v>
      </c>
      <c r="C775" s="5">
        <v>90645733</v>
      </c>
      <c r="D775" s="5"/>
      <c r="E775" s="5"/>
      <c r="F775" s="5"/>
      <c r="G775" s="5" t="s">
        <v>1179</v>
      </c>
      <c r="H775" s="6">
        <f>6+6</f>
        <v>12</v>
      </c>
      <c r="J775" s="178" t="s">
        <v>1243</v>
      </c>
      <c r="L775" s="140"/>
      <c r="N775" s="140"/>
    </row>
    <row r="776" spans="1:14" s="6" customFormat="1" hidden="1">
      <c r="A776" s="159"/>
      <c r="B776" s="177" t="s">
        <v>1188</v>
      </c>
      <c r="C776" s="5">
        <v>94946998</v>
      </c>
      <c r="D776" s="5"/>
      <c r="E776" s="5"/>
      <c r="F776" s="5"/>
      <c r="G776" s="5" t="s">
        <v>1189</v>
      </c>
      <c r="J776" s="88"/>
      <c r="L776" s="140"/>
      <c r="N776" s="140"/>
    </row>
    <row r="777" spans="1:14" s="6" customFormat="1" hidden="1">
      <c r="A777" s="159"/>
      <c r="B777" s="176" t="s">
        <v>1184</v>
      </c>
      <c r="C777" s="5">
        <v>96138636</v>
      </c>
      <c r="D777" s="5"/>
      <c r="E777" s="5"/>
      <c r="F777" s="5"/>
      <c r="G777" s="5" t="s">
        <v>1185</v>
      </c>
      <c r="J777" s="88"/>
      <c r="L777" s="140"/>
      <c r="N777" s="140"/>
    </row>
    <row r="778" spans="1:14" s="6" customFormat="1" hidden="1">
      <c r="A778" s="159"/>
      <c r="B778" s="176" t="s">
        <v>1171</v>
      </c>
      <c r="C778" s="5">
        <v>85509081</v>
      </c>
      <c r="D778" s="5"/>
      <c r="E778" s="5"/>
      <c r="F778" s="5"/>
      <c r="G778" s="5" t="s">
        <v>1172</v>
      </c>
      <c r="J778" s="88"/>
      <c r="L778" s="140"/>
      <c r="N778" s="140"/>
    </row>
    <row r="779" spans="1:14" s="6" customFormat="1" hidden="1">
      <c r="A779" s="159"/>
      <c r="B779" s="179" t="s">
        <v>1169</v>
      </c>
      <c r="C779" s="5">
        <v>47884389</v>
      </c>
      <c r="D779" s="5"/>
      <c r="E779" s="5"/>
      <c r="F779" s="5"/>
      <c r="G779" s="5" t="s">
        <v>1170</v>
      </c>
      <c r="J779" s="88"/>
      <c r="L779" s="140"/>
      <c r="N779" s="140"/>
    </row>
    <row r="780" spans="1:14" s="6" customFormat="1" hidden="1">
      <c r="A780" s="159"/>
      <c r="B780" s="251" t="s">
        <v>1164</v>
      </c>
      <c r="C780" s="5">
        <v>46851868</v>
      </c>
      <c r="D780" s="5"/>
      <c r="E780" s="5"/>
      <c r="F780" s="5"/>
      <c r="G780" s="5" t="s">
        <v>1165</v>
      </c>
      <c r="J780" s="88"/>
      <c r="L780" s="140"/>
      <c r="N780" s="140"/>
    </row>
    <row r="781" spans="1:14" s="6" customFormat="1" hidden="1">
      <c r="A781" s="159"/>
      <c r="B781" s="176" t="s">
        <v>1155</v>
      </c>
      <c r="C781" s="5">
        <v>85154748</v>
      </c>
      <c r="D781" s="5"/>
      <c r="E781" s="5"/>
      <c r="F781" s="5"/>
      <c r="G781" s="5" t="s">
        <v>1187</v>
      </c>
      <c r="J781" s="88"/>
      <c r="L781" s="140"/>
      <c r="N781" s="140"/>
    </row>
    <row r="782" spans="1:14" s="6" customFormat="1" hidden="1">
      <c r="A782" s="159"/>
      <c r="B782" s="177" t="s">
        <v>1141</v>
      </c>
      <c r="C782" s="5">
        <v>19760377</v>
      </c>
      <c r="D782" s="5"/>
      <c r="E782" s="5"/>
      <c r="F782" s="5"/>
      <c r="G782" s="5" t="s">
        <v>1142</v>
      </c>
      <c r="J782" s="88"/>
      <c r="L782" s="140"/>
      <c r="N782" s="140"/>
    </row>
    <row r="783" spans="1:14" s="6" customFormat="1" hidden="1">
      <c r="A783" s="159"/>
      <c r="B783" s="176" t="s">
        <v>1136</v>
      </c>
      <c r="C783" s="176" t="s">
        <v>1137</v>
      </c>
      <c r="D783" s="5"/>
      <c r="E783" s="5"/>
      <c r="F783" s="5"/>
      <c r="G783" s="5" t="s">
        <v>1138</v>
      </c>
      <c r="J783" s="88"/>
      <c r="L783" s="140"/>
      <c r="N783" s="140"/>
    </row>
    <row r="784" spans="1:14" s="6" customFormat="1" hidden="1">
      <c r="A784" s="159"/>
      <c r="B784" s="165" t="s">
        <v>1121</v>
      </c>
      <c r="C784" s="5">
        <v>29855742</v>
      </c>
      <c r="D784" s="5"/>
      <c r="E784" s="5"/>
      <c r="F784" s="5"/>
      <c r="G784" s="5" t="s">
        <v>1122</v>
      </c>
      <c r="J784" s="88"/>
      <c r="L784" s="140"/>
      <c r="N784" s="140"/>
    </row>
    <row r="785" spans="1:14" s="6" customFormat="1" hidden="1">
      <c r="A785" s="159"/>
      <c r="B785" s="164" t="s">
        <v>1112</v>
      </c>
      <c r="C785" s="5">
        <v>64623768</v>
      </c>
      <c r="D785" s="5"/>
      <c r="E785" s="5"/>
      <c r="F785" s="5"/>
      <c r="G785" s="5" t="s">
        <v>1113</v>
      </c>
      <c r="J785" s="88"/>
      <c r="L785" s="140"/>
      <c r="N785" s="140"/>
    </row>
    <row r="786" spans="1:14" s="6" customFormat="1" hidden="1">
      <c r="A786" s="149"/>
      <c r="B786" s="162" t="s">
        <v>1099</v>
      </c>
      <c r="C786" s="53"/>
      <c r="D786" s="53"/>
      <c r="E786" s="53"/>
      <c r="F786" s="53"/>
      <c r="G786" s="53" t="s">
        <v>1100</v>
      </c>
      <c r="J786" s="88"/>
      <c r="L786" s="140"/>
      <c r="N786" s="140"/>
    </row>
    <row r="787" spans="1:14" s="6" customFormat="1" hidden="1">
      <c r="A787" s="149"/>
      <c r="B787" s="179" t="s">
        <v>1097</v>
      </c>
      <c r="C787" s="5">
        <v>12680480</v>
      </c>
      <c r="D787" s="5"/>
      <c r="E787" s="5"/>
      <c r="F787" s="5"/>
      <c r="G787" s="5" t="s">
        <v>1098</v>
      </c>
      <c r="J787" s="88"/>
      <c r="L787" s="140"/>
      <c r="N787" s="140"/>
    </row>
    <row r="788" spans="1:14" s="6" customFormat="1" hidden="1">
      <c r="A788" s="149"/>
      <c r="B788" s="160" t="s">
        <v>1096</v>
      </c>
      <c r="C788" s="6">
        <v>33115834</v>
      </c>
      <c r="J788" s="88"/>
      <c r="L788" s="140"/>
      <c r="N788" s="140"/>
    </row>
    <row r="789" spans="1:14" s="6" customFormat="1" hidden="1">
      <c r="A789" s="149"/>
      <c r="B789" s="165" t="s">
        <v>1091</v>
      </c>
      <c r="C789" s="5">
        <v>84393346</v>
      </c>
      <c r="D789" s="5"/>
      <c r="E789" s="5"/>
      <c r="F789" s="5"/>
      <c r="G789" s="5" t="s">
        <v>1092</v>
      </c>
      <c r="J789" s="88"/>
      <c r="L789" s="140"/>
      <c r="N789" s="140"/>
    </row>
    <row r="790" spans="1:14" s="6" customFormat="1" hidden="1">
      <c r="A790" s="149"/>
      <c r="B790" s="192" t="s">
        <v>1088</v>
      </c>
      <c r="C790" s="5">
        <v>51831125</v>
      </c>
      <c r="D790" s="5"/>
      <c r="E790" s="5"/>
      <c r="F790" s="5"/>
      <c r="G790" s="5" t="s">
        <v>1089</v>
      </c>
      <c r="J790" s="88"/>
      <c r="L790" s="140"/>
      <c r="N790" s="140"/>
    </row>
    <row r="791" spans="1:14" s="6" customFormat="1" hidden="1">
      <c r="A791" s="149"/>
      <c r="B791" s="158" t="s">
        <v>1086</v>
      </c>
      <c r="C791" s="5">
        <v>38617191</v>
      </c>
      <c r="D791" s="5"/>
      <c r="E791" s="5"/>
      <c r="F791" s="5"/>
      <c r="G791" s="5" t="s">
        <v>1087</v>
      </c>
      <c r="J791" s="88"/>
      <c r="L791" s="140"/>
      <c r="N791" s="140"/>
    </row>
    <row r="792" spans="1:14" s="6" customFormat="1" hidden="1">
      <c r="A792" s="149"/>
      <c r="B792" s="158" t="s">
        <v>1084</v>
      </c>
      <c r="C792" s="5">
        <v>68707913</v>
      </c>
      <c r="D792" s="5"/>
      <c r="E792" s="5"/>
      <c r="F792" s="5"/>
      <c r="G792" s="5" t="s">
        <v>1083</v>
      </c>
      <c r="J792" s="88"/>
      <c r="L792" s="140"/>
      <c r="N792" s="140"/>
    </row>
    <row r="793" spans="1:14" s="6" customFormat="1" hidden="1">
      <c r="A793" s="149"/>
      <c r="B793" s="158" t="s">
        <v>1082</v>
      </c>
      <c r="C793" s="5">
        <v>84182228</v>
      </c>
      <c r="D793" s="5"/>
      <c r="E793" s="5"/>
      <c r="F793" s="5"/>
      <c r="G793" s="5" t="s">
        <v>1083</v>
      </c>
      <c r="J793" s="88"/>
      <c r="L793" s="140"/>
      <c r="N793" s="140"/>
    </row>
    <row r="794" spans="1:14" s="6" customFormat="1" hidden="1">
      <c r="A794" s="149"/>
      <c r="B794" s="153" t="s">
        <v>1071</v>
      </c>
      <c r="C794" s="5">
        <v>11127137</v>
      </c>
      <c r="D794" s="5"/>
      <c r="E794" s="5"/>
      <c r="F794" s="5"/>
      <c r="G794" s="5" t="s">
        <v>1072</v>
      </c>
      <c r="J794" s="88"/>
      <c r="L794" s="140"/>
      <c r="N794" s="140"/>
    </row>
    <row r="795" spans="1:14" s="6" customFormat="1" hidden="1">
      <c r="A795" s="149"/>
      <c r="B795" s="153" t="s">
        <v>1056</v>
      </c>
      <c r="C795" s="5">
        <v>81311067</v>
      </c>
      <c r="D795" s="5"/>
      <c r="E795" s="5"/>
      <c r="F795" s="5"/>
      <c r="G795" s="5" t="s">
        <v>1057</v>
      </c>
      <c r="J795" s="88"/>
      <c r="L795" s="140"/>
      <c r="N795" s="140"/>
    </row>
    <row r="796" spans="1:14" s="6" customFormat="1" hidden="1">
      <c r="A796" s="149"/>
      <c r="B796" s="164" t="s">
        <v>1054</v>
      </c>
      <c r="C796" s="5">
        <v>46102488</v>
      </c>
      <c r="D796" s="5"/>
      <c r="E796" s="5"/>
      <c r="F796" s="5"/>
      <c r="G796" s="5" t="s">
        <v>1055</v>
      </c>
      <c r="J796" s="88"/>
      <c r="L796" s="140"/>
      <c r="N796" s="140"/>
    </row>
    <row r="797" spans="1:14" s="6" customFormat="1" hidden="1">
      <c r="A797" s="149"/>
      <c r="B797" s="164" t="s">
        <v>1047</v>
      </c>
      <c r="C797" s="5">
        <v>39740887</v>
      </c>
      <c r="D797" s="5"/>
      <c r="E797" s="5"/>
      <c r="F797" s="5"/>
      <c r="G797" s="5" t="s">
        <v>1048</v>
      </c>
      <c r="J797" s="88"/>
      <c r="L797" s="140"/>
      <c r="N797" s="140"/>
    </row>
    <row r="798" spans="1:14" s="6" customFormat="1" hidden="1">
      <c r="A798" s="149"/>
      <c r="B798" s="153" t="s">
        <v>1045</v>
      </c>
      <c r="C798" s="5">
        <v>21776680</v>
      </c>
      <c r="D798" s="5"/>
      <c r="E798" s="5"/>
      <c r="F798" s="5"/>
      <c r="G798" s="5" t="s">
        <v>1046</v>
      </c>
      <c r="J798" s="88"/>
      <c r="L798" s="140"/>
      <c r="N798" s="140"/>
    </row>
    <row r="799" spans="1:14" s="6" customFormat="1" hidden="1">
      <c r="A799" s="149"/>
      <c r="B799" s="153" t="s">
        <v>1043</v>
      </c>
      <c r="C799" s="5">
        <v>58657918</v>
      </c>
      <c r="D799" s="5"/>
      <c r="E799" s="5"/>
      <c r="F799" s="5"/>
      <c r="G799" s="5" t="s">
        <v>962</v>
      </c>
      <c r="J799" s="88"/>
      <c r="L799" s="140"/>
      <c r="N799" s="140"/>
    </row>
    <row r="800" spans="1:14" s="6" customFormat="1" hidden="1">
      <c r="A800" s="149"/>
      <c r="B800" s="153" t="s">
        <v>791</v>
      </c>
      <c r="C800" s="5">
        <v>78261113</v>
      </c>
      <c r="D800" s="5"/>
      <c r="E800" s="5"/>
      <c r="F800" s="5"/>
      <c r="G800" s="5" t="s">
        <v>1039</v>
      </c>
      <c r="J800" s="152"/>
      <c r="L800" s="140"/>
      <c r="N800" s="140"/>
    </row>
    <row r="801" spans="1:14" s="6" customFormat="1" hidden="1">
      <c r="A801" s="149"/>
      <c r="B801" s="171" t="s">
        <v>1037</v>
      </c>
      <c r="C801" s="5">
        <v>90824510</v>
      </c>
      <c r="D801" s="5"/>
      <c r="E801" s="5"/>
      <c r="F801" s="5"/>
      <c r="G801" s="5" t="s">
        <v>1038</v>
      </c>
      <c r="H801" s="6" t="s">
        <v>1139</v>
      </c>
      <c r="J801" s="88"/>
      <c r="L801" s="140"/>
      <c r="N801" s="140"/>
    </row>
    <row r="802" spans="1:14" s="6" customFormat="1" hidden="1">
      <c r="A802" s="149"/>
      <c r="B802" s="151" t="s">
        <v>1035</v>
      </c>
      <c r="C802" s="5">
        <v>37365429</v>
      </c>
      <c r="D802" s="5"/>
      <c r="E802" s="5"/>
      <c r="F802" s="5"/>
      <c r="G802" s="5" t="s">
        <v>1036</v>
      </c>
      <c r="J802" s="88"/>
      <c r="L802" s="140"/>
      <c r="N802" s="140"/>
    </row>
    <row r="803" spans="1:14" s="6" customFormat="1" hidden="1">
      <c r="A803" s="149"/>
      <c r="B803" s="164" t="s">
        <v>1033</v>
      </c>
      <c r="C803" s="5">
        <v>76480765</v>
      </c>
      <c r="D803" s="5"/>
      <c r="E803" s="5"/>
      <c r="F803" s="5"/>
      <c r="G803" s="5" t="s">
        <v>1034</v>
      </c>
      <c r="J803" s="88"/>
      <c r="L803" s="140"/>
      <c r="N803" s="140"/>
    </row>
    <row r="804" spans="1:14" s="6" customFormat="1" hidden="1">
      <c r="A804" s="149"/>
      <c r="B804" s="151" t="s">
        <v>1028</v>
      </c>
      <c r="C804" s="5">
        <v>93125787</v>
      </c>
      <c r="D804" s="5"/>
      <c r="E804" s="5"/>
      <c r="F804" s="5"/>
      <c r="G804" s="5" t="s">
        <v>1029</v>
      </c>
      <c r="J804" s="88"/>
      <c r="L804" s="140"/>
      <c r="N804" s="140"/>
    </row>
    <row r="805" spans="1:14" s="6" customFormat="1" hidden="1">
      <c r="A805" s="149"/>
      <c r="B805" s="153" t="s">
        <v>846</v>
      </c>
      <c r="C805" s="5">
        <v>95723285</v>
      </c>
      <c r="D805" s="5"/>
      <c r="E805" s="5"/>
      <c r="F805" s="5"/>
      <c r="G805" s="5" t="s">
        <v>847</v>
      </c>
      <c r="J805" s="149"/>
      <c r="L805" s="140"/>
      <c r="N805" s="140"/>
    </row>
    <row r="806" spans="1:14" s="6" customFormat="1" hidden="1">
      <c r="A806" s="127"/>
      <c r="B806" s="151" t="s">
        <v>1022</v>
      </c>
      <c r="C806" s="5"/>
      <c r="D806" s="5"/>
      <c r="E806" s="5"/>
      <c r="F806" s="5"/>
      <c r="G806" s="5" t="s">
        <v>1023</v>
      </c>
      <c r="J806" s="88"/>
      <c r="L806" s="140"/>
      <c r="N806" s="140"/>
    </row>
    <row r="807" spans="1:14" s="6" customFormat="1" hidden="1">
      <c r="A807" s="127"/>
      <c r="B807" s="151" t="s">
        <v>1020</v>
      </c>
      <c r="C807" s="5"/>
      <c r="D807" s="5"/>
      <c r="E807" s="5"/>
      <c r="F807" s="5"/>
      <c r="G807" s="5" t="s">
        <v>1021</v>
      </c>
      <c r="J807" s="88"/>
      <c r="L807" s="140"/>
      <c r="N807" s="140"/>
    </row>
    <row r="808" spans="1:14" s="6" customFormat="1" hidden="1">
      <c r="A808" s="127"/>
      <c r="B808" s="151" t="s">
        <v>1016</v>
      </c>
      <c r="C808" s="5">
        <v>18509865</v>
      </c>
      <c r="D808" s="5"/>
      <c r="E808" s="5"/>
      <c r="F808" s="5"/>
      <c r="G808" s="5" t="s">
        <v>1017</v>
      </c>
      <c r="J808" s="88"/>
      <c r="L808" s="140"/>
      <c r="N808" s="140"/>
    </row>
    <row r="809" spans="1:14" s="6" customFormat="1" hidden="1">
      <c r="A809" s="127"/>
      <c r="B809" s="143" t="s">
        <v>1005</v>
      </c>
      <c r="G809" s="6" t="s">
        <v>1006</v>
      </c>
      <c r="H809" s="6" t="s">
        <v>108</v>
      </c>
      <c r="J809" s="88"/>
      <c r="L809" s="140"/>
      <c r="N809" s="140"/>
    </row>
    <row r="810" spans="1:14" s="6" customFormat="1" hidden="1">
      <c r="A810" s="127"/>
      <c r="B810" s="247" t="s">
        <v>1013</v>
      </c>
      <c r="C810" s="5">
        <v>19533493</v>
      </c>
      <c r="D810" s="5"/>
      <c r="E810" s="5"/>
      <c r="F810" s="5"/>
      <c r="G810" s="5" t="s">
        <v>1014</v>
      </c>
      <c r="J810" s="88"/>
      <c r="L810" s="140"/>
      <c r="N810" s="140"/>
    </row>
    <row r="811" spans="1:14" s="6" customFormat="1" hidden="1">
      <c r="A811" s="127"/>
      <c r="B811" s="161" t="s">
        <v>1007</v>
      </c>
      <c r="C811" s="5">
        <v>99305713</v>
      </c>
      <c r="D811" s="5"/>
      <c r="E811" s="5"/>
      <c r="F811" s="5"/>
      <c r="G811" s="5" t="s">
        <v>1008</v>
      </c>
      <c r="J811" s="88"/>
      <c r="K811" s="140"/>
      <c r="L811" s="140"/>
      <c r="N811" s="140"/>
    </row>
    <row r="812" spans="1:14" s="6" customFormat="1" hidden="1">
      <c r="A812" s="127"/>
      <c r="B812" s="182" t="s">
        <v>997</v>
      </c>
      <c r="C812" s="5">
        <v>79816911</v>
      </c>
      <c r="D812" s="5"/>
      <c r="E812" s="5"/>
      <c r="F812" s="5"/>
      <c r="G812" s="5" t="s">
        <v>998</v>
      </c>
      <c r="H812" s="5"/>
      <c r="J812" s="88"/>
      <c r="K812" s="140"/>
      <c r="L812" s="140"/>
      <c r="N812" s="140"/>
    </row>
    <row r="813" spans="1:14" s="6" customFormat="1" hidden="1">
      <c r="A813" s="127"/>
      <c r="B813" s="144" t="s">
        <v>990</v>
      </c>
      <c r="C813" s="5">
        <v>21762862</v>
      </c>
      <c r="D813" s="5"/>
      <c r="E813" s="5"/>
      <c r="F813" s="5"/>
      <c r="G813" s="5" t="s">
        <v>991</v>
      </c>
      <c r="H813" s="5"/>
      <c r="J813" s="88"/>
      <c r="K813" s="140">
        <v>33000000</v>
      </c>
      <c r="L813" s="140"/>
      <c r="N813" s="140"/>
    </row>
    <row r="814" spans="1:14" s="6" customFormat="1" hidden="1">
      <c r="A814" s="127"/>
      <c r="B814" s="139" t="s">
        <v>980</v>
      </c>
      <c r="G814" s="6" t="s">
        <v>981</v>
      </c>
      <c r="J814" s="88"/>
      <c r="K814" s="140">
        <f>+K813*0.88</f>
        <v>29040000</v>
      </c>
      <c r="L814" s="140"/>
      <c r="N814" s="140"/>
    </row>
    <row r="815" spans="1:14" s="6" customFormat="1" hidden="1">
      <c r="A815" s="127"/>
      <c r="B815" s="141" t="s">
        <v>977</v>
      </c>
      <c r="G815" s="6">
        <v>880082274</v>
      </c>
      <c r="J815" s="88"/>
      <c r="K815" s="140"/>
      <c r="L815" s="140"/>
      <c r="N815" s="140"/>
    </row>
    <row r="816" spans="1:14" s="6" customFormat="1" hidden="1">
      <c r="A816" s="127"/>
      <c r="B816" s="212" t="s">
        <v>972</v>
      </c>
      <c r="J816" s="88"/>
      <c r="L816" s="140"/>
      <c r="N816" s="140"/>
    </row>
    <row r="817" spans="1:14" s="6" customFormat="1" hidden="1">
      <c r="A817" s="127"/>
      <c r="B817" s="142" t="s">
        <v>961</v>
      </c>
      <c r="C817" s="5">
        <v>84095270</v>
      </c>
      <c r="D817" s="5"/>
      <c r="E817" s="5"/>
      <c r="F817" s="5"/>
      <c r="G817" s="5" t="s">
        <v>962</v>
      </c>
      <c r="J817" s="88"/>
      <c r="L817" s="140"/>
      <c r="N817" s="140"/>
    </row>
    <row r="818" spans="1:14" s="6" customFormat="1" hidden="1">
      <c r="A818" s="127"/>
      <c r="B818" s="135" t="s">
        <v>956</v>
      </c>
      <c r="C818" s="5">
        <v>46583025</v>
      </c>
      <c r="D818" s="5"/>
      <c r="E818" s="5"/>
      <c r="F818" s="5"/>
      <c r="G818" s="5" t="s">
        <v>691</v>
      </c>
      <c r="J818" s="88"/>
      <c r="L818" s="140"/>
      <c r="N818" s="140"/>
    </row>
    <row r="819" spans="1:14" s="6" customFormat="1" hidden="1">
      <c r="A819" s="127"/>
      <c r="B819" s="315" t="s">
        <v>943</v>
      </c>
      <c r="C819" s="1">
        <v>62456713</v>
      </c>
      <c r="D819" s="1"/>
      <c r="E819" s="1"/>
      <c r="F819" s="1"/>
      <c r="G819" s="1" t="s">
        <v>944</v>
      </c>
      <c r="J819" s="88"/>
      <c r="L819" s="140"/>
      <c r="N819" s="140"/>
    </row>
    <row r="820" spans="1:14" s="6" customFormat="1" hidden="1">
      <c r="A820" s="112"/>
      <c r="B820" s="129" t="s">
        <v>927</v>
      </c>
      <c r="C820" s="5">
        <v>20790830</v>
      </c>
      <c r="D820" s="5"/>
      <c r="E820" s="5"/>
      <c r="F820" s="5"/>
      <c r="G820" s="129" t="s">
        <v>928</v>
      </c>
      <c r="J820" s="88"/>
      <c r="L820" s="140"/>
      <c r="N820" s="140"/>
    </row>
    <row r="821" spans="1:14" s="6" customFormat="1" hidden="1">
      <c r="A821" s="112"/>
      <c r="B821" s="129" t="s">
        <v>923</v>
      </c>
      <c r="C821" s="5">
        <v>96846876</v>
      </c>
      <c r="D821" s="5"/>
      <c r="E821" s="5"/>
      <c r="F821" s="5"/>
      <c r="G821" s="5" t="s">
        <v>924</v>
      </c>
      <c r="J821" s="88"/>
      <c r="L821" s="140"/>
      <c r="N821" s="140">
        <v>15000000</v>
      </c>
    </row>
    <row r="822" spans="1:14" s="6" customFormat="1" hidden="1">
      <c r="A822" s="112"/>
      <c r="B822" s="169" t="s">
        <v>920</v>
      </c>
      <c r="C822" s="5">
        <v>49339448</v>
      </c>
      <c r="D822" s="5"/>
      <c r="E822" s="5"/>
      <c r="F822" s="5"/>
      <c r="G822" s="5" t="s">
        <v>921</v>
      </c>
      <c r="J822" s="88"/>
      <c r="L822" s="140"/>
      <c r="N822" s="140"/>
    </row>
    <row r="823" spans="1:14" s="6" customFormat="1" hidden="1">
      <c r="A823" s="112"/>
      <c r="B823" s="124" t="s">
        <v>899</v>
      </c>
      <c r="C823" s="5">
        <v>95746842</v>
      </c>
      <c r="D823" s="5"/>
      <c r="E823" s="5"/>
      <c r="F823" s="5"/>
      <c r="G823" s="5" t="s">
        <v>900</v>
      </c>
      <c r="J823" s="88"/>
      <c r="L823" s="140"/>
      <c r="N823" s="140"/>
    </row>
    <row r="824" spans="1:14" s="6" customFormat="1" hidden="1">
      <c r="A824" s="112"/>
      <c r="B824" s="124" t="s">
        <v>897</v>
      </c>
      <c r="C824" s="5">
        <v>43190024</v>
      </c>
      <c r="D824" s="5"/>
      <c r="E824" s="5"/>
      <c r="F824" s="5"/>
      <c r="G824" s="5" t="s">
        <v>898</v>
      </c>
      <c r="J824" s="88"/>
      <c r="L824" s="140"/>
      <c r="N824" s="140"/>
    </row>
    <row r="825" spans="1:14" s="6" customFormat="1" hidden="1">
      <c r="A825" s="112"/>
      <c r="B825" s="124" t="s">
        <v>891</v>
      </c>
      <c r="C825" s="5">
        <v>76890244</v>
      </c>
      <c r="D825" s="5"/>
      <c r="E825" s="5"/>
      <c r="F825" s="5"/>
      <c r="G825" s="5" t="s">
        <v>892</v>
      </c>
      <c r="J825" s="88"/>
      <c r="L825" s="140"/>
      <c r="N825" s="140"/>
    </row>
    <row r="826" spans="1:14" s="6" customFormat="1" hidden="1">
      <c r="A826" s="112"/>
      <c r="B826" s="122" t="s">
        <v>876</v>
      </c>
      <c r="C826" s="5">
        <v>19137087</v>
      </c>
      <c r="D826" s="5"/>
      <c r="E826" s="5"/>
      <c r="F826" s="5"/>
      <c r="G826" s="5" t="s">
        <v>877</v>
      </c>
      <c r="J826" s="88"/>
      <c r="L826" s="140"/>
      <c r="N826" s="140"/>
    </row>
    <row r="827" spans="1:14" s="6" customFormat="1" hidden="1">
      <c r="A827" s="112"/>
      <c r="B827" s="120" t="s">
        <v>874</v>
      </c>
      <c r="C827" s="5">
        <v>90828371</v>
      </c>
      <c r="D827" s="5"/>
      <c r="E827" s="5"/>
      <c r="F827" s="5"/>
      <c r="G827" s="5"/>
      <c r="J827" s="88"/>
      <c r="L827" s="140"/>
      <c r="N827" s="140"/>
    </row>
    <row r="828" spans="1:14" s="6" customFormat="1" hidden="1">
      <c r="A828" s="112"/>
      <c r="B828" s="124" t="s">
        <v>869</v>
      </c>
      <c r="C828" s="5">
        <v>21287041</v>
      </c>
      <c r="D828" s="5"/>
      <c r="E828" s="5"/>
      <c r="F828" s="5"/>
      <c r="G828" s="5" t="s">
        <v>870</v>
      </c>
      <c r="J828" s="88"/>
      <c r="K828" s="6">
        <v>337937.1</v>
      </c>
      <c r="L828" s="140"/>
      <c r="N828" s="140"/>
    </row>
    <row r="829" spans="1:14" s="6" customFormat="1" hidden="1">
      <c r="A829" s="112"/>
      <c r="B829" s="120" t="s">
        <v>867</v>
      </c>
      <c r="C829" s="5">
        <v>56743597</v>
      </c>
      <c r="D829" s="5"/>
      <c r="E829" s="5"/>
      <c r="F829" s="5"/>
      <c r="G829" s="5" t="s">
        <v>868</v>
      </c>
      <c r="J829" s="88"/>
      <c r="K829" s="6">
        <v>312593.27</v>
      </c>
      <c r="L829" s="140"/>
      <c r="N829" s="140"/>
    </row>
    <row r="830" spans="1:14" s="6" customFormat="1" hidden="1">
      <c r="A830" s="112"/>
      <c r="B830" s="138" t="s">
        <v>864</v>
      </c>
      <c r="C830" s="5">
        <v>81884453</v>
      </c>
      <c r="D830" s="5"/>
      <c r="E830" s="5"/>
      <c r="F830" s="5"/>
      <c r="G830" s="5" t="s">
        <v>865</v>
      </c>
      <c r="J830" s="88"/>
      <c r="K830" s="6">
        <f>+K828-K829</f>
        <v>25343.829999999958</v>
      </c>
      <c r="L830" s="140"/>
      <c r="N830" s="140"/>
    </row>
    <row r="831" spans="1:14" s="6" customFormat="1" hidden="1">
      <c r="A831" s="112"/>
      <c r="B831" s="120" t="s">
        <v>862</v>
      </c>
      <c r="C831" s="5">
        <v>90450584</v>
      </c>
      <c r="D831" s="5"/>
      <c r="E831" s="5"/>
      <c r="F831" s="5"/>
      <c r="G831" s="5" t="s">
        <v>863</v>
      </c>
      <c r="J831" s="88"/>
      <c r="L831" s="140"/>
      <c r="N831" s="140"/>
    </row>
    <row r="832" spans="1:14" s="6" customFormat="1" hidden="1">
      <c r="A832" s="112"/>
      <c r="B832" s="129" t="s">
        <v>860</v>
      </c>
      <c r="C832" s="5">
        <v>76211658</v>
      </c>
      <c r="D832" s="5"/>
      <c r="E832" s="5"/>
      <c r="F832" s="5"/>
      <c r="G832" s="5" t="s">
        <v>861</v>
      </c>
      <c r="J832" s="88"/>
      <c r="L832" s="140"/>
      <c r="N832" s="140"/>
    </row>
    <row r="833" spans="1:14" s="6" customFormat="1" hidden="1">
      <c r="A833" s="112"/>
      <c r="B833" s="118" t="s">
        <v>852</v>
      </c>
      <c r="C833" s="5">
        <v>96941585</v>
      </c>
      <c r="D833" s="5"/>
      <c r="E833" s="5"/>
      <c r="F833" s="5"/>
      <c r="G833" s="5" t="s">
        <v>853</v>
      </c>
      <c r="J833" s="88"/>
      <c r="L833" s="140"/>
      <c r="N833" s="140"/>
    </row>
    <row r="834" spans="1:14" s="6" customFormat="1" hidden="1">
      <c r="A834" s="107"/>
      <c r="B834" s="150" t="s">
        <v>846</v>
      </c>
      <c r="C834" s="5">
        <v>95723285</v>
      </c>
      <c r="D834" s="5"/>
      <c r="E834" s="5"/>
      <c r="F834" s="5"/>
      <c r="G834" s="5" t="s">
        <v>847</v>
      </c>
      <c r="H834" s="1"/>
      <c r="J834" s="88"/>
      <c r="L834" s="140"/>
      <c r="N834" s="140"/>
    </row>
    <row r="835" spans="1:14" s="6" customFormat="1" hidden="1">
      <c r="A835" s="107"/>
      <c r="B835" s="115" t="s">
        <v>844</v>
      </c>
      <c r="C835" s="5">
        <v>16738658</v>
      </c>
      <c r="D835" s="5"/>
      <c r="E835" s="5"/>
      <c r="F835" s="5"/>
      <c r="G835" s="5" t="s">
        <v>845</v>
      </c>
      <c r="H835" s="5"/>
      <c r="J835" s="88"/>
      <c r="L835" s="140"/>
      <c r="N835" s="140"/>
    </row>
    <row r="836" spans="1:14" s="6" customFormat="1" hidden="1">
      <c r="A836" s="107"/>
      <c r="B836" s="128" t="s">
        <v>834</v>
      </c>
      <c r="C836" s="53">
        <v>88869990</v>
      </c>
      <c r="D836" s="53"/>
      <c r="E836" s="53"/>
      <c r="F836" s="53"/>
      <c r="G836" s="53" t="s">
        <v>835</v>
      </c>
      <c r="H836" s="23"/>
      <c r="J836" s="88"/>
      <c r="L836" s="140"/>
      <c r="N836" s="140"/>
    </row>
    <row r="837" spans="1:14" s="6" customFormat="1" hidden="1">
      <c r="A837" s="107"/>
      <c r="B837" s="113" t="s">
        <v>832</v>
      </c>
      <c r="C837" s="5">
        <v>12421492</v>
      </c>
      <c r="D837" s="5"/>
      <c r="E837" s="5"/>
      <c r="F837" s="5"/>
      <c r="G837" s="5" t="s">
        <v>833</v>
      </c>
      <c r="J837" s="88"/>
      <c r="L837" s="140"/>
      <c r="N837" s="140"/>
    </row>
    <row r="838" spans="1:14" s="6" customFormat="1" hidden="1">
      <c r="A838" s="107"/>
      <c r="B838" s="113" t="s">
        <v>828</v>
      </c>
      <c r="C838" s="5">
        <v>73271837</v>
      </c>
      <c r="D838" s="5"/>
      <c r="E838" s="5"/>
      <c r="F838" s="5"/>
      <c r="G838" s="5" t="s">
        <v>829</v>
      </c>
      <c r="J838" s="88"/>
      <c r="L838" s="140"/>
      <c r="N838" s="140"/>
    </row>
    <row r="839" spans="1:14" s="6" customFormat="1" hidden="1">
      <c r="A839" s="88"/>
      <c r="B839" s="113" t="s">
        <v>824</v>
      </c>
      <c r="C839" s="5">
        <v>21886732</v>
      </c>
      <c r="D839" s="5"/>
      <c r="E839" s="5"/>
      <c r="F839" s="5"/>
      <c r="G839" s="5" t="s">
        <v>825</v>
      </c>
      <c r="J839" s="88"/>
      <c r="L839" s="140"/>
      <c r="N839" s="140"/>
    </row>
    <row r="840" spans="1:14" s="6" customFormat="1" hidden="1">
      <c r="A840" s="88"/>
      <c r="B840" s="133" t="s">
        <v>821</v>
      </c>
      <c r="C840" s="2">
        <v>11520559</v>
      </c>
      <c r="D840" s="2"/>
      <c r="E840" s="2"/>
      <c r="F840" s="2"/>
      <c r="G840" s="2" t="s">
        <v>822</v>
      </c>
      <c r="J840" s="88"/>
      <c r="L840" s="140"/>
      <c r="N840" s="140"/>
    </row>
    <row r="841" spans="1:14" s="6" customFormat="1" hidden="1">
      <c r="A841" s="88"/>
      <c r="B841" s="108" t="s">
        <v>819</v>
      </c>
      <c r="C841" s="5">
        <v>25951855</v>
      </c>
      <c r="D841" s="5"/>
      <c r="E841" s="5"/>
      <c r="F841" s="5"/>
      <c r="G841" s="5" t="s">
        <v>820</v>
      </c>
      <c r="J841" s="88"/>
      <c r="L841" s="140"/>
      <c r="N841" s="140"/>
    </row>
    <row r="842" spans="1:14" s="6" customFormat="1" hidden="1">
      <c r="A842" s="88"/>
      <c r="B842" s="115" t="s">
        <v>813</v>
      </c>
      <c r="C842" s="5">
        <v>35286600</v>
      </c>
      <c r="D842" s="5"/>
      <c r="E842" s="5"/>
      <c r="F842" s="5"/>
      <c r="G842" s="5" t="s">
        <v>814</v>
      </c>
      <c r="J842" s="88"/>
      <c r="L842" s="140"/>
      <c r="N842" s="140"/>
    </row>
    <row r="843" spans="1:14" s="6" customFormat="1" hidden="1">
      <c r="A843" s="88"/>
      <c r="B843" s="108" t="s">
        <v>806</v>
      </c>
      <c r="C843" s="5">
        <v>85941729</v>
      </c>
      <c r="D843" s="5"/>
      <c r="E843" s="5"/>
      <c r="F843" s="5"/>
      <c r="G843" s="103" t="s">
        <v>807</v>
      </c>
      <c r="J843" s="88"/>
      <c r="L843" s="140"/>
      <c r="N843" s="140"/>
    </row>
    <row r="844" spans="1:14" s="6" customFormat="1" hidden="1">
      <c r="A844" s="88"/>
      <c r="B844" s="103" t="s">
        <v>804</v>
      </c>
      <c r="C844" s="5">
        <v>24970683</v>
      </c>
      <c r="D844" s="5"/>
      <c r="E844" s="52"/>
      <c r="F844" s="5"/>
      <c r="G844" s="5" t="s">
        <v>805</v>
      </c>
      <c r="J844" s="88"/>
      <c r="L844" s="140"/>
      <c r="N844" s="140"/>
    </row>
    <row r="845" spans="1:14" s="6" customFormat="1" hidden="1">
      <c r="A845" s="88"/>
      <c r="B845" s="108" t="s">
        <v>797</v>
      </c>
      <c r="C845" s="5">
        <v>29276575</v>
      </c>
      <c r="D845" s="5"/>
      <c r="E845" s="5"/>
      <c r="F845" s="5"/>
      <c r="G845" s="5" t="s">
        <v>798</v>
      </c>
      <c r="J845" s="88"/>
      <c r="L845" s="140"/>
      <c r="N845" s="140"/>
    </row>
    <row r="846" spans="1:14" s="6" customFormat="1" hidden="1">
      <c r="A846" s="88"/>
      <c r="B846" s="108" t="s">
        <v>795</v>
      </c>
      <c r="C846" s="5">
        <v>73119289</v>
      </c>
      <c r="D846" s="5"/>
      <c r="E846" s="5"/>
      <c r="F846" s="5"/>
      <c r="G846" s="5" t="s">
        <v>796</v>
      </c>
      <c r="J846" s="88"/>
      <c r="L846" s="140"/>
      <c r="N846" s="140"/>
    </row>
    <row r="847" spans="1:14" s="6" customFormat="1">
      <c r="A847" s="88"/>
      <c r="B847" s="103" t="s">
        <v>793</v>
      </c>
      <c r="C847" s="5">
        <v>86687897</v>
      </c>
      <c r="D847" s="5"/>
      <c r="E847" s="5"/>
      <c r="F847" s="5"/>
      <c r="G847" s="5" t="s">
        <v>794</v>
      </c>
      <c r="J847" s="88"/>
      <c r="L847" s="140"/>
      <c r="N847" s="140"/>
    </row>
    <row r="848" spans="1:14" s="6" customFormat="1">
      <c r="A848" s="446" t="s">
        <v>2902</v>
      </c>
      <c r="B848" s="454" t="s">
        <v>791</v>
      </c>
      <c r="C848" s="2">
        <v>78261113</v>
      </c>
      <c r="D848" s="2"/>
      <c r="E848" s="2"/>
      <c r="F848" s="2"/>
      <c r="G848" s="2" t="s">
        <v>792</v>
      </c>
      <c r="H848" s="2"/>
      <c r="I848" s="2"/>
      <c r="J848" s="63"/>
      <c r="L848" s="140"/>
      <c r="N848" s="140"/>
    </row>
    <row r="849" spans="1:7">
      <c r="A849" t="s">
        <v>2902</v>
      </c>
      <c r="B849" s="448" t="s">
        <v>1278</v>
      </c>
      <c r="G849" s="5" t="s">
        <v>1273</v>
      </c>
    </row>
    <row r="850" spans="1:7"/>
    <row r="851" spans="1:7"/>
    <row r="852" spans="1:7"/>
    <row r="853" spans="1:7"/>
    <row r="854" spans="1:7"/>
    <row r="855" spans="1:7"/>
    <row r="856" spans="1:7"/>
    <row r="857" spans="1:7"/>
    <row r="858" spans="1:7"/>
    <row r="859" spans="1:7"/>
    <row r="860" spans="1:7"/>
    <row r="861" spans="1:7"/>
    <row r="862" spans="1:7"/>
    <row r="863" spans="1:7"/>
    <row r="864" spans="1:7"/>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sheetData>
  <pageMargins left="0.70866141732283472" right="0.70866141732283472" top="0.74803149606299213" bottom="0.74803149606299213" header="0.31496062992125984" footer="0.31496062992125984"/>
  <pageSetup paperSize="9"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2:P123"/>
  <sheetViews>
    <sheetView topLeftCell="A83" workbookViewId="0">
      <selection activeCell="B93" sqref="B93"/>
    </sheetView>
  </sheetViews>
  <sheetFormatPr defaultRowHeight="14.4"/>
  <cols>
    <col min="2" max="2" width="32" bestFit="1" customWidth="1"/>
    <col min="14" max="14" width="16.21875" style="3" bestFit="1" customWidth="1"/>
    <col min="15" max="15" width="23.21875" style="3" customWidth="1"/>
  </cols>
  <sheetData>
    <row r="2" spans="1:16">
      <c r="A2" t="s">
        <v>570</v>
      </c>
      <c r="B2" s="62" t="s">
        <v>509</v>
      </c>
      <c r="C2" s="59"/>
      <c r="D2" s="59"/>
      <c r="E2" s="62" t="s">
        <v>439</v>
      </c>
      <c r="F2" s="62">
        <v>30</v>
      </c>
      <c r="G2" s="59"/>
      <c r="H2" t="s">
        <v>560</v>
      </c>
      <c r="I2">
        <v>2.5</v>
      </c>
    </row>
    <row r="3" spans="1:16">
      <c r="A3" s="89">
        <v>1</v>
      </c>
      <c r="B3" s="90" t="s">
        <v>547</v>
      </c>
      <c r="C3" s="89">
        <v>88888888</v>
      </c>
      <c r="D3" s="89"/>
      <c r="E3" s="89"/>
      <c r="F3" s="89">
        <v>31</v>
      </c>
      <c r="G3" s="89"/>
      <c r="H3" t="s">
        <v>560</v>
      </c>
    </row>
    <row r="4" spans="1:16">
      <c r="A4" s="89">
        <v>2</v>
      </c>
      <c r="B4" s="91" t="s">
        <v>559</v>
      </c>
      <c r="C4" s="89"/>
      <c r="D4" s="89"/>
      <c r="E4" s="89"/>
      <c r="F4" s="89">
        <v>26</v>
      </c>
      <c r="G4" s="89"/>
      <c r="H4" t="s">
        <v>560</v>
      </c>
    </row>
    <row r="5" spans="1:16">
      <c r="A5" s="59">
        <v>3</v>
      </c>
      <c r="B5" s="59" t="s">
        <v>561</v>
      </c>
      <c r="C5" s="59"/>
      <c r="D5" s="59"/>
      <c r="E5" s="59"/>
      <c r="F5" s="59">
        <v>33</v>
      </c>
      <c r="G5" s="59"/>
      <c r="H5" t="s">
        <v>562</v>
      </c>
    </row>
    <row r="6" spans="1:16">
      <c r="A6" s="59">
        <v>4</v>
      </c>
      <c r="B6" s="59" t="s">
        <v>563</v>
      </c>
      <c r="C6" s="59"/>
      <c r="D6" s="59"/>
      <c r="E6" s="59"/>
      <c r="F6" s="59">
        <v>33</v>
      </c>
      <c r="G6" s="59"/>
      <c r="H6" t="s">
        <v>562</v>
      </c>
    </row>
    <row r="7" spans="1:16">
      <c r="A7" s="59">
        <v>5</v>
      </c>
      <c r="B7" s="64" t="s">
        <v>564</v>
      </c>
      <c r="C7" s="59"/>
      <c r="D7" s="59"/>
      <c r="E7" s="59"/>
      <c r="F7" s="59">
        <v>33</v>
      </c>
      <c r="G7" s="59"/>
      <c r="H7" t="s">
        <v>562</v>
      </c>
    </row>
    <row r="8" spans="1:16">
      <c r="A8" s="59">
        <v>6</v>
      </c>
      <c r="B8" s="64" t="s">
        <v>565</v>
      </c>
      <c r="C8" s="59"/>
      <c r="D8" s="75"/>
      <c r="E8" s="59"/>
      <c r="F8" s="59">
        <v>30</v>
      </c>
      <c r="G8" s="59"/>
      <c r="H8" t="s">
        <v>562</v>
      </c>
    </row>
    <row r="9" spans="1:16">
      <c r="A9" s="59">
        <v>7</v>
      </c>
      <c r="B9" s="61" t="s">
        <v>566</v>
      </c>
      <c r="C9" s="59"/>
      <c r="D9" s="59"/>
      <c r="E9" s="59"/>
      <c r="F9" s="59">
        <v>30</v>
      </c>
      <c r="G9" s="59"/>
      <c r="H9" t="s">
        <v>562</v>
      </c>
      <c r="J9" t="s">
        <v>582</v>
      </c>
      <c r="O9" s="3" t="s">
        <v>665</v>
      </c>
      <c r="P9" t="s">
        <v>952</v>
      </c>
    </row>
    <row r="10" spans="1:16">
      <c r="A10" s="59">
        <v>8</v>
      </c>
      <c r="B10" s="59" t="s">
        <v>607</v>
      </c>
      <c r="C10" s="59"/>
      <c r="D10" s="59"/>
      <c r="E10" s="59"/>
      <c r="F10" s="59">
        <v>31</v>
      </c>
      <c r="G10" s="59"/>
      <c r="H10" t="s">
        <v>560</v>
      </c>
      <c r="O10" s="3" t="s">
        <v>951</v>
      </c>
    </row>
    <row r="11" spans="1:16">
      <c r="A11" s="59">
        <v>9</v>
      </c>
      <c r="B11" s="61" t="s">
        <v>567</v>
      </c>
      <c r="C11" s="59"/>
      <c r="D11" s="59"/>
      <c r="E11" s="59"/>
      <c r="F11" s="59">
        <v>30</v>
      </c>
      <c r="G11" s="59"/>
      <c r="H11" t="s">
        <v>562</v>
      </c>
      <c r="O11" s="3" t="s">
        <v>950</v>
      </c>
    </row>
    <row r="12" spans="1:16">
      <c r="A12" s="59">
        <v>10</v>
      </c>
      <c r="B12" s="72" t="s">
        <v>568</v>
      </c>
      <c r="C12" s="59"/>
      <c r="D12" s="59"/>
      <c r="E12" s="59"/>
      <c r="F12" s="59">
        <v>25</v>
      </c>
      <c r="G12" s="59"/>
      <c r="H12" t="s">
        <v>560</v>
      </c>
      <c r="O12" s="3" t="s">
        <v>949</v>
      </c>
    </row>
    <row r="13" spans="1:16">
      <c r="A13" s="59">
        <v>11</v>
      </c>
      <c r="B13" s="59" t="s">
        <v>569</v>
      </c>
      <c r="C13" s="59"/>
      <c r="D13" s="59"/>
      <c r="E13" s="59"/>
      <c r="F13" s="59">
        <v>30</v>
      </c>
      <c r="G13" s="59"/>
      <c r="H13" t="s">
        <v>562</v>
      </c>
      <c r="O13" s="196" t="s">
        <v>1350</v>
      </c>
    </row>
    <row r="14" spans="1:16">
      <c r="A14" s="59">
        <v>12</v>
      </c>
      <c r="B14" s="64" t="s">
        <v>571</v>
      </c>
      <c r="C14" s="59"/>
      <c r="D14" s="59"/>
      <c r="E14" s="59"/>
      <c r="F14" s="59">
        <v>30</v>
      </c>
      <c r="G14" s="59"/>
      <c r="H14" t="s">
        <v>562</v>
      </c>
      <c r="O14" s="3" t="s">
        <v>1850</v>
      </c>
    </row>
    <row r="15" spans="1:16">
      <c r="A15" s="59">
        <v>13</v>
      </c>
      <c r="B15" s="61" t="s">
        <v>572</v>
      </c>
      <c r="C15" s="59"/>
      <c r="D15" s="59"/>
      <c r="E15" s="59"/>
      <c r="F15" s="59">
        <v>31</v>
      </c>
      <c r="G15" s="59"/>
      <c r="H15" t="s">
        <v>560</v>
      </c>
      <c r="J15" t="s">
        <v>108</v>
      </c>
    </row>
    <row r="16" spans="1:16">
      <c r="A16" s="59">
        <v>14</v>
      </c>
      <c r="B16" s="65" t="s">
        <v>573</v>
      </c>
      <c r="C16" s="59"/>
      <c r="D16" s="59"/>
      <c r="E16" s="59"/>
      <c r="F16" s="59">
        <v>33</v>
      </c>
      <c r="G16" s="59"/>
      <c r="H16" t="s">
        <v>562</v>
      </c>
    </row>
    <row r="17" spans="1:10">
      <c r="A17" s="59">
        <v>15</v>
      </c>
      <c r="B17" s="64" t="s">
        <v>577</v>
      </c>
      <c r="C17" s="59"/>
      <c r="D17" s="59"/>
      <c r="E17" s="59"/>
      <c r="F17" s="59">
        <v>30</v>
      </c>
      <c r="G17" s="59"/>
      <c r="H17" t="s">
        <v>562</v>
      </c>
    </row>
    <row r="18" spans="1:10">
      <c r="A18" s="59">
        <v>16</v>
      </c>
      <c r="B18" s="61" t="s">
        <v>596</v>
      </c>
      <c r="C18" s="59"/>
      <c r="D18" s="59"/>
      <c r="E18" s="59"/>
      <c r="F18" s="59">
        <v>30</v>
      </c>
      <c r="G18" s="59"/>
      <c r="H18" s="55" t="s">
        <v>562</v>
      </c>
      <c r="J18" t="s">
        <v>581</v>
      </c>
    </row>
    <row r="19" spans="1:10">
      <c r="A19" s="59">
        <v>17</v>
      </c>
      <c r="B19" s="60" t="s">
        <v>578</v>
      </c>
      <c r="C19" s="59"/>
      <c r="D19" s="59"/>
      <c r="E19" s="59"/>
      <c r="F19" s="59">
        <v>33</v>
      </c>
      <c r="G19" s="59"/>
      <c r="H19" t="s">
        <v>562</v>
      </c>
      <c r="J19" t="s">
        <v>581</v>
      </c>
    </row>
    <row r="20" spans="1:10">
      <c r="A20" s="59">
        <v>18</v>
      </c>
      <c r="B20" s="59" t="s">
        <v>579</v>
      </c>
      <c r="C20" s="59"/>
      <c r="D20" s="59"/>
      <c r="E20" s="59"/>
      <c r="F20" s="59">
        <v>33</v>
      </c>
      <c r="G20" s="59"/>
      <c r="H20" t="s">
        <v>562</v>
      </c>
    </row>
    <row r="21" spans="1:10">
      <c r="A21" s="59">
        <v>19</v>
      </c>
      <c r="B21" s="61" t="s">
        <v>580</v>
      </c>
      <c r="C21" s="59"/>
      <c r="D21" s="59"/>
      <c r="E21" s="59"/>
      <c r="F21" s="59">
        <v>30</v>
      </c>
      <c r="G21" s="59"/>
      <c r="H21" t="s">
        <v>562</v>
      </c>
    </row>
    <row r="22" spans="1:10">
      <c r="A22" s="59">
        <v>20</v>
      </c>
      <c r="B22" s="59" t="s">
        <v>584</v>
      </c>
      <c r="C22" s="59"/>
      <c r="D22" s="59"/>
      <c r="E22" s="59"/>
      <c r="F22" s="59">
        <v>31</v>
      </c>
      <c r="G22" s="59"/>
      <c r="H22" t="s">
        <v>560</v>
      </c>
    </row>
    <row r="23" spans="1:10">
      <c r="A23" s="59">
        <v>21</v>
      </c>
      <c r="B23" s="61" t="s">
        <v>637</v>
      </c>
      <c r="C23" s="59"/>
      <c r="D23" s="59"/>
      <c r="E23" s="59"/>
      <c r="F23" s="59">
        <v>25</v>
      </c>
      <c r="G23" s="59"/>
    </row>
    <row r="24" spans="1:10">
      <c r="A24" s="59">
        <v>22</v>
      </c>
      <c r="B24" s="59" t="s">
        <v>603</v>
      </c>
      <c r="C24" s="59"/>
      <c r="D24" s="59"/>
      <c r="E24" s="59"/>
      <c r="F24" s="59">
        <v>31</v>
      </c>
      <c r="G24" s="59"/>
    </row>
    <row r="25" spans="1:10">
      <c r="A25" s="59">
        <v>23</v>
      </c>
      <c r="B25" s="59" t="s">
        <v>604</v>
      </c>
      <c r="C25" s="59"/>
      <c r="D25" s="59"/>
      <c r="E25" s="59"/>
      <c r="F25" s="59">
        <v>31</v>
      </c>
      <c r="G25" s="59"/>
    </row>
    <row r="26" spans="1:10">
      <c r="A26" s="59">
        <v>24</v>
      </c>
      <c r="B26" s="59" t="s">
        <v>605</v>
      </c>
      <c r="C26" s="59"/>
      <c r="D26" s="59"/>
      <c r="E26" s="59"/>
      <c r="F26" s="59">
        <v>33</v>
      </c>
      <c r="G26" s="59"/>
    </row>
    <row r="27" spans="1:10">
      <c r="A27" s="59">
        <v>25</v>
      </c>
      <c r="B27" s="59" t="s">
        <v>606</v>
      </c>
      <c r="C27" s="59"/>
      <c r="D27" s="59"/>
      <c r="E27" s="59"/>
      <c r="F27" s="59">
        <v>33</v>
      </c>
      <c r="G27" s="59"/>
    </row>
    <row r="28" spans="1:10">
      <c r="A28" s="84">
        <v>26</v>
      </c>
      <c r="B28" s="84" t="s">
        <v>681</v>
      </c>
      <c r="C28" s="84"/>
      <c r="D28" s="84"/>
      <c r="E28" s="84"/>
      <c r="F28" s="84">
        <v>29</v>
      </c>
      <c r="G28" s="84"/>
    </row>
    <row r="29" spans="1:10">
      <c r="A29" s="59">
        <v>27</v>
      </c>
      <c r="B29" s="59" t="s">
        <v>617</v>
      </c>
      <c r="C29" s="59"/>
      <c r="D29" s="59"/>
      <c r="E29" s="59"/>
      <c r="F29" s="59">
        <v>31</v>
      </c>
      <c r="G29" s="59"/>
    </row>
    <row r="30" spans="1:10" ht="18.600000000000001" customHeight="1">
      <c r="A30" s="59">
        <v>28</v>
      </c>
      <c r="B30" s="66" t="s">
        <v>630</v>
      </c>
      <c r="C30" s="59"/>
      <c r="D30" s="59"/>
      <c r="E30" s="59"/>
      <c r="F30" s="59">
        <v>25</v>
      </c>
      <c r="G30" s="59"/>
    </row>
    <row r="31" spans="1:10">
      <c r="A31" s="59">
        <v>29</v>
      </c>
      <c r="B31" s="59" t="s">
        <v>631</v>
      </c>
      <c r="C31" s="59"/>
      <c r="D31" s="59"/>
      <c r="E31" s="59"/>
      <c r="F31" s="59">
        <v>29</v>
      </c>
      <c r="G31" s="59"/>
    </row>
    <row r="32" spans="1:10">
      <c r="A32" s="59">
        <v>30</v>
      </c>
      <c r="B32" s="59" t="s">
        <v>638</v>
      </c>
      <c r="C32" s="59"/>
      <c r="D32" s="59"/>
      <c r="E32" s="59"/>
      <c r="F32" s="59">
        <v>29</v>
      </c>
      <c r="G32" s="59"/>
    </row>
    <row r="33" spans="1:9">
      <c r="A33" s="59">
        <v>31</v>
      </c>
      <c r="B33" s="59" t="s">
        <v>680</v>
      </c>
      <c r="C33" s="59" t="s">
        <v>583</v>
      </c>
      <c r="D33" s="59"/>
      <c r="E33" s="59"/>
      <c r="F33" s="59">
        <v>25</v>
      </c>
      <c r="G33" s="59"/>
    </row>
    <row r="34" spans="1:9">
      <c r="A34" s="59">
        <v>32</v>
      </c>
      <c r="B34" s="59" t="s">
        <v>662</v>
      </c>
      <c r="C34" s="59"/>
      <c r="D34" s="59"/>
      <c r="E34" s="59"/>
      <c r="F34" s="59">
        <v>33</v>
      </c>
      <c r="G34" s="59"/>
      <c r="H34">
        <v>31</v>
      </c>
    </row>
    <row r="35" spans="1:9">
      <c r="A35" s="59">
        <v>33</v>
      </c>
      <c r="B35" s="59" t="s">
        <v>661</v>
      </c>
      <c r="C35" s="59"/>
      <c r="D35" s="59"/>
      <c r="E35" s="59"/>
      <c r="F35" s="59"/>
      <c r="G35" s="59">
        <v>2</v>
      </c>
      <c r="H35" s="59">
        <v>31</v>
      </c>
    </row>
    <row r="36" spans="1:9">
      <c r="A36" s="59">
        <v>34</v>
      </c>
      <c r="B36" s="59" t="s">
        <v>660</v>
      </c>
      <c r="C36" s="59"/>
      <c r="D36" s="59"/>
      <c r="E36" s="59"/>
      <c r="F36" s="59">
        <v>29</v>
      </c>
      <c r="G36" s="59"/>
    </row>
    <row r="37" spans="1:9">
      <c r="A37" s="59">
        <v>35</v>
      </c>
      <c r="B37" s="59" t="s">
        <v>682</v>
      </c>
      <c r="C37" s="59"/>
      <c r="D37" s="59"/>
      <c r="E37" s="59"/>
      <c r="F37" s="59"/>
      <c r="G37" s="59"/>
    </row>
    <row r="38" spans="1:9">
      <c r="A38" s="59">
        <v>36</v>
      </c>
      <c r="B38" s="59" t="s">
        <v>683</v>
      </c>
      <c r="C38" s="59"/>
      <c r="D38" s="59"/>
      <c r="E38" s="59"/>
      <c r="F38" s="59">
        <v>29</v>
      </c>
      <c r="G38" s="59"/>
    </row>
    <row r="39" spans="1:9">
      <c r="A39" s="59">
        <v>37</v>
      </c>
      <c r="B39" s="59" t="s">
        <v>684</v>
      </c>
      <c r="C39" s="59"/>
      <c r="D39" s="59"/>
      <c r="E39" s="59"/>
      <c r="F39" s="59">
        <v>29</v>
      </c>
      <c r="G39" s="59"/>
    </row>
    <row r="40" spans="1:9">
      <c r="A40" s="2">
        <v>38</v>
      </c>
      <c r="B40" s="2" t="s">
        <v>687</v>
      </c>
      <c r="C40" s="2"/>
      <c r="D40" s="2"/>
      <c r="E40" s="2"/>
      <c r="F40" s="2"/>
      <c r="G40" s="2">
        <v>0</v>
      </c>
      <c r="H40" s="2">
        <v>25</v>
      </c>
      <c r="I40" s="2" t="s">
        <v>698</v>
      </c>
    </row>
    <row r="41" spans="1:9">
      <c r="A41" s="59">
        <v>39</v>
      </c>
      <c r="B41" s="59" t="s">
        <v>686</v>
      </c>
      <c r="C41" s="59"/>
      <c r="D41" s="59"/>
      <c r="E41" s="59"/>
      <c r="F41" s="59"/>
      <c r="G41" s="59"/>
    </row>
    <row r="42" spans="1:9">
      <c r="A42" s="59">
        <v>40</v>
      </c>
      <c r="B42" s="59" t="s">
        <v>688</v>
      </c>
      <c r="C42" s="59"/>
      <c r="D42" s="59"/>
      <c r="E42" s="59"/>
      <c r="F42" s="59"/>
      <c r="G42" s="59"/>
    </row>
    <row r="43" spans="1:9">
      <c r="A43" s="75">
        <v>41</v>
      </c>
      <c r="B43" s="75" t="s">
        <v>685</v>
      </c>
      <c r="C43" s="75"/>
      <c r="D43" s="75"/>
      <c r="E43" s="75"/>
      <c r="F43" s="75">
        <v>25</v>
      </c>
      <c r="G43" s="75"/>
    </row>
    <row r="44" spans="1:9">
      <c r="A44" s="59">
        <v>42</v>
      </c>
      <c r="B44" s="59" t="s">
        <v>699</v>
      </c>
      <c r="C44" s="59"/>
      <c r="D44" s="59"/>
      <c r="E44" s="59"/>
      <c r="F44" s="59"/>
      <c r="G44" s="59"/>
    </row>
    <row r="45" spans="1:9">
      <c r="A45" s="75">
        <v>43</v>
      </c>
      <c r="B45" s="94" t="s">
        <v>689</v>
      </c>
      <c r="C45" s="75"/>
      <c r="D45" s="75"/>
      <c r="E45" s="75"/>
      <c r="F45" s="75">
        <v>29</v>
      </c>
      <c r="G45" s="75"/>
    </row>
    <row r="46" spans="1:9">
      <c r="A46" s="75">
        <v>44</v>
      </c>
      <c r="B46" s="75" t="s">
        <v>717</v>
      </c>
      <c r="C46" s="75"/>
      <c r="D46" s="75"/>
      <c r="E46" s="75"/>
      <c r="F46" s="75">
        <v>29</v>
      </c>
      <c r="G46" s="75"/>
      <c r="H46" s="77"/>
    </row>
    <row r="47" spans="1:9">
      <c r="A47" s="75">
        <v>45</v>
      </c>
      <c r="B47" s="92" t="s">
        <v>690</v>
      </c>
      <c r="C47" s="75"/>
      <c r="D47" s="75"/>
      <c r="E47" s="75"/>
      <c r="F47" s="75">
        <v>25</v>
      </c>
      <c r="G47" s="75"/>
      <c r="H47" s="77"/>
    </row>
    <row r="48" spans="1:9">
      <c r="A48" s="75">
        <v>46</v>
      </c>
      <c r="B48" s="75" t="s">
        <v>696</v>
      </c>
      <c r="C48" s="75"/>
      <c r="D48" s="75"/>
      <c r="E48" s="75"/>
      <c r="F48" s="75"/>
      <c r="G48" s="75"/>
    </row>
    <row r="49" spans="1:12">
      <c r="A49" s="75">
        <v>47</v>
      </c>
      <c r="B49" s="75" t="s">
        <v>700</v>
      </c>
      <c r="C49" s="75"/>
      <c r="D49" s="75"/>
      <c r="E49" s="75"/>
      <c r="F49" s="75">
        <v>33</v>
      </c>
      <c r="G49" s="75"/>
    </row>
    <row r="50" spans="1:12">
      <c r="A50" s="75">
        <v>48</v>
      </c>
      <c r="B50" s="109" t="s">
        <v>780</v>
      </c>
      <c r="C50" s="75"/>
      <c r="D50" s="75"/>
      <c r="E50" s="75"/>
      <c r="F50" s="75">
        <v>33</v>
      </c>
      <c r="G50" s="75"/>
    </row>
    <row r="51" spans="1:12">
      <c r="A51" s="75">
        <v>49</v>
      </c>
      <c r="B51" s="99" t="s">
        <v>749</v>
      </c>
      <c r="C51" s="75"/>
      <c r="D51" s="75"/>
      <c r="E51" s="75"/>
      <c r="F51" s="75">
        <v>33</v>
      </c>
      <c r="G51" s="75"/>
    </row>
    <row r="52" spans="1:12">
      <c r="A52" s="6">
        <v>50</v>
      </c>
      <c r="B52" s="109" t="s">
        <v>801</v>
      </c>
      <c r="C52" s="75"/>
      <c r="D52" s="75"/>
      <c r="E52" s="75"/>
      <c r="F52" s="75">
        <v>33</v>
      </c>
      <c r="G52" s="75"/>
    </row>
    <row r="53" spans="1:12">
      <c r="A53" s="75">
        <v>51</v>
      </c>
      <c r="B53" s="93" t="s">
        <v>750</v>
      </c>
      <c r="C53" s="75"/>
      <c r="D53" s="75"/>
      <c r="E53" s="75"/>
      <c r="F53" s="75">
        <v>29</v>
      </c>
      <c r="G53" s="75"/>
      <c r="H53" s="58"/>
    </row>
    <row r="54" spans="1:12">
      <c r="A54" s="59">
        <v>52</v>
      </c>
      <c r="B54" s="116" t="s">
        <v>782</v>
      </c>
      <c r="C54" s="59"/>
      <c r="D54" s="59"/>
      <c r="E54" s="59"/>
      <c r="F54" s="59">
        <v>29</v>
      </c>
      <c r="G54" s="59"/>
      <c r="H54" s="58"/>
    </row>
    <row r="55" spans="1:12">
      <c r="A55" s="59">
        <v>53</v>
      </c>
      <c r="B55" s="79" t="s">
        <v>718</v>
      </c>
      <c r="C55" s="59"/>
      <c r="D55" s="59"/>
      <c r="E55" s="59"/>
      <c r="F55" s="59">
        <v>33</v>
      </c>
      <c r="G55" s="59"/>
      <c r="H55" s="78" t="s">
        <v>562</v>
      </c>
      <c r="J55" s="77" t="s">
        <v>708</v>
      </c>
    </row>
    <row r="56" spans="1:12">
      <c r="A56" s="75">
        <v>54</v>
      </c>
      <c r="B56" s="100" t="s">
        <v>719</v>
      </c>
      <c r="C56" s="75"/>
      <c r="D56" s="75"/>
      <c r="E56" s="75"/>
      <c r="F56" s="75">
        <v>33</v>
      </c>
      <c r="G56" s="75"/>
      <c r="H56" s="78" t="s">
        <v>562</v>
      </c>
    </row>
    <row r="57" spans="1:12">
      <c r="A57" s="75">
        <v>55</v>
      </c>
      <c r="B57" s="100" t="s">
        <v>720</v>
      </c>
      <c r="C57" s="75"/>
      <c r="D57" s="75"/>
      <c r="E57" s="75"/>
      <c r="F57" s="75">
        <v>33</v>
      </c>
      <c r="G57" s="75"/>
      <c r="H57" s="78" t="s">
        <v>562</v>
      </c>
    </row>
    <row r="58" spans="1:12">
      <c r="A58" s="6">
        <v>56</v>
      </c>
      <c r="B58" s="79" t="s">
        <v>721</v>
      </c>
      <c r="C58" s="59"/>
      <c r="D58" s="59"/>
      <c r="E58" s="59"/>
      <c r="F58" s="59"/>
      <c r="G58" s="59"/>
      <c r="H58" s="79" t="s">
        <v>562</v>
      </c>
    </row>
    <row r="59" spans="1:12">
      <c r="A59" s="6">
        <v>57</v>
      </c>
      <c r="B59" s="93" t="s">
        <v>751</v>
      </c>
      <c r="C59" s="75"/>
      <c r="D59" s="75"/>
      <c r="E59" s="75"/>
      <c r="F59" s="75">
        <v>33</v>
      </c>
      <c r="G59" s="75"/>
      <c r="H59" s="74" t="s">
        <v>562</v>
      </c>
    </row>
    <row r="60" spans="1:12">
      <c r="A60" s="6">
        <v>58</v>
      </c>
      <c r="B60" s="110" t="s">
        <v>739</v>
      </c>
      <c r="C60" s="110"/>
      <c r="D60" s="110"/>
      <c r="E60" s="110"/>
      <c r="F60" s="110">
        <v>33</v>
      </c>
      <c r="G60" s="110"/>
      <c r="H60" s="74" t="s">
        <v>562</v>
      </c>
    </row>
    <row r="61" spans="1:12">
      <c r="A61" s="6">
        <v>59</v>
      </c>
      <c r="B61" s="111" t="s">
        <v>741</v>
      </c>
      <c r="C61" s="59"/>
      <c r="D61" s="59"/>
      <c r="E61" s="59"/>
      <c r="F61" s="59">
        <v>33</v>
      </c>
      <c r="G61" s="59"/>
      <c r="H61" s="74" t="s">
        <v>562</v>
      </c>
    </row>
    <row r="62" spans="1:12">
      <c r="A62">
        <f>+A61+1</f>
        <v>60</v>
      </c>
      <c r="B62" s="111" t="s">
        <v>722</v>
      </c>
      <c r="C62" s="59"/>
      <c r="D62" s="59"/>
      <c r="E62" s="59"/>
      <c r="F62" s="59">
        <v>33</v>
      </c>
      <c r="G62" s="59"/>
      <c r="H62" s="74" t="s">
        <v>562</v>
      </c>
    </row>
    <row r="63" spans="1:12">
      <c r="A63" s="75">
        <f t="shared" ref="A63:A70" si="0">+A62+1</f>
        <v>61</v>
      </c>
      <c r="B63" s="101" t="s">
        <v>740</v>
      </c>
      <c r="C63" s="75"/>
      <c r="D63" s="75"/>
      <c r="E63" s="75"/>
      <c r="F63" s="75">
        <v>33</v>
      </c>
      <c r="G63" s="75"/>
      <c r="H63" s="74" t="s">
        <v>562</v>
      </c>
      <c r="L63">
        <v>120</v>
      </c>
    </row>
    <row r="64" spans="1:12">
      <c r="A64" s="75">
        <f t="shared" si="0"/>
        <v>62</v>
      </c>
      <c r="B64" s="94" t="s">
        <v>742</v>
      </c>
      <c r="C64" s="75"/>
      <c r="D64" s="75"/>
      <c r="E64" s="75"/>
      <c r="F64" s="75">
        <v>33</v>
      </c>
      <c r="G64" s="75"/>
      <c r="H64" s="74" t="s">
        <v>562</v>
      </c>
      <c r="I64" s="114" t="s">
        <v>839</v>
      </c>
      <c r="L64">
        <v>130</v>
      </c>
    </row>
    <row r="65" spans="1:12">
      <c r="A65" s="75">
        <f t="shared" si="0"/>
        <v>63</v>
      </c>
      <c r="B65" s="94" t="s">
        <v>743</v>
      </c>
      <c r="C65" s="75"/>
      <c r="D65" s="75"/>
      <c r="E65" s="75"/>
      <c r="F65" s="75">
        <v>33</v>
      </c>
      <c r="G65" s="75"/>
      <c r="H65" s="74" t="s">
        <v>562</v>
      </c>
      <c r="L65">
        <v>90</v>
      </c>
    </row>
    <row r="66" spans="1:12">
      <c r="A66" s="75">
        <f t="shared" si="0"/>
        <v>64</v>
      </c>
      <c r="B66" s="94" t="s">
        <v>744</v>
      </c>
      <c r="C66" s="75"/>
      <c r="D66" s="75"/>
      <c r="E66" s="75"/>
      <c r="F66" s="75">
        <v>33</v>
      </c>
      <c r="G66" s="75"/>
      <c r="H66" s="74" t="s">
        <v>562</v>
      </c>
      <c r="L66">
        <v>105</v>
      </c>
    </row>
    <row r="67" spans="1:12">
      <c r="A67" s="75">
        <f t="shared" si="0"/>
        <v>65</v>
      </c>
      <c r="B67" s="94" t="s">
        <v>745</v>
      </c>
      <c r="C67" s="75"/>
      <c r="D67" s="75"/>
      <c r="E67" s="75"/>
      <c r="F67" s="75">
        <v>33</v>
      </c>
      <c r="G67" s="75"/>
      <c r="H67" s="74" t="s">
        <v>562</v>
      </c>
    </row>
    <row r="68" spans="1:12">
      <c r="A68">
        <f t="shared" si="0"/>
        <v>66</v>
      </c>
      <c r="B68" s="130" t="s">
        <v>842</v>
      </c>
      <c r="C68" s="59"/>
      <c r="D68" s="59"/>
      <c r="E68" s="59"/>
      <c r="F68" s="59">
        <v>33</v>
      </c>
      <c r="G68" s="59"/>
      <c r="H68" s="74" t="s">
        <v>562</v>
      </c>
    </row>
    <row r="69" spans="1:12">
      <c r="A69">
        <f t="shared" si="0"/>
        <v>67</v>
      </c>
      <c r="B69" s="199" t="s">
        <v>738</v>
      </c>
      <c r="C69" s="75"/>
      <c r="D69" s="75"/>
      <c r="E69" s="75"/>
      <c r="F69" s="75">
        <v>33</v>
      </c>
      <c r="G69" s="75"/>
      <c r="H69" s="74" t="s">
        <v>562</v>
      </c>
    </row>
    <row r="70" spans="1:12">
      <c r="A70">
        <f t="shared" si="0"/>
        <v>68</v>
      </c>
      <c r="B70" s="94" t="s">
        <v>746</v>
      </c>
      <c r="C70" s="75"/>
      <c r="D70" s="75"/>
      <c r="E70" s="75"/>
      <c r="F70" s="75">
        <v>33</v>
      </c>
      <c r="G70" s="75">
        <v>0</v>
      </c>
      <c r="H70" s="74" t="s">
        <v>562</v>
      </c>
    </row>
    <row r="71" spans="1:12">
      <c r="A71">
        <v>69</v>
      </c>
      <c r="B71" s="187" t="s">
        <v>1250</v>
      </c>
      <c r="C71" s="59"/>
      <c r="D71" s="59"/>
      <c r="E71" s="59"/>
      <c r="F71" s="59">
        <v>24</v>
      </c>
      <c r="G71" s="59"/>
      <c r="H71" s="80" t="s">
        <v>560</v>
      </c>
    </row>
    <row r="72" spans="1:12">
      <c r="A72" s="75">
        <v>70</v>
      </c>
      <c r="B72" s="94" t="s">
        <v>747</v>
      </c>
      <c r="C72" s="75"/>
      <c r="D72" s="75"/>
      <c r="E72" s="75"/>
      <c r="F72" s="75">
        <v>33</v>
      </c>
      <c r="G72" s="75"/>
      <c r="H72" s="80" t="s">
        <v>562</v>
      </c>
    </row>
    <row r="73" spans="1:12">
      <c r="A73" s="75">
        <v>71</v>
      </c>
      <c r="B73" s="94" t="s">
        <v>748</v>
      </c>
      <c r="C73" s="75"/>
      <c r="D73" s="75"/>
      <c r="E73" s="75"/>
      <c r="F73" s="75">
        <v>33</v>
      </c>
      <c r="G73" s="75"/>
      <c r="H73" s="80" t="s">
        <v>562</v>
      </c>
    </row>
    <row r="74" spans="1:12">
      <c r="A74" s="75">
        <v>72</v>
      </c>
      <c r="B74" s="93" t="s">
        <v>754</v>
      </c>
      <c r="C74" s="75"/>
      <c r="D74" s="75"/>
      <c r="E74" s="75"/>
      <c r="F74" s="75">
        <v>33</v>
      </c>
      <c r="G74" s="75"/>
      <c r="H74" s="82" t="s">
        <v>562</v>
      </c>
    </row>
    <row r="75" spans="1:12">
      <c r="A75">
        <v>73</v>
      </c>
      <c r="B75" s="116" t="s">
        <v>781</v>
      </c>
      <c r="C75" s="59"/>
      <c r="D75" s="59"/>
      <c r="E75" s="59"/>
      <c r="F75" s="59">
        <v>33</v>
      </c>
      <c r="G75" s="59"/>
      <c r="H75" s="82" t="s">
        <v>562</v>
      </c>
    </row>
    <row r="76" spans="1:12">
      <c r="A76">
        <v>74</v>
      </c>
      <c r="B76" s="145" t="s">
        <v>802</v>
      </c>
      <c r="C76" s="89"/>
      <c r="D76" s="89"/>
      <c r="E76" s="89"/>
      <c r="F76" s="89">
        <v>30</v>
      </c>
      <c r="G76" s="89">
        <v>3</v>
      </c>
      <c r="H76" s="82" t="s">
        <v>562</v>
      </c>
    </row>
    <row r="77" spans="1:12">
      <c r="A77">
        <v>75</v>
      </c>
      <c r="B77" s="117" t="s">
        <v>803</v>
      </c>
      <c r="C77" s="59"/>
      <c r="D77" s="59"/>
      <c r="E77" s="59"/>
      <c r="F77" s="59">
        <v>33</v>
      </c>
      <c r="G77" s="59"/>
      <c r="H77" s="88" t="s">
        <v>562</v>
      </c>
    </row>
    <row r="78" spans="1:12">
      <c r="A78">
        <v>76</v>
      </c>
      <c r="B78" s="397" t="s">
        <v>812</v>
      </c>
      <c r="C78" s="59"/>
      <c r="D78" s="59"/>
      <c r="E78" s="59"/>
      <c r="F78" s="59">
        <v>33</v>
      </c>
      <c r="G78" s="59"/>
      <c r="H78" s="88" t="s">
        <v>562</v>
      </c>
      <c r="J78" t="s">
        <v>108</v>
      </c>
    </row>
    <row r="79" spans="1:12">
      <c r="A79">
        <v>77</v>
      </c>
      <c r="B79" s="395" t="s">
        <v>1830</v>
      </c>
      <c r="C79" s="5"/>
      <c r="D79" s="5"/>
      <c r="E79" s="5"/>
      <c r="F79" s="5"/>
      <c r="G79" s="5">
        <v>33</v>
      </c>
      <c r="H79" s="88" t="s">
        <v>562</v>
      </c>
    </row>
    <row r="80" spans="1:12">
      <c r="A80">
        <v>78</v>
      </c>
      <c r="B80" s="146" t="s">
        <v>843</v>
      </c>
      <c r="C80" s="75"/>
      <c r="D80" s="75"/>
      <c r="E80" s="75"/>
      <c r="F80" s="75">
        <v>33</v>
      </c>
      <c r="G80" s="75"/>
      <c r="H80" s="88" t="s">
        <v>562</v>
      </c>
    </row>
    <row r="81" spans="1:14">
      <c r="A81">
        <v>79</v>
      </c>
      <c r="B81" s="112" t="s">
        <v>840</v>
      </c>
      <c r="C81" s="6"/>
      <c r="D81" s="6"/>
      <c r="E81" s="6"/>
      <c r="F81" s="6"/>
      <c r="G81" s="6">
        <v>23</v>
      </c>
      <c r="H81" s="104" t="s">
        <v>560</v>
      </c>
    </row>
    <row r="82" spans="1:14">
      <c r="A82">
        <v>80</v>
      </c>
      <c r="B82" s="147" t="s">
        <v>850</v>
      </c>
      <c r="C82" s="75"/>
      <c r="D82" s="75"/>
      <c r="E82" s="75"/>
      <c r="F82" s="75">
        <v>29</v>
      </c>
      <c r="G82" s="75"/>
      <c r="H82" s="107" t="s">
        <v>560</v>
      </c>
    </row>
    <row r="83" spans="1:14">
      <c r="A83">
        <v>81</v>
      </c>
      <c r="B83" s="148" t="s">
        <v>841</v>
      </c>
      <c r="C83" s="148"/>
      <c r="D83" s="148"/>
      <c r="E83" s="148"/>
      <c r="F83" s="148">
        <v>20</v>
      </c>
      <c r="G83" s="148"/>
      <c r="H83" s="107" t="s">
        <v>560</v>
      </c>
      <c r="N83"/>
    </row>
    <row r="84" spans="1:14">
      <c r="A84">
        <v>82</v>
      </c>
      <c r="B84" s="253" t="s">
        <v>1418</v>
      </c>
      <c r="C84" s="59"/>
      <c r="D84" s="59"/>
      <c r="E84" s="59"/>
      <c r="F84" s="59">
        <v>20</v>
      </c>
      <c r="G84" s="59"/>
      <c r="H84" s="107" t="s">
        <v>560</v>
      </c>
      <c r="N84"/>
    </row>
    <row r="85" spans="1:14" ht="28.8">
      <c r="A85">
        <v>84</v>
      </c>
      <c r="B85" s="190" t="s">
        <v>1249</v>
      </c>
      <c r="C85" s="75"/>
      <c r="D85" s="75"/>
      <c r="E85" s="75"/>
      <c r="F85" s="75">
        <v>20</v>
      </c>
      <c r="G85" s="75"/>
      <c r="H85" s="188" t="s">
        <v>560</v>
      </c>
      <c r="N85"/>
    </row>
    <row r="86" spans="1:14">
      <c r="A86">
        <v>85</v>
      </c>
      <c r="B86" s="89" t="s">
        <v>1207</v>
      </c>
      <c r="C86" s="89"/>
      <c r="D86" s="89"/>
      <c r="E86" s="89"/>
      <c r="F86" s="89"/>
      <c r="G86" s="89">
        <v>1</v>
      </c>
      <c r="H86" s="181">
        <v>34</v>
      </c>
      <c r="J86">
        <v>1</v>
      </c>
      <c r="N86"/>
    </row>
    <row r="87" spans="1:14">
      <c r="A87">
        <v>86</v>
      </c>
      <c r="B87" s="89" t="s">
        <v>1208</v>
      </c>
      <c r="C87" s="89"/>
      <c r="D87" s="89"/>
      <c r="E87" s="89"/>
      <c r="F87" s="89"/>
      <c r="G87" s="89">
        <v>1</v>
      </c>
      <c r="H87" s="181">
        <v>34</v>
      </c>
      <c r="J87">
        <v>1</v>
      </c>
      <c r="N87"/>
    </row>
    <row r="88" spans="1:14">
      <c r="B88" s="187" t="s">
        <v>1254</v>
      </c>
      <c r="C88" s="59"/>
      <c r="D88" s="59"/>
      <c r="E88" s="59"/>
      <c r="F88" s="59"/>
      <c r="G88" s="59"/>
      <c r="H88" s="184">
        <v>33</v>
      </c>
      <c r="N88"/>
    </row>
    <row r="89" spans="1:14" ht="28.8">
      <c r="B89" s="190" t="s">
        <v>1255</v>
      </c>
      <c r="C89" s="75"/>
      <c r="D89" s="75"/>
      <c r="E89" s="75"/>
      <c r="F89" s="75"/>
      <c r="G89" s="75"/>
      <c r="H89" s="188">
        <v>33</v>
      </c>
      <c r="N89"/>
    </row>
    <row r="90" spans="1:14" ht="21.6" customHeight="1">
      <c r="B90" s="66" t="s">
        <v>1257</v>
      </c>
      <c r="C90" s="59"/>
      <c r="D90" s="59"/>
      <c r="E90" s="59"/>
      <c r="F90" s="59"/>
      <c r="G90" s="59"/>
      <c r="H90" s="184">
        <v>33</v>
      </c>
      <c r="N90"/>
    </row>
    <row r="91" spans="1:14">
      <c r="B91" s="59" t="s">
        <v>1258</v>
      </c>
      <c r="C91" s="59"/>
      <c r="D91" s="59"/>
      <c r="E91" s="59"/>
      <c r="F91" s="59"/>
      <c r="G91" s="59"/>
      <c r="H91" s="184">
        <v>33</v>
      </c>
      <c r="N91"/>
    </row>
    <row r="92" spans="1:14">
      <c r="B92" s="75" t="s">
        <v>1259</v>
      </c>
      <c r="C92" s="75"/>
      <c r="D92" s="75"/>
      <c r="E92" s="75"/>
      <c r="F92" s="75"/>
      <c r="G92" s="75"/>
      <c r="H92" s="188">
        <v>33</v>
      </c>
      <c r="N92"/>
    </row>
    <row r="93" spans="1:14">
      <c r="B93" s="89" t="s">
        <v>1252</v>
      </c>
      <c r="C93" s="89"/>
      <c r="D93" s="89"/>
      <c r="E93" s="89"/>
      <c r="F93" s="89"/>
      <c r="G93" s="89">
        <v>1</v>
      </c>
      <c r="H93" s="181">
        <v>33</v>
      </c>
      <c r="J93">
        <v>1</v>
      </c>
      <c r="N93"/>
    </row>
    <row r="94" spans="1:14">
      <c r="B94" s="59" t="s">
        <v>1260</v>
      </c>
      <c r="C94" s="59"/>
      <c r="D94" s="59"/>
      <c r="E94" s="59"/>
      <c r="F94" s="59"/>
      <c r="G94" s="59"/>
      <c r="H94" s="184">
        <v>33</v>
      </c>
      <c r="N94"/>
    </row>
    <row r="95" spans="1:14">
      <c r="B95" s="59" t="s">
        <v>1261</v>
      </c>
      <c r="C95" s="59"/>
      <c r="D95" s="59"/>
      <c r="E95" s="59"/>
      <c r="F95" s="59"/>
      <c r="G95" s="59">
        <v>0</v>
      </c>
      <c r="H95" s="184">
        <v>33</v>
      </c>
      <c r="N95"/>
    </row>
    <row r="96" spans="1:14">
      <c r="B96" s="75" t="s">
        <v>1256</v>
      </c>
      <c r="C96" s="75"/>
      <c r="D96" s="75"/>
      <c r="E96" s="75"/>
      <c r="F96" s="75"/>
      <c r="G96" s="75">
        <v>1</v>
      </c>
      <c r="H96" s="188">
        <v>33</v>
      </c>
      <c r="N96"/>
    </row>
    <row r="97" spans="2:15">
      <c r="B97" s="75" t="s">
        <v>1253</v>
      </c>
      <c r="C97" s="75"/>
      <c r="D97" s="75"/>
      <c r="E97" s="75"/>
      <c r="F97" s="75"/>
      <c r="G97" s="75">
        <v>1</v>
      </c>
      <c r="H97" s="188">
        <v>33</v>
      </c>
      <c r="N97"/>
    </row>
    <row r="98" spans="2:15">
      <c r="B98" s="75" t="s">
        <v>1265</v>
      </c>
      <c r="C98" s="75"/>
      <c r="D98" s="75"/>
      <c r="E98" s="75"/>
      <c r="F98" s="75"/>
      <c r="G98" s="75"/>
      <c r="H98" s="188">
        <v>33</v>
      </c>
      <c r="N98"/>
    </row>
    <row r="99" spans="2:15">
      <c r="B99" s="544" t="s">
        <v>108</v>
      </c>
      <c r="C99" s="75"/>
      <c r="D99" s="75"/>
      <c r="E99" s="75"/>
      <c r="F99" s="75"/>
      <c r="G99" s="75">
        <v>1</v>
      </c>
      <c r="H99" s="188">
        <v>33</v>
      </c>
      <c r="N99"/>
    </row>
    <row r="100" spans="2:15">
      <c r="B100" s="75" t="s">
        <v>1420</v>
      </c>
      <c r="C100" s="75"/>
      <c r="D100" s="75"/>
      <c r="E100" s="75"/>
      <c r="F100" s="75"/>
      <c r="G100" s="75">
        <v>0</v>
      </c>
      <c r="H100" s="188">
        <v>33</v>
      </c>
      <c r="N100"/>
    </row>
    <row r="101" spans="2:15">
      <c r="B101" s="545" t="s">
        <v>108</v>
      </c>
      <c r="C101" s="59"/>
      <c r="D101" s="59"/>
      <c r="E101" s="59"/>
      <c r="F101" s="59"/>
      <c r="G101" s="59"/>
      <c r="H101" s="184">
        <v>24</v>
      </c>
      <c r="N101"/>
    </row>
    <row r="102" spans="2:15">
      <c r="B102" s="59" t="s">
        <v>1266</v>
      </c>
      <c r="C102" s="59"/>
      <c r="D102" s="59"/>
      <c r="E102" s="59"/>
      <c r="F102" s="59"/>
      <c r="G102" s="59"/>
      <c r="H102" s="184">
        <v>24</v>
      </c>
      <c r="N102"/>
      <c r="O102" s="3">
        <f>92*1400*11450</f>
        <v>1474760000</v>
      </c>
    </row>
    <row r="103" spans="2:15">
      <c r="B103" s="59" t="s">
        <v>1527</v>
      </c>
      <c r="C103" s="59"/>
      <c r="D103" s="59"/>
      <c r="E103" s="59"/>
      <c r="F103" s="59"/>
      <c r="G103" s="59"/>
      <c r="H103" s="184">
        <v>33</v>
      </c>
      <c r="N103"/>
      <c r="O103" s="3">
        <v>-515750000</v>
      </c>
    </row>
    <row r="104" spans="2:15">
      <c r="B104" s="59" t="s">
        <v>1248</v>
      </c>
      <c r="C104" s="59"/>
      <c r="D104" s="59"/>
      <c r="E104" s="59"/>
      <c r="F104" s="59"/>
      <c r="G104" s="59"/>
      <c r="H104" s="184">
        <v>23</v>
      </c>
      <c r="N104"/>
    </row>
    <row r="105" spans="2:15">
      <c r="B105" s="59" t="s">
        <v>1977</v>
      </c>
      <c r="C105" s="59"/>
      <c r="D105" s="59"/>
      <c r="E105" s="59"/>
      <c r="F105" s="59"/>
      <c r="G105" s="59"/>
      <c r="H105" s="184">
        <v>33</v>
      </c>
      <c r="N105"/>
    </row>
    <row r="106" spans="2:15">
      <c r="B106" s="59" t="s">
        <v>1410</v>
      </c>
      <c r="C106" s="59"/>
      <c r="D106" s="59"/>
      <c r="E106" s="59"/>
      <c r="F106" s="59"/>
      <c r="G106" s="59">
        <v>1</v>
      </c>
      <c r="H106" s="184">
        <v>33</v>
      </c>
      <c r="N106"/>
    </row>
    <row r="107" spans="2:15">
      <c r="B107" s="75" t="s">
        <v>1267</v>
      </c>
      <c r="C107" s="75"/>
      <c r="D107" s="75"/>
      <c r="E107" s="75"/>
      <c r="F107" s="75"/>
      <c r="G107" s="75">
        <v>1</v>
      </c>
      <c r="H107" s="188">
        <v>33</v>
      </c>
      <c r="N107"/>
    </row>
    <row r="108" spans="2:15">
      <c r="B108" s="59" t="s">
        <v>1409</v>
      </c>
      <c r="C108" s="59"/>
      <c r="D108" s="59"/>
      <c r="E108" s="59"/>
      <c r="F108" s="59"/>
      <c r="G108" s="59">
        <v>1</v>
      </c>
      <c r="H108" s="184">
        <v>33</v>
      </c>
      <c r="N108"/>
    </row>
    <row r="109" spans="2:15">
      <c r="B109" s="59" t="s">
        <v>1975</v>
      </c>
      <c r="C109" s="59"/>
      <c r="D109" s="59"/>
      <c r="E109" s="59"/>
      <c r="F109" s="59"/>
      <c r="G109" s="59"/>
      <c r="H109" s="184">
        <v>24</v>
      </c>
      <c r="N109"/>
    </row>
    <row r="110" spans="2:15">
      <c r="B110" s="59" t="s">
        <v>1976</v>
      </c>
      <c r="C110" s="59"/>
      <c r="D110" s="59"/>
      <c r="E110" s="59"/>
      <c r="F110" s="59"/>
      <c r="G110" s="59"/>
      <c r="H110" s="184">
        <v>24</v>
      </c>
      <c r="N110"/>
    </row>
    <row r="111" spans="2:15">
      <c r="B111" s="6"/>
      <c r="C111" s="6"/>
      <c r="D111" s="6"/>
      <c r="E111" s="6"/>
      <c r="F111" s="6"/>
      <c r="G111" s="6">
        <v>33</v>
      </c>
      <c r="H111" s="136"/>
    </row>
    <row r="112" spans="2:15">
      <c r="B112" s="6"/>
      <c r="C112" s="6"/>
      <c r="D112" s="6"/>
      <c r="E112" s="6"/>
      <c r="F112" s="6"/>
      <c r="G112" s="6">
        <v>33</v>
      </c>
      <c r="H112" s="74"/>
    </row>
    <row r="113" spans="2:14">
      <c r="B113" s="59" t="s">
        <v>2186</v>
      </c>
      <c r="C113" s="59"/>
      <c r="D113" s="59"/>
      <c r="E113" s="59"/>
      <c r="F113" s="59"/>
      <c r="G113" s="59"/>
      <c r="H113" s="79"/>
      <c r="N113" s="3">
        <v>111000</v>
      </c>
    </row>
    <row r="114" spans="2:14">
      <c r="B114" s="6" t="s">
        <v>2365</v>
      </c>
      <c r="C114" s="6"/>
      <c r="D114" s="6"/>
      <c r="E114" s="6"/>
      <c r="F114" s="6"/>
      <c r="G114" s="6">
        <v>24</v>
      </c>
      <c r="H114" s="74"/>
    </row>
    <row r="115" spans="2:14">
      <c r="B115" s="6" t="s">
        <v>2674</v>
      </c>
      <c r="C115" s="6"/>
      <c r="D115" s="6"/>
      <c r="E115" s="6"/>
      <c r="F115" s="6"/>
      <c r="G115" s="6">
        <v>35</v>
      </c>
      <c r="H115" s="74"/>
    </row>
    <row r="116" spans="2:14">
      <c r="B116" s="6"/>
      <c r="C116" s="6"/>
      <c r="D116" s="6"/>
      <c r="E116" s="6"/>
      <c r="F116" s="6"/>
      <c r="G116" s="6"/>
      <c r="H116" s="74"/>
    </row>
    <row r="117" spans="2:14">
      <c r="B117" s="6"/>
      <c r="C117" s="6"/>
      <c r="D117" s="6"/>
      <c r="E117" s="6"/>
      <c r="F117" s="6"/>
      <c r="G117" s="6"/>
      <c r="H117" s="74"/>
      <c r="N117" s="3">
        <v>296000</v>
      </c>
    </row>
    <row r="118" spans="2:14">
      <c r="N118" s="3">
        <v>59000</v>
      </c>
    </row>
    <row r="119" spans="2:14">
      <c r="G119">
        <v>1</v>
      </c>
      <c r="H119">
        <v>29</v>
      </c>
      <c r="N119" s="3">
        <v>48300</v>
      </c>
    </row>
    <row r="120" spans="2:14">
      <c r="G120">
        <v>1</v>
      </c>
      <c r="H120">
        <v>24</v>
      </c>
      <c r="N120" s="3">
        <v>1566000</v>
      </c>
    </row>
    <row r="121" spans="2:14">
      <c r="G121">
        <v>2</v>
      </c>
      <c r="H121">
        <v>24</v>
      </c>
      <c r="N121" s="3">
        <v>122000</v>
      </c>
    </row>
    <row r="123" spans="2:14">
      <c r="N123"/>
    </row>
  </sheetData>
  <autoFilter ref="A2:J84"/>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B3:M46"/>
  <sheetViews>
    <sheetView workbookViewId="0">
      <selection activeCell="D12" sqref="D12"/>
    </sheetView>
  </sheetViews>
  <sheetFormatPr defaultRowHeight="14.4"/>
  <cols>
    <col min="2" max="2" width="35.5546875" customWidth="1"/>
    <col min="3" max="3" width="10" bestFit="1" customWidth="1"/>
  </cols>
  <sheetData>
    <row r="3" spans="2:13" ht="16.350000000000001" customHeight="1">
      <c r="B3" s="76" t="s">
        <v>697</v>
      </c>
      <c r="C3" s="53"/>
      <c r="D3" s="53" t="s">
        <v>716</v>
      </c>
    </row>
    <row r="4" spans="2:13">
      <c r="B4" s="53" t="s">
        <v>715</v>
      </c>
      <c r="C4" s="53"/>
      <c r="D4" s="53" t="s">
        <v>995</v>
      </c>
    </row>
    <row r="5" spans="2:13">
      <c r="B5" s="2" t="s">
        <v>687</v>
      </c>
      <c r="C5" s="2">
        <v>0</v>
      </c>
      <c r="D5" s="2" t="s">
        <v>560</v>
      </c>
      <c r="E5">
        <v>25</v>
      </c>
    </row>
    <row r="6" spans="2:13">
      <c r="B6" s="476" t="s">
        <v>554</v>
      </c>
      <c r="C6" s="5">
        <f>45+21-33</f>
        <v>33</v>
      </c>
      <c r="D6" s="5">
        <v>38594035</v>
      </c>
    </row>
    <row r="7" spans="2:13">
      <c r="B7" s="59" t="s">
        <v>1708</v>
      </c>
      <c r="C7" s="59"/>
      <c r="D7" s="59">
        <v>33</v>
      </c>
      <c r="E7" t="s">
        <v>1264</v>
      </c>
    </row>
    <row r="8" spans="2:13">
      <c r="B8" s="59" t="s">
        <v>1206</v>
      </c>
      <c r="C8" s="59"/>
      <c r="D8" s="59">
        <v>24</v>
      </c>
    </row>
    <row r="9" spans="2:13">
      <c r="B9" s="59" t="s">
        <v>1343</v>
      </c>
      <c r="C9" s="59"/>
      <c r="D9" s="59">
        <v>33</v>
      </c>
      <c r="E9" t="s">
        <v>1263</v>
      </c>
    </row>
    <row r="10" spans="2:13">
      <c r="B10" s="59" t="s">
        <v>2125</v>
      </c>
      <c r="C10" s="59"/>
      <c r="D10" s="59"/>
      <c r="M10">
        <v>10</v>
      </c>
    </row>
    <row r="11" spans="2:13">
      <c r="B11" s="445" t="s">
        <v>2632</v>
      </c>
      <c r="C11" s="59"/>
      <c r="D11" s="59"/>
    </row>
    <row r="12" spans="2:13">
      <c r="B12" s="6"/>
      <c r="C12" s="6">
        <v>23</v>
      </c>
      <c r="D12" s="6"/>
    </row>
    <row r="13" spans="2:13">
      <c r="B13" s="408" t="s">
        <v>2678</v>
      </c>
      <c r="C13" s="6">
        <v>32</v>
      </c>
      <c r="D13" s="6"/>
      <c r="M13">
        <v>4.7</v>
      </c>
    </row>
    <row r="14" spans="2:13">
      <c r="D14">
        <v>1</v>
      </c>
      <c r="E14" t="s">
        <v>818</v>
      </c>
      <c r="M14">
        <v>52.5</v>
      </c>
    </row>
    <row r="15" spans="2:13">
      <c r="M15">
        <v>61.5</v>
      </c>
    </row>
    <row r="16" spans="2:13">
      <c r="M16">
        <v>270.5</v>
      </c>
    </row>
    <row r="17" spans="8:13">
      <c r="M17">
        <v>304.60000000000002</v>
      </c>
    </row>
    <row r="18" spans="8:13">
      <c r="M18">
        <v>24</v>
      </c>
    </row>
    <row r="19" spans="8:13">
      <c r="H19">
        <v>54</v>
      </c>
      <c r="M19">
        <v>60</v>
      </c>
    </row>
    <row r="20" spans="8:13">
      <c r="H20">
        <v>87</v>
      </c>
      <c r="M20">
        <v>9.3000000000000007</v>
      </c>
    </row>
    <row r="21" spans="8:13">
      <c r="H21">
        <v>200</v>
      </c>
      <c r="M21">
        <v>0.9</v>
      </c>
    </row>
    <row r="22" spans="8:13">
      <c r="M22">
        <v>1.74</v>
      </c>
    </row>
    <row r="23" spans="8:13">
      <c r="M23">
        <v>2.8</v>
      </c>
    </row>
    <row r="24" spans="8:13">
      <c r="M24">
        <v>15</v>
      </c>
    </row>
    <row r="25" spans="8:13">
      <c r="M25">
        <v>4.5</v>
      </c>
    </row>
    <row r="26" spans="8:13">
      <c r="M26">
        <v>4.5</v>
      </c>
    </row>
    <row r="27" spans="8:13">
      <c r="M27">
        <v>4</v>
      </c>
    </row>
    <row r="28" spans="8:13">
      <c r="M28">
        <v>6.3</v>
      </c>
    </row>
    <row r="29" spans="8:13">
      <c r="M29">
        <v>25</v>
      </c>
    </row>
    <row r="30" spans="8:13">
      <c r="M30">
        <v>25</v>
      </c>
    </row>
    <row r="31" spans="8:13">
      <c r="M31">
        <v>20</v>
      </c>
    </row>
    <row r="32" spans="8:13">
      <c r="M32">
        <v>20</v>
      </c>
    </row>
    <row r="33" spans="13:13">
      <c r="M33">
        <v>287.5</v>
      </c>
    </row>
    <row r="34" spans="13:13">
      <c r="M34">
        <v>2196.8000000000002</v>
      </c>
    </row>
    <row r="35" spans="13:13">
      <c r="M35">
        <v>17.100000000000001</v>
      </c>
    </row>
    <row r="36" spans="13:13">
      <c r="M36">
        <v>195</v>
      </c>
    </row>
    <row r="37" spans="13:13">
      <c r="M37">
        <v>33</v>
      </c>
    </row>
    <row r="38" spans="13:13">
      <c r="M38">
        <v>231</v>
      </c>
    </row>
    <row r="39" spans="13:13">
      <c r="M39">
        <v>96.5</v>
      </c>
    </row>
    <row r="40" spans="13:13">
      <c r="M40">
        <v>450</v>
      </c>
    </row>
    <row r="41" spans="13:13">
      <c r="M41">
        <v>8.6999999999999993</v>
      </c>
    </row>
    <row r="42" spans="13:13">
      <c r="M42">
        <v>-558.5</v>
      </c>
    </row>
    <row r="43" spans="13:13">
      <c r="M43">
        <v>17</v>
      </c>
    </row>
    <row r="44" spans="13:13">
      <c r="M44">
        <v>0.5</v>
      </c>
    </row>
    <row r="45" spans="13:13">
      <c r="M45">
        <v>56</v>
      </c>
    </row>
    <row r="46" spans="13:13">
      <c r="M46">
        <v>56</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3:D80"/>
  <sheetViews>
    <sheetView zoomScaleNormal="100" workbookViewId="0">
      <selection activeCell="B8" sqref="B8"/>
    </sheetView>
  </sheetViews>
  <sheetFormatPr defaultRowHeight="14.4"/>
  <cols>
    <col min="1" max="1" width="64.21875" customWidth="1"/>
    <col min="2" max="2" width="20.77734375" style="685" customWidth="1"/>
    <col min="3" max="3" width="34.77734375" style="4" bestFit="1" customWidth="1"/>
    <col min="4" max="4" width="255.5546875" bestFit="1" customWidth="1"/>
  </cols>
  <sheetData>
    <row r="3" spans="1:4">
      <c r="D3" t="s">
        <v>62</v>
      </c>
    </row>
    <row r="5" spans="1:4" s="5" customFormat="1" ht="28.8">
      <c r="A5" s="546" t="s">
        <v>5</v>
      </c>
      <c r="B5" s="1152" t="s">
        <v>437</v>
      </c>
      <c r="C5" s="15" t="s">
        <v>7</v>
      </c>
      <c r="D5" s="5" t="s">
        <v>6</v>
      </c>
    </row>
    <row r="6" spans="1:4" s="5" customFormat="1">
      <c r="A6" s="27" t="s">
        <v>8</v>
      </c>
      <c r="B6" s="687">
        <v>8424002009000000</v>
      </c>
      <c r="C6" s="15" t="s">
        <v>9</v>
      </c>
      <c r="D6" s="16" t="s">
        <v>10</v>
      </c>
    </row>
    <row r="7" spans="1:4" s="5" customFormat="1" ht="13.5" customHeight="1">
      <c r="A7" s="620" t="s">
        <v>12</v>
      </c>
      <c r="B7" s="688" t="s">
        <v>851</v>
      </c>
      <c r="C7" s="15" t="s">
        <v>11</v>
      </c>
      <c r="D7" s="659" t="s">
        <v>13</v>
      </c>
    </row>
    <row r="8" spans="1:4" s="5" customFormat="1">
      <c r="A8" s="875" t="s">
        <v>14</v>
      </c>
      <c r="B8" s="686">
        <v>844700100600</v>
      </c>
      <c r="C8" s="15" t="s">
        <v>15</v>
      </c>
      <c r="D8" s="16" t="s">
        <v>16</v>
      </c>
    </row>
    <row r="9" spans="1:4" s="5" customFormat="1">
      <c r="A9" s="605" t="s">
        <v>17</v>
      </c>
      <c r="B9" s="689" t="s">
        <v>18</v>
      </c>
      <c r="C9" s="15" t="s">
        <v>19</v>
      </c>
      <c r="D9" s="17" t="s">
        <v>20</v>
      </c>
    </row>
    <row r="10" spans="1:4" s="5" customFormat="1">
      <c r="A10" s="86" t="s">
        <v>22</v>
      </c>
      <c r="B10" s="690" t="s">
        <v>23</v>
      </c>
      <c r="C10" s="18" t="s">
        <v>21</v>
      </c>
      <c r="D10" s="17" t="s">
        <v>24</v>
      </c>
    </row>
    <row r="11" spans="1:4" s="5" customFormat="1">
      <c r="A11" s="779" t="s">
        <v>48</v>
      </c>
      <c r="B11" s="691">
        <v>8414002001000000</v>
      </c>
      <c r="C11" s="18" t="s">
        <v>49</v>
      </c>
      <c r="D11" s="19" t="s">
        <v>50</v>
      </c>
    </row>
    <row r="12" spans="1:4" s="5" customFormat="1">
      <c r="A12" s="779" t="s">
        <v>26</v>
      </c>
      <c r="B12" s="692">
        <v>8417002001000000</v>
      </c>
      <c r="C12" s="18" t="s">
        <v>25</v>
      </c>
      <c r="D12" s="636" t="s">
        <v>27</v>
      </c>
    </row>
    <row r="13" spans="1:4">
      <c r="A13" s="377" t="s">
        <v>28</v>
      </c>
      <c r="B13" s="693">
        <v>8432003001000000</v>
      </c>
      <c r="C13" s="9" t="s">
        <v>30</v>
      </c>
      <c r="D13" s="8" t="s">
        <v>29</v>
      </c>
    </row>
    <row r="14" spans="1:4">
      <c r="A14" s="1028" t="s">
        <v>31</v>
      </c>
      <c r="B14" s="694">
        <v>843200300100</v>
      </c>
      <c r="C14" s="9" t="s">
        <v>32</v>
      </c>
      <c r="D14" s="8" t="s">
        <v>33</v>
      </c>
    </row>
    <row r="15" spans="1:4">
      <c r="A15" s="1028" t="s">
        <v>3197</v>
      </c>
      <c r="B15" s="695" t="s">
        <v>645</v>
      </c>
      <c r="C15" s="9" t="s">
        <v>34</v>
      </c>
      <c r="D15" s="8" t="s">
        <v>35</v>
      </c>
    </row>
    <row r="16" spans="1:4" ht="14.4" customHeight="1">
      <c r="A16" s="628" t="s">
        <v>36</v>
      </c>
      <c r="B16" s="696" t="s">
        <v>3191</v>
      </c>
      <c r="C16" s="9" t="s">
        <v>38</v>
      </c>
      <c r="D16" s="8" t="s">
        <v>37</v>
      </c>
    </row>
    <row r="17" spans="1:4" ht="15.6">
      <c r="A17" s="557" t="s">
        <v>39</v>
      </c>
      <c r="B17" s="697">
        <v>843800200200</v>
      </c>
      <c r="C17" s="9" t="s">
        <v>40</v>
      </c>
      <c r="D17" s="11" t="s">
        <v>41</v>
      </c>
    </row>
    <row r="18" spans="1:4" ht="15.6">
      <c r="A18" s="592" t="s">
        <v>42</v>
      </c>
      <c r="B18" s="698">
        <v>8418001002001000</v>
      </c>
      <c r="C18" s="9" t="s">
        <v>44</v>
      </c>
      <c r="D18" s="12" t="s">
        <v>43</v>
      </c>
    </row>
    <row r="19" spans="1:4" ht="15.6">
      <c r="A19" s="105" t="s">
        <v>45</v>
      </c>
      <c r="B19" s="699">
        <v>8425001001000000</v>
      </c>
      <c r="C19" s="9" t="s">
        <v>46</v>
      </c>
      <c r="D19" s="11" t="s">
        <v>47</v>
      </c>
    </row>
    <row r="20" spans="1:4" ht="15.6">
      <c r="A20" s="22" t="s">
        <v>51</v>
      </c>
      <c r="B20" s="700" t="s">
        <v>52</v>
      </c>
      <c r="C20" s="9" t="s">
        <v>54</v>
      </c>
      <c r="D20" s="12" t="s">
        <v>53</v>
      </c>
    </row>
    <row r="21" spans="1:4" ht="15.6">
      <c r="A21" s="10" t="s">
        <v>55</v>
      </c>
      <c r="B21" s="701" t="s">
        <v>56</v>
      </c>
      <c r="C21" s="9" t="s">
        <v>57</v>
      </c>
      <c r="D21" s="11" t="s">
        <v>58</v>
      </c>
    </row>
    <row r="22" spans="1:4" ht="12" customHeight="1">
      <c r="A22" s="444" t="s">
        <v>59</v>
      </c>
      <c r="B22" s="702">
        <v>199001007000000</v>
      </c>
      <c r="C22" s="9" t="s">
        <v>60</v>
      </c>
      <c r="D22" s="13" t="s">
        <v>61</v>
      </c>
    </row>
    <row r="23" spans="1:4">
      <c r="A23" s="604" t="s">
        <v>109</v>
      </c>
      <c r="B23" s="703">
        <v>8609001001000000</v>
      </c>
      <c r="C23" s="14"/>
      <c r="D23" s="24" t="s">
        <v>110</v>
      </c>
    </row>
    <row r="24" spans="1:4">
      <c r="A24" s="330" t="s">
        <v>113</v>
      </c>
      <c r="B24" s="704" t="s">
        <v>111</v>
      </c>
      <c r="D24" s="24" t="s">
        <v>112</v>
      </c>
    </row>
    <row r="25" spans="1:4" ht="15" customHeight="1">
      <c r="A25" s="581" t="s">
        <v>114</v>
      </c>
      <c r="B25" s="705">
        <v>8471001001000000</v>
      </c>
      <c r="D25" s="565" t="s">
        <v>115</v>
      </c>
    </row>
    <row r="26" spans="1:4">
      <c r="A26" s="1029" t="s">
        <v>116</v>
      </c>
      <c r="B26" s="704">
        <v>844300100100</v>
      </c>
      <c r="D26" s="566" t="s">
        <v>117</v>
      </c>
    </row>
    <row r="27" spans="1:4">
      <c r="A27" s="1029" t="s">
        <v>118</v>
      </c>
      <c r="B27" s="706">
        <v>940300300100</v>
      </c>
      <c r="D27" s="24" t="s">
        <v>119</v>
      </c>
    </row>
    <row r="28" spans="1:4" ht="15.6">
      <c r="A28" s="42" t="s">
        <v>121</v>
      </c>
      <c r="B28" s="707" t="s">
        <v>120</v>
      </c>
      <c r="D28" s="25" t="s">
        <v>122</v>
      </c>
    </row>
    <row r="29" spans="1:4" ht="12" customHeight="1">
      <c r="A29" s="106" t="s">
        <v>124</v>
      </c>
      <c r="B29" s="708">
        <v>8542001003000000</v>
      </c>
      <c r="D29" s="610" t="s">
        <v>123</v>
      </c>
    </row>
    <row r="30" spans="1:4" ht="15.6">
      <c r="A30" s="185" t="s">
        <v>125</v>
      </c>
      <c r="B30" s="709">
        <v>8515999002000000</v>
      </c>
      <c r="C30" s="26" t="s">
        <v>126</v>
      </c>
      <c r="D30" s="11" t="s">
        <v>127</v>
      </c>
    </row>
    <row r="31" spans="1:4" ht="15.6">
      <c r="A31" s="186" t="s">
        <v>128</v>
      </c>
      <c r="B31" s="710">
        <v>846700200200</v>
      </c>
      <c r="C31" s="4">
        <v>2</v>
      </c>
      <c r="D31" s="11" t="s">
        <v>129</v>
      </c>
    </row>
    <row r="32" spans="1:4">
      <c r="A32" s="186" t="s">
        <v>51</v>
      </c>
      <c r="B32" s="711" t="s">
        <v>52</v>
      </c>
      <c r="C32" s="4">
        <v>3</v>
      </c>
      <c r="D32" s="20" t="s">
        <v>53</v>
      </c>
    </row>
    <row r="33" spans="1:4" ht="13.5" customHeight="1">
      <c r="A33" s="581" t="s">
        <v>130</v>
      </c>
      <c r="B33" s="710" t="s">
        <v>3196</v>
      </c>
      <c r="C33" s="4">
        <v>2</v>
      </c>
      <c r="D33" s="582" t="s">
        <v>53</v>
      </c>
    </row>
    <row r="34" spans="1:4" ht="15.6" customHeight="1">
      <c r="A34" s="581" t="s">
        <v>131</v>
      </c>
      <c r="B34" s="711" t="s">
        <v>132</v>
      </c>
      <c r="C34" s="4">
        <v>4</v>
      </c>
      <c r="D34" s="582" t="s">
        <v>133</v>
      </c>
    </row>
    <row r="35" spans="1:4" ht="14.1" customHeight="1">
      <c r="A35" s="581" t="s">
        <v>134</v>
      </c>
      <c r="B35" s="712">
        <v>8204001001000000</v>
      </c>
      <c r="C35" s="4">
        <v>2</v>
      </c>
      <c r="D35" s="579" t="s">
        <v>135</v>
      </c>
    </row>
    <row r="36" spans="1:4">
      <c r="A36" s="518" t="s">
        <v>136</v>
      </c>
      <c r="B36" s="713" t="s">
        <v>737</v>
      </c>
      <c r="D36" s="609" t="s">
        <v>137</v>
      </c>
    </row>
    <row r="37" spans="1:4">
      <c r="A37" s="68" t="s">
        <v>672</v>
      </c>
      <c r="B37" s="714">
        <v>940600100500</v>
      </c>
      <c r="D37" s="606" t="s">
        <v>671</v>
      </c>
    </row>
    <row r="38" spans="1:4">
      <c r="A38" s="68" t="s">
        <v>674</v>
      </c>
      <c r="B38" s="685" t="s">
        <v>673</v>
      </c>
    </row>
    <row r="39" spans="1:4">
      <c r="A39" s="68" t="s">
        <v>676</v>
      </c>
      <c r="B39" s="685" t="s">
        <v>675</v>
      </c>
    </row>
    <row r="40" spans="1:4">
      <c r="A40" s="717" t="s">
        <v>3166</v>
      </c>
      <c r="B40" s="715">
        <v>9031001030000000</v>
      </c>
    </row>
    <row r="41" spans="1:4">
      <c r="A41" s="616" t="s">
        <v>3170</v>
      </c>
      <c r="B41" s="715">
        <v>9403001125000000</v>
      </c>
    </row>
    <row r="42" spans="1:4">
      <c r="A42" s="625" t="s">
        <v>3172</v>
      </c>
      <c r="B42" s="704" t="s">
        <v>3171</v>
      </c>
    </row>
    <row r="43" spans="1:4">
      <c r="A43" s="617" t="s">
        <v>3173</v>
      </c>
      <c r="B43" s="716">
        <v>8418001002000000</v>
      </c>
    </row>
    <row r="44" spans="1:4">
      <c r="A44" s="617" t="s">
        <v>3174</v>
      </c>
      <c r="B44" s="714">
        <v>8418002003000000</v>
      </c>
    </row>
    <row r="45" spans="1:4">
      <c r="A45" s="617" t="s">
        <v>3175</v>
      </c>
      <c r="B45" s="685">
        <v>9401001027000000</v>
      </c>
    </row>
    <row r="46" spans="1:4">
      <c r="A46" s="617" t="s">
        <v>3176</v>
      </c>
      <c r="B46" s="685">
        <v>8418003001000000</v>
      </c>
    </row>
    <row r="47" spans="1:4">
      <c r="A47" s="617" t="s">
        <v>3177</v>
      </c>
      <c r="B47" s="685">
        <v>9403001127000000</v>
      </c>
    </row>
    <row r="48" spans="1:4">
      <c r="A48" s="617" t="s">
        <v>3178</v>
      </c>
      <c r="B48" s="685">
        <v>9403001126000000</v>
      </c>
    </row>
    <row r="49" spans="1:3">
      <c r="A49" s="618" t="s">
        <v>3181</v>
      </c>
      <c r="B49" s="685">
        <v>8471010009000000</v>
      </c>
      <c r="C49" s="4">
        <v>8479001035000000</v>
      </c>
    </row>
    <row r="50" spans="1:3">
      <c r="A50" s="618" t="s">
        <v>3179</v>
      </c>
      <c r="B50" s="685">
        <v>8438002002000000</v>
      </c>
      <c r="C50" s="4">
        <v>9403005001000000</v>
      </c>
    </row>
    <row r="51" spans="1:3">
      <c r="A51" s="617" t="s">
        <v>3180</v>
      </c>
      <c r="B51" s="685">
        <v>8417002001000000</v>
      </c>
      <c r="C51" s="4">
        <v>8418001002000000</v>
      </c>
    </row>
    <row r="52" spans="1:3">
      <c r="A52" s="660" t="s">
        <v>3182</v>
      </c>
      <c r="B52" s="685">
        <v>8515001001000000</v>
      </c>
    </row>
    <row r="53" spans="1:3">
      <c r="A53" s="682" t="s">
        <v>3183</v>
      </c>
      <c r="B53" s="685">
        <v>8425003001000000</v>
      </c>
    </row>
    <row r="54" spans="1:3">
      <c r="A54" s="766" t="s">
        <v>3184</v>
      </c>
      <c r="B54" s="685">
        <v>8455003002000000</v>
      </c>
    </row>
    <row r="55" spans="1:3">
      <c r="A55" s="622" t="s">
        <v>3186</v>
      </c>
      <c r="B55" s="685">
        <v>9508001001000000</v>
      </c>
    </row>
    <row r="56" spans="1:3">
      <c r="A56" s="623" t="s">
        <v>3187</v>
      </c>
      <c r="B56" s="685">
        <v>8471001002000000</v>
      </c>
    </row>
    <row r="57" spans="1:3">
      <c r="A57" s="626" t="s">
        <v>3189</v>
      </c>
      <c r="B57" s="685">
        <v>8457001001000000</v>
      </c>
    </row>
    <row r="58" spans="1:3">
      <c r="A58" s="630" t="s">
        <v>3190</v>
      </c>
      <c r="B58" s="685">
        <v>4419001013000000</v>
      </c>
    </row>
    <row r="59" spans="1:3">
      <c r="A59" s="627" t="s">
        <v>3170</v>
      </c>
      <c r="B59" s="685">
        <v>9403001125000000</v>
      </c>
    </row>
    <row r="60" spans="1:3">
      <c r="A60" s="631" t="s">
        <v>3193</v>
      </c>
      <c r="B60" s="685">
        <v>8419009003000000</v>
      </c>
    </row>
    <row r="61" spans="1:3">
      <c r="A61" s="633" t="s">
        <v>3195</v>
      </c>
      <c r="B61" s="685">
        <v>8450001001000000</v>
      </c>
    </row>
    <row r="62" spans="1:3">
      <c r="A62" s="652" t="s">
        <v>3212</v>
      </c>
      <c r="B62" s="685">
        <v>8435001001000000</v>
      </c>
    </row>
    <row r="63" spans="1:3">
      <c r="A63" s="652" t="s">
        <v>3213</v>
      </c>
      <c r="B63" s="685">
        <v>4418001005000000</v>
      </c>
    </row>
    <row r="64" spans="1:3">
      <c r="A64" t="s">
        <v>3214</v>
      </c>
      <c r="B64" s="685">
        <v>8474006005000000</v>
      </c>
    </row>
    <row r="65" spans="1:2">
      <c r="A65" s="652" t="s">
        <v>3213</v>
      </c>
      <c r="B65" s="685">
        <v>4418001005000000</v>
      </c>
    </row>
    <row r="66" spans="1:2">
      <c r="A66" s="652" t="s">
        <v>3215</v>
      </c>
      <c r="B66" s="685">
        <v>9006001005000000</v>
      </c>
    </row>
    <row r="67" spans="1:2">
      <c r="A67" s="652" t="s">
        <v>3216</v>
      </c>
      <c r="B67" s="685">
        <v>8471010009000000</v>
      </c>
    </row>
    <row r="68" spans="1:2">
      <c r="A68" s="873" t="s">
        <v>3217</v>
      </c>
      <c r="B68" s="685">
        <v>8516005012000000</v>
      </c>
    </row>
    <row r="69" spans="1:2">
      <c r="A69" s="653" t="s">
        <v>3218</v>
      </c>
      <c r="B69" s="685">
        <v>8453002004000</v>
      </c>
    </row>
    <row r="70" spans="1:2">
      <c r="A70" s="654" t="s">
        <v>3219</v>
      </c>
      <c r="B70" s="685">
        <v>8437003001000000</v>
      </c>
    </row>
    <row r="71" spans="1:2">
      <c r="A71" s="657" t="s">
        <v>3221</v>
      </c>
      <c r="B71" s="685">
        <v>7015001001000000</v>
      </c>
    </row>
    <row r="72" spans="1:2">
      <c r="A72" s="678" t="s">
        <v>3226</v>
      </c>
      <c r="B72" s="685">
        <v>7312001001000000</v>
      </c>
    </row>
    <row r="73" spans="1:2">
      <c r="A73" s="684" t="s">
        <v>3229</v>
      </c>
      <c r="B73" s="685">
        <v>850700200400000</v>
      </c>
    </row>
    <row r="74" spans="1:2">
      <c r="A74" s="727" t="s">
        <v>3234</v>
      </c>
      <c r="B74" s="685">
        <v>1905002004023000</v>
      </c>
    </row>
    <row r="75" spans="1:2">
      <c r="A75" s="794" t="s">
        <v>3290</v>
      </c>
      <c r="B75" s="685">
        <v>8509001009000000</v>
      </c>
    </row>
    <row r="76" spans="1:2">
      <c r="A76" s="958" t="s">
        <v>3293</v>
      </c>
      <c r="B76" s="685">
        <v>102001001000000</v>
      </c>
    </row>
    <row r="77" spans="1:2">
      <c r="A77" s="652" t="s">
        <v>3314</v>
      </c>
      <c r="B77" s="685">
        <v>102001002000000</v>
      </c>
    </row>
    <row r="78" spans="1:2">
      <c r="A78" t="s">
        <v>3349</v>
      </c>
      <c r="B78" s="685">
        <v>6117001030000000</v>
      </c>
    </row>
    <row r="79" spans="1:2">
      <c r="A79" s="998" t="s">
        <v>3293</v>
      </c>
      <c r="B79" s="685">
        <v>102001004000</v>
      </c>
    </row>
    <row r="80" spans="1:2">
      <c r="A80" t="s">
        <v>4177</v>
      </c>
      <c r="B80" s="685">
        <v>1905007001091000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5" filterMode="1"/>
  <dimension ref="A1:AM94"/>
  <sheetViews>
    <sheetView topLeftCell="H1" zoomScale="70" zoomScaleNormal="70" workbookViewId="0">
      <selection activeCell="M18" sqref="M18"/>
    </sheetView>
  </sheetViews>
  <sheetFormatPr defaultRowHeight="27.6" customHeight="1"/>
  <cols>
    <col min="1" max="1" width="11.21875" hidden="1" customWidth="1"/>
    <col min="2" max="2" width="7.21875" style="577" customWidth="1"/>
    <col min="3" max="3" width="15.33203125" style="577" customWidth="1"/>
    <col min="4" max="4" width="14.44140625" style="577" customWidth="1"/>
    <col min="5" max="5" width="19.88671875" style="577" customWidth="1"/>
    <col min="6" max="6" width="20.6640625" style="534" hidden="1" customWidth="1"/>
    <col min="7" max="7" width="22.6640625" style="534" customWidth="1"/>
    <col min="8" max="8" width="17.6640625" style="608" customWidth="1"/>
    <col min="9" max="9" width="61.6640625" style="250" customWidth="1"/>
    <col min="10" max="10" width="44.5546875" style="782" customWidth="1"/>
    <col min="11" max="11" width="28.33203125" style="757" bestFit="1" customWidth="1"/>
    <col min="12" max="13" width="16.33203125" style="560" customWidth="1"/>
    <col min="14" max="14" width="17.44140625" style="548" customWidth="1"/>
    <col min="15" max="15" width="15.77734375" style="548" customWidth="1"/>
    <col min="16" max="16" width="16.5546875" style="250" customWidth="1"/>
    <col min="17" max="17" width="16.109375" style="681" customWidth="1"/>
    <col min="18" max="18" width="8.77734375" style="250" customWidth="1"/>
    <col min="19" max="19" width="10.21875" style="250" customWidth="1"/>
    <col min="20" max="21" width="8.44140625" style="596" customWidth="1"/>
    <col min="22" max="22" width="6.6640625" style="250" customWidth="1"/>
    <col min="23" max="23" width="5.44140625" style="250" customWidth="1"/>
    <col min="24" max="24" width="6.109375" style="250" customWidth="1"/>
    <col min="25" max="25" width="8.77734375" style="725" customWidth="1"/>
    <col min="26" max="26" width="8.77734375" style="250" customWidth="1"/>
    <col min="27" max="27" width="7.5546875" style="250" customWidth="1"/>
    <col min="28" max="28" width="7.44140625" style="250" customWidth="1"/>
    <col min="29" max="29" width="10.21875" style="250" customWidth="1"/>
    <col min="30" max="30" width="13.21875" style="250" customWidth="1"/>
    <col min="31" max="31" width="10.21875" style="725" customWidth="1"/>
    <col min="32" max="32" width="8" style="250" customWidth="1"/>
    <col min="39" max="39" width="17.33203125" customWidth="1"/>
  </cols>
  <sheetData>
    <row r="1" spans="1:33" s="736" customFormat="1" ht="27.45" customHeight="1">
      <c r="A1" s="570"/>
      <c r="B1" s="635" t="s">
        <v>0</v>
      </c>
      <c r="C1" s="571"/>
      <c r="D1" s="603"/>
      <c r="E1" s="603"/>
      <c r="F1" s="572" t="s">
        <v>3119</v>
      </c>
      <c r="G1" s="572"/>
      <c r="H1" s="607" t="s">
        <v>3118</v>
      </c>
      <c r="I1" s="730" t="s">
        <v>3238</v>
      </c>
      <c r="J1" s="597" t="s">
        <v>3120</v>
      </c>
      <c r="K1" s="755" t="s">
        <v>3245</v>
      </c>
      <c r="L1" s="593" t="s">
        <v>3162</v>
      </c>
      <c r="M1" s="593"/>
      <c r="N1" s="573" t="s">
        <v>421</v>
      </c>
      <c r="O1" s="574" t="s">
        <v>422</v>
      </c>
      <c r="P1" s="575" t="s">
        <v>3090</v>
      </c>
      <c r="Q1" s="680" t="s">
        <v>3150</v>
      </c>
      <c r="R1" s="765" t="s">
        <v>3092</v>
      </c>
      <c r="S1" s="683" t="s">
        <v>3228</v>
      </c>
      <c r="T1" s="584" t="s">
        <v>3152</v>
      </c>
      <c r="U1" s="680" t="s">
        <v>3243</v>
      </c>
      <c r="V1" s="586" t="s">
        <v>3153</v>
      </c>
      <c r="W1" s="588" t="s">
        <v>3159</v>
      </c>
      <c r="X1" s="583" t="s">
        <v>3151</v>
      </c>
      <c r="Y1" s="731" t="s">
        <v>3161</v>
      </c>
      <c r="Z1" s="730" t="s">
        <v>3141</v>
      </c>
      <c r="AA1" s="629" t="s">
        <v>3192</v>
      </c>
      <c r="AB1" s="576" t="s">
        <v>3107</v>
      </c>
      <c r="AC1" s="624" t="s">
        <v>3188</v>
      </c>
      <c r="AD1" s="634"/>
      <c r="AE1" s="676" t="s">
        <v>3163</v>
      </c>
      <c r="AF1" s="632" t="s">
        <v>3194</v>
      </c>
    </row>
    <row r="2" spans="1:33" ht="27.6" customHeight="1">
      <c r="B2" s="578">
        <f t="shared" ref="B2:B44" si="0">ROW()-1</f>
        <v>1</v>
      </c>
      <c r="C2" s="578"/>
      <c r="D2" s="578"/>
      <c r="E2" s="747"/>
      <c r="F2" s="722" t="s">
        <v>3121</v>
      </c>
      <c r="G2" s="722"/>
      <c r="H2" s="668">
        <v>41095</v>
      </c>
      <c r="I2" s="872" t="s">
        <v>2</v>
      </c>
      <c r="J2" s="598" t="s">
        <v>3232</v>
      </c>
      <c r="K2" s="756" t="s">
        <v>3247</v>
      </c>
      <c r="L2" s="598">
        <v>1125</v>
      </c>
      <c r="M2" s="598"/>
      <c r="N2" s="550">
        <v>302341341</v>
      </c>
      <c r="O2" s="590">
        <v>11111111</v>
      </c>
      <c r="P2" s="724" t="s">
        <v>3092</v>
      </c>
      <c r="Q2" s="740">
        <v>1</v>
      </c>
      <c r="R2" s="724">
        <v>1</v>
      </c>
      <c r="S2" s="724"/>
      <c r="T2" s="741"/>
      <c r="U2" s="741"/>
      <c r="V2" s="724"/>
      <c r="W2" s="724"/>
      <c r="X2" s="724"/>
      <c r="Y2" s="760"/>
      <c r="Z2" s="724"/>
      <c r="AA2" s="1046"/>
      <c r="AB2" s="741"/>
      <c r="AC2" s="724"/>
      <c r="AD2" s="742"/>
      <c r="AE2" s="724"/>
      <c r="AF2" s="724"/>
    </row>
    <row r="3" spans="1:33" ht="27.6" customHeight="1">
      <c r="B3" s="578">
        <f t="shared" si="0"/>
        <v>2</v>
      </c>
      <c r="C3" s="572"/>
      <c r="D3" s="572"/>
      <c r="E3" s="748"/>
      <c r="F3" s="612" t="s">
        <v>3123</v>
      </c>
      <c r="G3" s="612"/>
      <c r="H3" s="562">
        <v>43182</v>
      </c>
      <c r="I3" s="734" t="s">
        <v>1</v>
      </c>
      <c r="J3" s="599" t="s">
        <v>3231</v>
      </c>
      <c r="K3" s="756" t="s">
        <v>3248</v>
      </c>
      <c r="L3" s="599">
        <v>1125</v>
      </c>
      <c r="M3" s="599"/>
      <c r="N3" s="551">
        <v>305426920</v>
      </c>
      <c r="O3" s="555"/>
      <c r="P3" s="724" t="s">
        <v>3092</v>
      </c>
      <c r="Q3" s="740">
        <v>1</v>
      </c>
      <c r="R3" s="561">
        <v>1</v>
      </c>
      <c r="S3" s="561"/>
      <c r="T3" s="591"/>
      <c r="U3" s="741"/>
      <c r="V3" s="738"/>
      <c r="W3" s="738"/>
      <c r="X3" s="738"/>
      <c r="Y3" s="760"/>
      <c r="Z3" s="738"/>
      <c r="AA3" s="1046"/>
      <c r="AB3" s="741"/>
      <c r="AC3" s="672"/>
      <c r="AD3" s="743"/>
      <c r="AE3" s="671"/>
      <c r="AF3" s="672"/>
    </row>
    <row r="4" spans="1:33" s="6" customFormat="1" ht="27.6" customHeight="1">
      <c r="A4"/>
      <c r="B4" s="578">
        <f t="shared" si="0"/>
        <v>3</v>
      </c>
      <c r="C4" s="814" t="s">
        <v>3303</v>
      </c>
      <c r="D4" s="572"/>
      <c r="E4" s="748">
        <v>1</v>
      </c>
      <c r="F4" s="533" t="s">
        <v>3123</v>
      </c>
      <c r="G4" s="533"/>
      <c r="H4" s="562">
        <v>43817</v>
      </c>
      <c r="I4" s="746" t="s">
        <v>3167</v>
      </c>
      <c r="J4" s="599" t="s">
        <v>3124</v>
      </c>
      <c r="K4" s="756" t="s">
        <v>3249</v>
      </c>
      <c r="L4" s="599">
        <v>1125</v>
      </c>
      <c r="M4" s="599"/>
      <c r="N4" s="552">
        <v>306954264</v>
      </c>
      <c r="O4" s="555"/>
      <c r="P4" s="672" t="s">
        <v>3092</v>
      </c>
      <c r="Q4" s="673"/>
      <c r="R4" s="724"/>
      <c r="S4" s="724"/>
      <c r="T4" s="591"/>
      <c r="U4" s="741"/>
      <c r="V4" s="724"/>
      <c r="W4" s="724"/>
      <c r="X4" s="724"/>
      <c r="Y4" s="724"/>
      <c r="Z4" s="724"/>
      <c r="AA4" s="1046"/>
      <c r="AB4" s="591"/>
      <c r="AC4" s="672"/>
      <c r="AD4" s="672"/>
      <c r="AE4" s="672"/>
      <c r="AF4" s="672"/>
      <c r="AG4"/>
    </row>
    <row r="5" spans="1:33" s="2" customFormat="1" ht="27.6" hidden="1" customHeight="1">
      <c r="A5" s="6"/>
      <c r="B5" s="578">
        <f t="shared" si="0"/>
        <v>4</v>
      </c>
      <c r="C5" s="783" t="s">
        <v>3158</v>
      </c>
      <c r="D5" s="842">
        <v>54082</v>
      </c>
      <c r="E5" s="842"/>
      <c r="F5" s="825" t="s">
        <v>3140</v>
      </c>
      <c r="G5" s="912"/>
      <c r="H5" s="843">
        <v>44040</v>
      </c>
      <c r="I5" s="844" t="s">
        <v>3</v>
      </c>
      <c r="J5" s="784" t="s">
        <v>3122</v>
      </c>
      <c r="K5" s="785" t="s">
        <v>3250</v>
      </c>
      <c r="L5" s="784">
        <v>401</v>
      </c>
      <c r="M5" s="784"/>
      <c r="N5" s="845">
        <v>307599285</v>
      </c>
      <c r="O5" s="786" t="s">
        <v>3185</v>
      </c>
      <c r="P5" s="846" t="s">
        <v>3092</v>
      </c>
      <c r="Q5" s="787"/>
      <c r="R5" s="847"/>
      <c r="S5" s="847"/>
      <c r="T5" s="788"/>
      <c r="U5" s="848"/>
      <c r="V5" s="847"/>
      <c r="W5" s="847"/>
      <c r="X5" s="847"/>
      <c r="Y5" s="849"/>
      <c r="Z5" s="847"/>
      <c r="AA5" s="1046"/>
      <c r="AB5" s="788"/>
      <c r="AC5" s="846"/>
      <c r="AD5" s="846"/>
      <c r="AE5" s="850"/>
      <c r="AF5" s="846"/>
    </row>
    <row r="6" spans="1:33" s="2" customFormat="1" ht="27.6" hidden="1" customHeight="1">
      <c r="A6"/>
      <c r="B6" s="578">
        <f t="shared" si="0"/>
        <v>5</v>
      </c>
      <c r="C6" s="783"/>
      <c r="D6" s="976"/>
      <c r="E6" s="976">
        <v>1</v>
      </c>
      <c r="F6" s="533" t="s">
        <v>3125</v>
      </c>
      <c r="G6" s="783" t="s">
        <v>3600</v>
      </c>
      <c r="H6" s="789">
        <v>44671</v>
      </c>
      <c r="I6" s="977" t="s">
        <v>4</v>
      </c>
      <c r="J6" s="784" t="s">
        <v>3126</v>
      </c>
      <c r="K6" s="785" t="s">
        <v>3251</v>
      </c>
      <c r="L6" s="784">
        <v>401</v>
      </c>
      <c r="M6" s="784"/>
      <c r="N6" s="978">
        <v>309484665</v>
      </c>
      <c r="O6" s="978">
        <v>44707213</v>
      </c>
      <c r="P6" s="846" t="s">
        <v>3092</v>
      </c>
      <c r="Q6" s="787"/>
      <c r="R6" s="847"/>
      <c r="S6" s="847"/>
      <c r="T6" s="788"/>
      <c r="U6" s="848"/>
      <c r="V6" s="847"/>
      <c r="W6" s="847"/>
      <c r="X6" s="847"/>
      <c r="Y6" s="847"/>
      <c r="Z6" s="847"/>
      <c r="AA6" s="1046"/>
      <c r="AB6" s="788"/>
      <c r="AC6" s="846"/>
      <c r="AD6" s="979"/>
      <c r="AE6" s="846"/>
      <c r="AF6" s="846"/>
    </row>
    <row r="7" spans="1:33" s="818" customFormat="1" ht="27.6" hidden="1" customHeight="1">
      <c r="B7" s="826">
        <f t="shared" si="0"/>
        <v>6</v>
      </c>
      <c r="C7" s="819"/>
      <c r="D7" s="820"/>
      <c r="E7" s="820"/>
      <c r="F7" s="819" t="s">
        <v>3128</v>
      </c>
      <c r="G7" s="819"/>
      <c r="H7" s="821">
        <v>44858</v>
      </c>
      <c r="I7" s="787" t="s">
        <v>3168</v>
      </c>
      <c r="J7" s="822" t="s">
        <v>3139</v>
      </c>
      <c r="K7" s="823" t="s">
        <v>3252</v>
      </c>
      <c r="L7" s="822">
        <v>556</v>
      </c>
      <c r="M7" s="822"/>
      <c r="N7" s="786">
        <v>309965873</v>
      </c>
      <c r="O7" s="786" t="s">
        <v>3164</v>
      </c>
      <c r="P7" s="787" t="s">
        <v>3092</v>
      </c>
      <c r="Q7" s="787"/>
      <c r="R7" s="824"/>
      <c r="S7" s="824"/>
      <c r="T7" s="824"/>
      <c r="U7" s="824"/>
      <c r="V7" s="824"/>
      <c r="W7" s="824"/>
      <c r="X7" s="824"/>
      <c r="Y7" s="824"/>
      <c r="Z7" s="824"/>
      <c r="AA7" s="1047"/>
      <c r="AB7" s="787"/>
      <c r="AC7" s="787"/>
      <c r="AD7" s="787"/>
      <c r="AE7" s="787"/>
      <c r="AF7" s="787"/>
    </row>
    <row r="8" spans="1:33" s="818" customFormat="1" ht="27.6" hidden="1" customHeight="1">
      <c r="B8" s="826">
        <f t="shared" si="0"/>
        <v>7</v>
      </c>
      <c r="C8" s="819"/>
      <c r="D8" s="820"/>
      <c r="E8" s="820"/>
      <c r="F8" s="819" t="s">
        <v>3131</v>
      </c>
      <c r="G8" s="819"/>
      <c r="H8" s="821">
        <v>44858</v>
      </c>
      <c r="I8" s="787" t="s">
        <v>419</v>
      </c>
      <c r="J8" s="822" t="s">
        <v>3132</v>
      </c>
      <c r="K8" s="823" t="s">
        <v>3253</v>
      </c>
      <c r="L8" s="822">
        <v>401</v>
      </c>
      <c r="M8" s="822"/>
      <c r="N8" s="786">
        <v>309966397</v>
      </c>
      <c r="O8" s="786" t="s">
        <v>3164</v>
      </c>
      <c r="P8" s="787" t="s">
        <v>3092</v>
      </c>
      <c r="Q8" s="787"/>
      <c r="R8" s="824"/>
      <c r="S8" s="824"/>
      <c r="T8" s="824"/>
      <c r="U8" s="824"/>
      <c r="V8" s="824"/>
      <c r="W8" s="824"/>
      <c r="X8" s="824"/>
      <c r="Y8" s="824"/>
      <c r="Z8" s="824"/>
      <c r="AA8" s="1047"/>
      <c r="AB8" s="787"/>
      <c r="AC8" s="787"/>
      <c r="AD8" s="787"/>
      <c r="AE8" s="787"/>
      <c r="AF8" s="787"/>
    </row>
    <row r="9" spans="1:33" ht="27.6" customHeight="1">
      <c r="B9" s="578">
        <f t="shared" si="0"/>
        <v>8</v>
      </c>
      <c r="C9" s="572"/>
      <c r="D9" s="665"/>
      <c r="E9" s="749">
        <v>1</v>
      </c>
      <c r="F9" s="533" t="s">
        <v>3129</v>
      </c>
      <c r="G9" s="533"/>
      <c r="H9" s="562">
        <v>44880</v>
      </c>
      <c r="I9" s="580" t="s">
        <v>3169</v>
      </c>
      <c r="J9" s="780" t="s">
        <v>3227</v>
      </c>
      <c r="K9" s="756" t="s">
        <v>3254</v>
      </c>
      <c r="L9" s="600">
        <v>579</v>
      </c>
      <c r="M9" s="600"/>
      <c r="N9" s="554">
        <v>310017573</v>
      </c>
      <c r="O9" s="554">
        <v>7</v>
      </c>
      <c r="P9" s="601" t="s">
        <v>3092</v>
      </c>
      <c r="Q9" s="673">
        <v>1</v>
      </c>
      <c r="R9" s="739">
        <v>1</v>
      </c>
      <c r="S9" s="739"/>
      <c r="T9" s="741"/>
      <c r="U9" s="741"/>
      <c r="V9" s="739"/>
      <c r="W9" s="739"/>
      <c r="X9" s="739"/>
      <c r="Y9" s="739"/>
      <c r="Z9" s="739"/>
      <c r="AA9" s="1046"/>
      <c r="AB9" s="744"/>
      <c r="AC9" s="601"/>
      <c r="AD9" s="601"/>
      <c r="AE9" s="601"/>
      <c r="AF9" s="601"/>
    </row>
    <row r="10" spans="1:33" ht="27.6" customHeight="1">
      <c r="B10" s="578">
        <f t="shared" si="0"/>
        <v>9</v>
      </c>
      <c r="C10" s="572"/>
      <c r="D10" s="726"/>
      <c r="E10" s="669"/>
      <c r="F10" s="533" t="s">
        <v>3130</v>
      </c>
      <c r="G10" s="533"/>
      <c r="H10" s="563">
        <v>44880</v>
      </c>
      <c r="I10" s="754" t="s">
        <v>3142</v>
      </c>
      <c r="J10" s="781" t="s">
        <v>3230</v>
      </c>
      <c r="K10" s="756" t="s">
        <v>3255</v>
      </c>
      <c r="L10" s="599">
        <v>4</v>
      </c>
      <c r="M10" s="599"/>
      <c r="N10" s="553">
        <v>310017637</v>
      </c>
      <c r="O10" s="590">
        <v>7</v>
      </c>
      <c r="P10" s="673" t="s">
        <v>3092</v>
      </c>
      <c r="Q10" s="673">
        <v>1</v>
      </c>
      <c r="R10" s="739">
        <v>1</v>
      </c>
      <c r="S10" s="601"/>
      <c r="T10" s="591"/>
      <c r="U10" s="591"/>
      <c r="V10" s="601"/>
      <c r="W10" s="601"/>
      <c r="X10" s="601"/>
      <c r="Y10" s="601"/>
      <c r="Z10" s="591"/>
      <c r="AA10" s="1048"/>
      <c r="AB10" s="591"/>
      <c r="AC10" s="601"/>
      <c r="AD10" s="601"/>
      <c r="AE10" s="601"/>
      <c r="AF10" s="601"/>
    </row>
    <row r="11" spans="1:33" s="6" customFormat="1" ht="27.6" customHeight="1">
      <c r="A11"/>
      <c r="B11" s="578">
        <f t="shared" si="0"/>
        <v>10</v>
      </c>
      <c r="C11" s="572"/>
      <c r="D11" s="726" t="s">
        <v>3235</v>
      </c>
      <c r="E11" s="750"/>
      <c r="F11" s="663" t="s">
        <v>3140</v>
      </c>
      <c r="G11" s="663"/>
      <c r="H11" s="562">
        <v>44917</v>
      </c>
      <c r="I11" s="729" t="s">
        <v>469</v>
      </c>
      <c r="J11" s="599" t="s">
        <v>3233</v>
      </c>
      <c r="K11" s="756" t="s">
        <v>3256</v>
      </c>
      <c r="L11" s="599">
        <v>401</v>
      </c>
      <c r="M11" s="599"/>
      <c r="N11" s="553">
        <v>310108634</v>
      </c>
      <c r="O11" s="554">
        <v>80540173</v>
      </c>
      <c r="P11" s="673" t="s">
        <v>3092</v>
      </c>
      <c r="Q11" s="673">
        <v>1</v>
      </c>
      <c r="R11" s="601">
        <v>1</v>
      </c>
      <c r="S11" s="601"/>
      <c r="T11" s="591"/>
      <c r="U11" s="591"/>
      <c r="V11" s="601"/>
      <c r="W11" s="601"/>
      <c r="X11" s="601"/>
      <c r="Y11" s="764"/>
      <c r="Z11" s="601"/>
      <c r="AA11" s="553"/>
      <c r="AB11" s="591"/>
      <c r="AC11" s="601"/>
      <c r="AD11" s="601"/>
      <c r="AE11" s="601"/>
      <c r="AF11" s="601"/>
    </row>
    <row r="12" spans="1:33" s="818" customFormat="1" ht="27.6" hidden="1" customHeight="1">
      <c r="B12" s="578">
        <f t="shared" si="0"/>
        <v>11</v>
      </c>
      <c r="C12" s="819"/>
      <c r="D12" s="819" t="s">
        <v>3223</v>
      </c>
      <c r="E12" s="819"/>
      <c r="F12" s="819" t="s">
        <v>3140</v>
      </c>
      <c r="G12" s="819"/>
      <c r="H12" s="821">
        <v>44943</v>
      </c>
      <c r="I12" s="787" t="s">
        <v>515</v>
      </c>
      <c r="J12" s="822" t="s">
        <v>3132</v>
      </c>
      <c r="K12" s="823" t="s">
        <v>3257</v>
      </c>
      <c r="L12" s="822">
        <v>1183</v>
      </c>
      <c r="M12" s="822"/>
      <c r="N12" s="786">
        <v>310152827</v>
      </c>
      <c r="O12" s="786" t="s">
        <v>3164</v>
      </c>
      <c r="P12" s="787" t="s">
        <v>3092</v>
      </c>
      <c r="Q12" s="787"/>
      <c r="R12" s="787"/>
      <c r="S12" s="787"/>
      <c r="T12" s="787"/>
      <c r="U12" s="787"/>
      <c r="V12" s="787"/>
      <c r="W12" s="787"/>
      <c r="X12" s="787"/>
      <c r="Y12" s="787"/>
      <c r="Z12" s="787"/>
      <c r="AA12" s="1049"/>
      <c r="AB12" s="787"/>
      <c r="AC12" s="787"/>
      <c r="AD12" s="787"/>
      <c r="AE12" s="787"/>
      <c r="AF12" s="787"/>
    </row>
    <row r="13" spans="1:33" ht="27.6" customHeight="1">
      <c r="B13" s="578">
        <f t="shared" si="0"/>
        <v>12</v>
      </c>
      <c r="C13" s="572"/>
      <c r="D13" s="666">
        <v>59200</v>
      </c>
      <c r="E13" s="751"/>
      <c r="F13" s="663" t="s">
        <v>3140</v>
      </c>
      <c r="G13" s="663"/>
      <c r="H13" s="562">
        <v>44983</v>
      </c>
      <c r="I13" s="1070" t="s">
        <v>706</v>
      </c>
      <c r="J13" s="598" t="s">
        <v>3116</v>
      </c>
      <c r="K13" s="756" t="s">
        <v>3258</v>
      </c>
      <c r="L13" s="598">
        <v>579</v>
      </c>
      <c r="M13" s="598"/>
      <c r="N13" s="553">
        <v>310266408</v>
      </c>
      <c r="O13" s="590">
        <v>11111111</v>
      </c>
      <c r="P13" s="673" t="s">
        <v>3092</v>
      </c>
      <c r="Q13" s="673">
        <v>1</v>
      </c>
      <c r="R13" s="601">
        <v>1</v>
      </c>
      <c r="S13" s="601"/>
      <c r="T13" s="591"/>
      <c r="U13" s="591"/>
      <c r="V13" s="601"/>
      <c r="W13" s="601"/>
      <c r="X13" s="601"/>
      <c r="Y13" s="763"/>
      <c r="Z13" s="591"/>
      <c r="AA13" s="553"/>
      <c r="AB13" s="591"/>
      <c r="AC13" s="601"/>
      <c r="AD13" s="601"/>
      <c r="AE13" s="671"/>
      <c r="AF13" s="601"/>
    </row>
    <row r="14" spans="1:33" ht="27.6" customHeight="1">
      <c r="B14" s="826">
        <f t="shared" si="0"/>
        <v>13</v>
      </c>
      <c r="C14" s="761" t="s">
        <v>3287</v>
      </c>
      <c r="D14" s="666" t="s">
        <v>3222</v>
      </c>
      <c r="E14" s="751">
        <v>1</v>
      </c>
      <c r="F14" s="664" t="s">
        <v>3133</v>
      </c>
      <c r="G14" s="664"/>
      <c r="H14" s="562">
        <v>45010</v>
      </c>
      <c r="I14" s="735" t="s">
        <v>996</v>
      </c>
      <c r="J14" s="598" t="s">
        <v>3116</v>
      </c>
      <c r="K14" s="756" t="s">
        <v>3259</v>
      </c>
      <c r="L14" s="598">
        <v>401</v>
      </c>
      <c r="M14" s="598"/>
      <c r="N14" s="556">
        <v>310337674</v>
      </c>
      <c r="O14" s="590">
        <v>11111111</v>
      </c>
      <c r="P14" s="673" t="s">
        <v>3092</v>
      </c>
      <c r="Q14" s="673">
        <v>1</v>
      </c>
      <c r="R14" s="601">
        <v>1</v>
      </c>
      <c r="S14" s="601"/>
      <c r="T14" s="591"/>
      <c r="U14" s="591"/>
      <c r="V14" s="601"/>
      <c r="W14" s="601"/>
      <c r="X14" s="601"/>
      <c r="Y14" s="601"/>
      <c r="Z14" s="591"/>
      <c r="AA14" s="553"/>
      <c r="AB14" s="591"/>
      <c r="AC14" s="601"/>
      <c r="AD14" s="601"/>
      <c r="AE14" s="601"/>
      <c r="AF14" s="674"/>
    </row>
    <row r="15" spans="1:33" s="818" customFormat="1" ht="27.6" hidden="1" customHeight="1">
      <c r="B15" s="826">
        <f t="shared" si="0"/>
        <v>14</v>
      </c>
      <c r="C15" s="819"/>
      <c r="D15" s="819" t="s">
        <v>3224</v>
      </c>
      <c r="E15" s="819"/>
      <c r="F15" s="819" t="s">
        <v>3136</v>
      </c>
      <c r="G15" s="819"/>
      <c r="H15" s="821">
        <v>45093</v>
      </c>
      <c r="I15" s="787" t="s">
        <v>2456</v>
      </c>
      <c r="J15" s="822" t="s">
        <v>3286</v>
      </c>
      <c r="K15" s="823" t="s">
        <v>3260</v>
      </c>
      <c r="L15" s="822">
        <v>1037</v>
      </c>
      <c r="M15" s="822"/>
      <c r="N15" s="787">
        <v>310572178</v>
      </c>
      <c r="O15" s="786"/>
      <c r="P15" s="787" t="s">
        <v>3092</v>
      </c>
      <c r="Q15" s="787"/>
      <c r="R15" s="787"/>
      <c r="S15" s="787"/>
      <c r="T15" s="787"/>
      <c r="U15" s="787"/>
      <c r="V15" s="787"/>
      <c r="W15" s="787"/>
      <c r="X15" s="787"/>
      <c r="Y15" s="787"/>
      <c r="Z15" s="787"/>
      <c r="AA15" s="1049"/>
      <c r="AB15" s="787"/>
      <c r="AC15" s="787"/>
      <c r="AD15" s="787"/>
      <c r="AE15" s="787"/>
      <c r="AF15" s="787"/>
    </row>
    <row r="16" spans="1:33" ht="27.6" customHeight="1">
      <c r="A16" s="547">
        <v>45211</v>
      </c>
      <c r="B16" s="578">
        <f t="shared" si="0"/>
        <v>15</v>
      </c>
      <c r="C16" s="589" t="s">
        <v>3160</v>
      </c>
      <c r="D16" s="589" t="s">
        <v>3302</v>
      </c>
      <c r="E16" s="752" t="s">
        <v>3236</v>
      </c>
      <c r="F16" s="533" t="s">
        <v>3154</v>
      </c>
      <c r="G16" s="533"/>
      <c r="H16" s="562">
        <v>45211</v>
      </c>
      <c r="I16" s="1038" t="s">
        <v>3108</v>
      </c>
      <c r="J16" s="599" t="s">
        <v>3117</v>
      </c>
      <c r="K16" s="756" t="s">
        <v>3261</v>
      </c>
      <c r="L16" s="599">
        <v>401</v>
      </c>
      <c r="M16" s="599"/>
      <c r="N16" s="556">
        <v>310848125</v>
      </c>
      <c r="O16" s="1210" t="s">
        <v>3164</v>
      </c>
      <c r="P16" s="601" t="s">
        <v>3092</v>
      </c>
      <c r="Q16" s="673"/>
      <c r="R16" s="601"/>
      <c r="S16" s="601"/>
      <c r="T16" s="591"/>
      <c r="U16" s="591"/>
      <c r="V16" s="601"/>
      <c r="W16" s="601"/>
      <c r="X16" s="601"/>
      <c r="Y16" s="601"/>
      <c r="Z16" s="601"/>
      <c r="AA16" s="553"/>
      <c r="AB16" s="601"/>
      <c r="AC16" s="601"/>
      <c r="AD16" s="601"/>
      <c r="AE16" s="675"/>
      <c r="AF16" s="601"/>
    </row>
    <row r="17" spans="1:32" ht="27.6" customHeight="1">
      <c r="A17" s="547">
        <v>45211</v>
      </c>
      <c r="B17" s="578">
        <f t="shared" si="0"/>
        <v>16</v>
      </c>
      <c r="C17" s="589" t="s">
        <v>3160</v>
      </c>
      <c r="D17" s="589"/>
      <c r="E17" s="752" t="s">
        <v>3236</v>
      </c>
      <c r="F17" s="533" t="s">
        <v>3136</v>
      </c>
      <c r="G17" s="533"/>
      <c r="H17" s="562">
        <v>45211</v>
      </c>
      <c r="I17" s="1136" t="s">
        <v>3109</v>
      </c>
      <c r="J17" s="599" t="s">
        <v>4091</v>
      </c>
      <c r="K17" s="756" t="s">
        <v>3262</v>
      </c>
      <c r="L17" s="599">
        <v>401</v>
      </c>
      <c r="M17" s="599"/>
      <c r="N17" s="556">
        <v>310848140</v>
      </c>
      <c r="O17" s="1263" t="s">
        <v>4309</v>
      </c>
      <c r="P17" s="601" t="s">
        <v>3092</v>
      </c>
      <c r="Q17" s="673">
        <v>1</v>
      </c>
      <c r="R17" s="601">
        <v>1</v>
      </c>
      <c r="S17" s="601"/>
      <c r="T17" s="591"/>
      <c r="U17" s="591"/>
      <c r="V17" s="601"/>
      <c r="W17" s="601"/>
      <c r="X17" s="601"/>
      <c r="Y17" s="601"/>
      <c r="Z17" s="601"/>
      <c r="AA17" s="553"/>
      <c r="AB17" s="601"/>
      <c r="AC17" s="601"/>
      <c r="AD17" s="601"/>
      <c r="AE17" s="675"/>
      <c r="AF17" s="601"/>
    </row>
    <row r="18" spans="1:32" ht="27.6" customHeight="1">
      <c r="A18" s="547">
        <v>45212</v>
      </c>
      <c r="B18" s="578">
        <f t="shared" si="0"/>
        <v>17</v>
      </c>
      <c r="C18" s="589" t="s">
        <v>3160</v>
      </c>
      <c r="D18" s="589"/>
      <c r="E18" s="752" t="s">
        <v>3236</v>
      </c>
      <c r="F18" s="533" t="s">
        <v>3155</v>
      </c>
      <c r="G18" s="533"/>
      <c r="H18" s="562">
        <v>45212</v>
      </c>
      <c r="I18" s="619" t="s">
        <v>3110</v>
      </c>
      <c r="J18" s="599" t="s">
        <v>4091</v>
      </c>
      <c r="K18" s="756" t="s">
        <v>3263</v>
      </c>
      <c r="L18" s="599">
        <v>401</v>
      </c>
      <c r="M18" s="599"/>
      <c r="N18" s="556">
        <v>310850780</v>
      </c>
      <c r="O18" s="1263" t="s">
        <v>4097</v>
      </c>
      <c r="P18" s="601" t="s">
        <v>3092</v>
      </c>
      <c r="Q18" s="673">
        <v>1</v>
      </c>
      <c r="R18" s="601">
        <v>1</v>
      </c>
      <c r="S18" s="601"/>
      <c r="T18" s="591"/>
      <c r="U18" s="591"/>
      <c r="V18" s="601"/>
      <c r="W18" s="601"/>
      <c r="X18" s="601"/>
      <c r="Y18" s="601"/>
      <c r="Z18" s="601"/>
      <c r="AA18" s="553"/>
      <c r="AB18" s="601"/>
      <c r="AC18" s="601"/>
      <c r="AD18" s="601"/>
      <c r="AE18" s="675"/>
      <c r="AF18" s="601"/>
    </row>
    <row r="19" spans="1:32" ht="27.6" customHeight="1">
      <c r="A19" s="547">
        <v>45213</v>
      </c>
      <c r="B19" s="578">
        <f t="shared" si="0"/>
        <v>18</v>
      </c>
      <c r="C19" s="589" t="s">
        <v>3160</v>
      </c>
      <c r="D19" s="589"/>
      <c r="E19" s="752" t="s">
        <v>3236</v>
      </c>
      <c r="F19" s="533" t="s">
        <v>3156</v>
      </c>
      <c r="G19" s="533"/>
      <c r="H19" s="562">
        <v>45213</v>
      </c>
      <c r="I19" s="594" t="s">
        <v>3111</v>
      </c>
      <c r="J19" s="599" t="s">
        <v>4091</v>
      </c>
      <c r="K19" s="756" t="s">
        <v>3264</v>
      </c>
      <c r="L19" s="599">
        <v>401</v>
      </c>
      <c r="M19" s="599"/>
      <c r="N19" s="556">
        <v>310850844</v>
      </c>
      <c r="O19" s="1263" t="s">
        <v>4300</v>
      </c>
      <c r="P19" s="601" t="s">
        <v>3092</v>
      </c>
      <c r="Q19" s="673">
        <v>1</v>
      </c>
      <c r="R19" s="601">
        <v>1</v>
      </c>
      <c r="S19" s="601"/>
      <c r="T19" s="591"/>
      <c r="U19" s="591"/>
      <c r="V19" s="601"/>
      <c r="W19" s="601"/>
      <c r="X19" s="601"/>
      <c r="Y19" s="601"/>
      <c r="Z19" s="601"/>
      <c r="AA19" s="553"/>
      <c r="AB19" s="601"/>
      <c r="AC19" s="601"/>
      <c r="AD19" s="601"/>
      <c r="AE19" s="675"/>
      <c r="AF19" s="601"/>
    </row>
    <row r="20" spans="1:32" s="2" customFormat="1" ht="27.6" hidden="1" customHeight="1">
      <c r="A20" s="856" t="s">
        <v>3113</v>
      </c>
      <c r="B20" s="578">
        <f t="shared" si="0"/>
        <v>19</v>
      </c>
      <c r="C20" s="857" t="s">
        <v>3160</v>
      </c>
      <c r="D20" s="857" t="s">
        <v>3302</v>
      </c>
      <c r="E20" s="858" t="s">
        <v>3281</v>
      </c>
      <c r="F20" s="859" t="s">
        <v>3157</v>
      </c>
      <c r="G20" s="859"/>
      <c r="H20" s="789">
        <v>45216</v>
      </c>
      <c r="I20" s="841" t="s">
        <v>3112</v>
      </c>
      <c r="J20" s="784" t="s">
        <v>3137</v>
      </c>
      <c r="K20" s="785" t="s">
        <v>3265</v>
      </c>
      <c r="L20" s="784">
        <v>401</v>
      </c>
      <c r="M20" s="784"/>
      <c r="N20" s="796">
        <v>310857691</v>
      </c>
      <c r="O20" s="860">
        <v>7</v>
      </c>
      <c r="P20" s="793" t="s">
        <v>3093</v>
      </c>
      <c r="Q20" s="787"/>
      <c r="R20" s="793"/>
      <c r="S20" s="793"/>
      <c r="T20" s="1145"/>
      <c r="U20" s="788">
        <v>1</v>
      </c>
      <c r="V20" s="793">
        <v>1</v>
      </c>
      <c r="W20" s="793">
        <v>1</v>
      </c>
      <c r="X20" s="793">
        <v>1</v>
      </c>
      <c r="Y20" s="793"/>
      <c r="Z20" s="793">
        <v>1</v>
      </c>
      <c r="AA20" s="553"/>
      <c r="AB20" s="793"/>
      <c r="AC20" s="793"/>
      <c r="AD20" s="793"/>
      <c r="AE20" s="861"/>
      <c r="AF20" s="793"/>
    </row>
    <row r="21" spans="1:32" s="2" customFormat="1" ht="27.6" hidden="1" customHeight="1">
      <c r="A21" s="559" t="s">
        <v>3115</v>
      </c>
      <c r="B21" s="826">
        <f t="shared" si="0"/>
        <v>20</v>
      </c>
      <c r="C21" s="857" t="s">
        <v>3160</v>
      </c>
      <c r="D21" s="981"/>
      <c r="E21" s="982" t="s">
        <v>3236</v>
      </c>
      <c r="F21" s="587" t="s">
        <v>3135</v>
      </c>
      <c r="G21" s="983" t="s">
        <v>3600</v>
      </c>
      <c r="H21" s="789">
        <v>45218</v>
      </c>
      <c r="I21" s="980" t="s">
        <v>3114</v>
      </c>
      <c r="J21" s="784" t="s">
        <v>3137</v>
      </c>
      <c r="K21" s="785" t="s">
        <v>3266</v>
      </c>
      <c r="L21" s="784">
        <v>401</v>
      </c>
      <c r="M21" s="784"/>
      <c r="N21" s="796">
        <v>310863400</v>
      </c>
      <c r="O21" s="984">
        <v>7</v>
      </c>
      <c r="P21" s="793" t="s">
        <v>3092</v>
      </c>
      <c r="Q21" s="787"/>
      <c r="R21" s="793"/>
      <c r="S21" s="793"/>
      <c r="T21" s="788"/>
      <c r="U21" s="788"/>
      <c r="V21" s="793"/>
      <c r="W21" s="793"/>
      <c r="X21" s="793"/>
      <c r="Y21" s="793"/>
      <c r="Z21" s="793"/>
      <c r="AA21" s="553"/>
      <c r="AB21" s="793"/>
      <c r="AC21" s="793"/>
      <c r="AD21" s="793"/>
      <c r="AE21" s="861"/>
      <c r="AF21" s="793"/>
    </row>
    <row r="22" spans="1:32" ht="27.6" customHeight="1">
      <c r="A22" s="558"/>
      <c r="B22" s="826">
        <f t="shared" si="0"/>
        <v>21</v>
      </c>
      <c r="C22" s="662" t="s">
        <v>3160</v>
      </c>
      <c r="D22" s="662"/>
      <c r="E22" s="753" t="s">
        <v>3236</v>
      </c>
      <c r="F22" s="567" t="s">
        <v>3147</v>
      </c>
      <c r="G22" s="567"/>
      <c r="H22" s="562">
        <v>45243</v>
      </c>
      <c r="I22" s="594" t="s">
        <v>3144</v>
      </c>
      <c r="J22" s="599" t="s">
        <v>3143</v>
      </c>
      <c r="K22" s="756" t="s">
        <v>3267</v>
      </c>
      <c r="L22" s="599">
        <v>401</v>
      </c>
      <c r="M22" s="599"/>
      <c r="N22" s="568">
        <v>310920986</v>
      </c>
      <c r="O22" s="569">
        <v>7</v>
      </c>
      <c r="P22" s="733" t="s">
        <v>3092</v>
      </c>
      <c r="Q22" s="673" t="s">
        <v>3164</v>
      </c>
      <c r="R22" s="601"/>
      <c r="S22" s="601"/>
      <c r="T22" s="591"/>
      <c r="U22" s="591"/>
      <c r="V22" s="601"/>
      <c r="W22" s="601"/>
      <c r="X22" s="601"/>
      <c r="Y22" s="601"/>
      <c r="Z22" s="601"/>
      <c r="AA22" s="553"/>
      <c r="AB22" s="601"/>
      <c r="AC22" s="601"/>
      <c r="AD22" s="601"/>
      <c r="AE22" s="675"/>
      <c r="AF22" s="601"/>
    </row>
    <row r="23" spans="1:32" ht="27.6" customHeight="1">
      <c r="A23" s="558"/>
      <c r="B23" s="578">
        <f t="shared" si="0"/>
        <v>22</v>
      </c>
      <c r="C23" s="662" t="s">
        <v>3160</v>
      </c>
      <c r="D23" s="721"/>
      <c r="E23" s="753" t="s">
        <v>3236</v>
      </c>
      <c r="F23" s="567" t="s">
        <v>3146</v>
      </c>
      <c r="G23" s="567"/>
      <c r="H23" s="562">
        <v>45244</v>
      </c>
      <c r="I23" s="720" t="s">
        <v>3145</v>
      </c>
      <c r="J23" s="599" t="s">
        <v>3134</v>
      </c>
      <c r="K23" s="756" t="s">
        <v>3246</v>
      </c>
      <c r="L23" s="599">
        <v>401</v>
      </c>
      <c r="M23" s="599"/>
      <c r="N23" s="568">
        <v>310924015</v>
      </c>
      <c r="O23" s="569">
        <v>7</v>
      </c>
      <c r="P23" s="733" t="s">
        <v>3092</v>
      </c>
      <c r="Q23" s="673" t="s">
        <v>3164</v>
      </c>
      <c r="R23" s="601"/>
      <c r="S23" s="601"/>
      <c r="T23" s="591"/>
      <c r="U23" s="591"/>
      <c r="V23" s="601"/>
      <c r="W23" s="601"/>
      <c r="X23" s="601"/>
      <c r="Y23" s="601"/>
      <c r="Z23" s="601"/>
      <c r="AA23" s="553"/>
      <c r="AB23" s="601"/>
      <c r="AC23" s="601"/>
      <c r="AD23" s="601"/>
      <c r="AE23" s="675"/>
      <c r="AF23" s="601"/>
    </row>
    <row r="24" spans="1:32" ht="27.6" customHeight="1">
      <c r="A24" s="558"/>
      <c r="B24" s="578">
        <f t="shared" si="0"/>
        <v>23</v>
      </c>
      <c r="C24" s="589" t="s">
        <v>3160</v>
      </c>
      <c r="D24" s="667">
        <v>409</v>
      </c>
      <c r="E24" s="752" t="s">
        <v>3236</v>
      </c>
      <c r="F24" s="587" t="s">
        <v>3130</v>
      </c>
      <c r="G24" s="587"/>
      <c r="H24" s="562">
        <v>45251</v>
      </c>
      <c r="I24" s="729" t="s">
        <v>3138</v>
      </c>
      <c r="J24" s="599" t="s">
        <v>3134</v>
      </c>
      <c r="K24" s="756" t="s">
        <v>3268</v>
      </c>
      <c r="L24" s="599">
        <v>401</v>
      </c>
      <c r="M24" s="599"/>
      <c r="N24" s="556">
        <v>310940029</v>
      </c>
      <c r="O24" s="585"/>
      <c r="P24" s="745" t="s">
        <v>3092</v>
      </c>
      <c r="Q24" s="673"/>
      <c r="R24" s="601"/>
      <c r="S24" s="601"/>
      <c r="T24" s="591"/>
      <c r="U24" s="591"/>
      <c r="V24" s="601"/>
      <c r="W24" s="601"/>
      <c r="X24" s="601"/>
      <c r="Y24" s="601"/>
      <c r="Z24" s="601"/>
      <c r="AA24" s="553"/>
      <c r="AB24" s="601"/>
      <c r="AC24" s="601"/>
      <c r="AD24" s="601"/>
      <c r="AE24" s="675"/>
      <c r="AF24" s="601"/>
    </row>
    <row r="25" spans="1:32" s="6" customFormat="1" ht="27.6" customHeight="1">
      <c r="A25" s="621"/>
      <c r="B25" s="578">
        <f t="shared" si="0"/>
        <v>24</v>
      </c>
      <c r="C25" s="728" t="s">
        <v>3237</v>
      </c>
      <c r="D25" s="589" t="s">
        <v>3185</v>
      </c>
      <c r="E25" s="737" t="s">
        <v>3236</v>
      </c>
      <c r="F25" s="732" t="s">
        <v>3149</v>
      </c>
      <c r="G25" s="732"/>
      <c r="H25" s="562">
        <v>45271</v>
      </c>
      <c r="I25" s="762" t="s">
        <v>3148</v>
      </c>
      <c r="J25" s="670" t="s">
        <v>3134</v>
      </c>
      <c r="K25" s="756"/>
      <c r="L25" s="670"/>
      <c r="M25" s="670"/>
      <c r="N25" s="867">
        <v>310974223</v>
      </c>
      <c r="O25" s="585"/>
      <c r="P25" s="733" t="s">
        <v>3092</v>
      </c>
      <c r="Q25" s="673"/>
      <c r="R25" s="673"/>
      <c r="S25" s="673"/>
      <c r="T25" s="673"/>
      <c r="U25" s="673"/>
      <c r="V25" s="601"/>
      <c r="W25" s="601"/>
      <c r="X25" s="601"/>
      <c r="Y25" s="601"/>
      <c r="Z25" s="601"/>
      <c r="AA25" s="553"/>
      <c r="AB25" s="601"/>
      <c r="AC25" s="601"/>
      <c r="AD25" s="601"/>
      <c r="AE25" s="675"/>
      <c r="AF25" s="601"/>
    </row>
    <row r="26" spans="1:32" ht="27.6" customHeight="1">
      <c r="B26" s="578">
        <f t="shared" si="0"/>
        <v>25</v>
      </c>
      <c r="C26" s="572"/>
      <c r="D26" s="611"/>
      <c r="E26" s="611"/>
      <c r="F26" s="595" t="s">
        <v>3133</v>
      </c>
      <c r="G26" s="595"/>
      <c r="H26" s="563">
        <v>45376</v>
      </c>
      <c r="I26" s="564" t="s">
        <v>3165</v>
      </c>
      <c r="J26" s="599" t="s">
        <v>3127</v>
      </c>
      <c r="K26" s="756"/>
      <c r="L26" s="599"/>
      <c r="M26" s="599"/>
      <c r="N26" s="556">
        <v>311190978</v>
      </c>
      <c r="O26" s="723">
        <v>7</v>
      </c>
      <c r="P26" s="602" t="s">
        <v>3092</v>
      </c>
      <c r="Q26" s="673"/>
      <c r="R26" s="601"/>
      <c r="S26" s="601"/>
      <c r="T26" s="591"/>
      <c r="U26" s="591"/>
      <c r="V26" s="601"/>
      <c r="W26" s="601"/>
      <c r="X26" s="601"/>
      <c r="Y26" s="601"/>
      <c r="Z26" s="601"/>
      <c r="AA26" s="553"/>
      <c r="AB26" s="601"/>
      <c r="AC26" s="601"/>
      <c r="AD26" s="601"/>
      <c r="AE26" s="675"/>
      <c r="AF26" s="601"/>
    </row>
    <row r="27" spans="1:32" s="2" customFormat="1" ht="27.6" hidden="1" customHeight="1">
      <c r="B27" s="578">
        <f t="shared" si="0"/>
        <v>26</v>
      </c>
      <c r="C27" s="783"/>
      <c r="D27" s="783"/>
      <c r="E27" s="808" t="s">
        <v>3297</v>
      </c>
      <c r="F27" s="783"/>
      <c r="G27" s="783"/>
      <c r="H27" s="789">
        <v>45666</v>
      </c>
      <c r="I27" s="1137" t="s">
        <v>3239</v>
      </c>
      <c r="J27" s="784" t="s">
        <v>3240</v>
      </c>
      <c r="K27" s="785" t="s">
        <v>3269</v>
      </c>
      <c r="L27" s="791">
        <v>491</v>
      </c>
      <c r="M27" s="1226" t="s">
        <v>4211</v>
      </c>
      <c r="N27" s="796">
        <v>311820912</v>
      </c>
      <c r="O27" s="792">
        <v>11111111</v>
      </c>
      <c r="P27" s="793" t="s">
        <v>3093</v>
      </c>
      <c r="Q27" s="787"/>
      <c r="R27" s="793"/>
      <c r="S27" s="793"/>
      <c r="T27" s="1145"/>
      <c r="U27" s="788"/>
      <c r="V27" s="793"/>
      <c r="W27" s="793"/>
      <c r="X27" s="793"/>
      <c r="Y27" s="793"/>
      <c r="Z27" s="793"/>
      <c r="AA27" s="553"/>
      <c r="AB27" s="793"/>
      <c r="AC27" s="793"/>
      <c r="AD27" s="793"/>
      <c r="AE27" s="793"/>
      <c r="AF27" s="793"/>
    </row>
    <row r="28" spans="1:32" s="2" customFormat="1" ht="27.6" hidden="1" customHeight="1">
      <c r="B28" s="826">
        <f t="shared" si="0"/>
        <v>27</v>
      </c>
      <c r="C28" s="783"/>
      <c r="D28" s="783"/>
      <c r="E28" s="808" t="s">
        <v>3297</v>
      </c>
      <c r="F28" s="783"/>
      <c r="G28" s="783"/>
      <c r="H28" s="789">
        <v>45677</v>
      </c>
      <c r="I28" s="790" t="s">
        <v>3241</v>
      </c>
      <c r="J28" s="784" t="s">
        <v>3242</v>
      </c>
      <c r="K28" s="785" t="s">
        <v>3270</v>
      </c>
      <c r="L28" s="791">
        <v>491</v>
      </c>
      <c r="M28" s="1226" t="s">
        <v>4211</v>
      </c>
      <c r="N28" s="792">
        <v>311846389</v>
      </c>
      <c r="O28" s="792">
        <v>20099666</v>
      </c>
      <c r="P28" s="795" t="s">
        <v>3093</v>
      </c>
      <c r="Q28" s="787"/>
      <c r="R28" s="793"/>
      <c r="S28" s="793"/>
      <c r="T28" s="1145"/>
      <c r="U28" s="788"/>
      <c r="V28" s="793"/>
      <c r="W28" s="793"/>
      <c r="X28" s="793"/>
      <c r="Y28" s="793"/>
      <c r="Z28" s="793"/>
      <c r="AA28" s="553"/>
      <c r="AB28" s="793"/>
      <c r="AC28" s="793"/>
      <c r="AD28" s="793"/>
      <c r="AE28" s="793"/>
      <c r="AF28" s="793"/>
    </row>
    <row r="29" spans="1:32" ht="27.6" customHeight="1">
      <c r="B29" s="826">
        <f t="shared" si="0"/>
        <v>28</v>
      </c>
      <c r="C29" s="572"/>
      <c r="D29" s="572"/>
      <c r="E29" s="572" t="s">
        <v>3225</v>
      </c>
      <c r="F29" s="533"/>
      <c r="G29" s="533"/>
      <c r="H29" s="562">
        <v>45687</v>
      </c>
      <c r="I29" s="1185" t="s">
        <v>3244</v>
      </c>
      <c r="J29" s="599" t="s">
        <v>3240</v>
      </c>
      <c r="K29" s="756" t="s">
        <v>3271</v>
      </c>
      <c r="L29" s="719">
        <v>1125</v>
      </c>
      <c r="M29" s="719"/>
      <c r="N29" s="554">
        <v>311875306</v>
      </c>
      <c r="O29" s="554">
        <v>33391788</v>
      </c>
      <c r="P29" s="601" t="s">
        <v>3094</v>
      </c>
      <c r="Q29" s="673"/>
      <c r="R29" s="601"/>
      <c r="S29" s="601"/>
      <c r="T29" s="673">
        <v>1</v>
      </c>
      <c r="U29" s="591"/>
      <c r="V29" s="601"/>
      <c r="W29" s="601"/>
      <c r="X29" s="601"/>
      <c r="Y29" s="601"/>
      <c r="Z29" s="601"/>
      <c r="AA29" s="553"/>
      <c r="AB29" s="601"/>
      <c r="AC29" s="601"/>
      <c r="AD29" s="601"/>
      <c r="AE29" s="601"/>
      <c r="AF29" s="601"/>
    </row>
    <row r="30" spans="1:32" s="2" customFormat="1" ht="27.6" hidden="1" customHeight="1">
      <c r="B30" s="578">
        <f t="shared" si="0"/>
        <v>29</v>
      </c>
      <c r="C30" s="783"/>
      <c r="D30" s="783"/>
      <c r="E30" s="808" t="s">
        <v>3297</v>
      </c>
      <c r="F30" s="783"/>
      <c r="G30" s="783"/>
      <c r="H30" s="789">
        <v>45689</v>
      </c>
      <c r="I30" s="995" t="s">
        <v>3272</v>
      </c>
      <c r="J30" s="784" t="s">
        <v>3127</v>
      </c>
      <c r="K30" s="797" t="s">
        <v>3275</v>
      </c>
      <c r="L30" s="791">
        <v>450</v>
      </c>
      <c r="M30" s="1226" t="s">
        <v>4211</v>
      </c>
      <c r="N30" s="792">
        <v>311881093</v>
      </c>
      <c r="O30" s="792"/>
      <c r="P30" s="793" t="s">
        <v>3093</v>
      </c>
      <c r="Q30" s="787"/>
      <c r="R30" s="793"/>
      <c r="S30" s="793"/>
      <c r="T30" s="1145"/>
      <c r="U30" s="788"/>
      <c r="V30" s="793"/>
      <c r="W30" s="793"/>
      <c r="X30" s="793"/>
      <c r="Y30" s="793"/>
      <c r="Z30" s="793"/>
      <c r="AA30" s="553"/>
      <c r="AB30" s="793"/>
      <c r="AC30" s="793"/>
      <c r="AD30" s="793"/>
      <c r="AE30" s="793"/>
      <c r="AF30" s="793"/>
    </row>
    <row r="31" spans="1:32" ht="27.6" hidden="1" customHeight="1">
      <c r="B31" s="578">
        <f t="shared" si="0"/>
        <v>30</v>
      </c>
      <c r="C31" s="783"/>
      <c r="D31" s="783"/>
      <c r="E31" s="869" t="s">
        <v>3281</v>
      </c>
      <c r="F31" s="783"/>
      <c r="G31" s="783"/>
      <c r="H31" s="789">
        <v>45691</v>
      </c>
      <c r="I31" s="1062" t="s">
        <v>3273</v>
      </c>
      <c r="J31" s="784" t="s">
        <v>3122</v>
      </c>
      <c r="K31" s="797" t="s">
        <v>3274</v>
      </c>
      <c r="L31" s="791">
        <v>450</v>
      </c>
      <c r="M31" s="791" t="s">
        <v>4211</v>
      </c>
      <c r="N31" s="792">
        <v>311883827</v>
      </c>
      <c r="O31" s="792">
        <v>11111111</v>
      </c>
      <c r="P31" s="793" t="s">
        <v>3093</v>
      </c>
      <c r="Q31" s="787"/>
      <c r="R31" s="793"/>
      <c r="S31" s="793"/>
      <c r="T31" s="1145">
        <v>1</v>
      </c>
      <c r="U31" s="788"/>
      <c r="V31" s="793"/>
      <c r="W31" s="793"/>
      <c r="X31" s="793"/>
      <c r="Y31" s="793"/>
      <c r="Z31" s="793">
        <v>1</v>
      </c>
      <c r="AA31" s="553"/>
      <c r="AB31" s="793"/>
      <c r="AC31" s="793"/>
      <c r="AD31" s="793"/>
      <c r="AE31" s="793"/>
      <c r="AF31" s="793"/>
    </row>
    <row r="32" spans="1:32" s="2" customFormat="1" ht="27.6" hidden="1" customHeight="1">
      <c r="B32" s="578">
        <f t="shared" si="0"/>
        <v>31</v>
      </c>
      <c r="C32" s="783"/>
      <c r="D32" s="783"/>
      <c r="E32" s="808" t="s">
        <v>3297</v>
      </c>
      <c r="F32" s="812"/>
      <c r="G32" s="812"/>
      <c r="H32" s="813">
        <v>45693</v>
      </c>
      <c r="I32" s="957" t="s">
        <v>3276</v>
      </c>
      <c r="J32" s="784" t="s">
        <v>3278</v>
      </c>
      <c r="K32" s="797" t="s">
        <v>3280</v>
      </c>
      <c r="L32" s="791">
        <v>491</v>
      </c>
      <c r="M32" s="1226" t="s">
        <v>4211</v>
      </c>
      <c r="N32" s="792">
        <v>311890834</v>
      </c>
      <c r="O32" s="792">
        <v>11111111</v>
      </c>
      <c r="P32" s="793" t="s">
        <v>3093</v>
      </c>
      <c r="Q32" s="787"/>
      <c r="R32" s="793"/>
      <c r="S32" s="793"/>
      <c r="T32" s="1145"/>
      <c r="U32" s="788"/>
      <c r="V32" s="793"/>
      <c r="W32" s="793"/>
      <c r="X32" s="793"/>
      <c r="Y32" s="793"/>
      <c r="Z32" s="793"/>
      <c r="AA32" s="553"/>
      <c r="AB32" s="793"/>
      <c r="AC32" s="793"/>
      <c r="AD32" s="793"/>
      <c r="AE32" s="793"/>
      <c r="AF32" s="793"/>
    </row>
    <row r="33" spans="1:39" s="2" customFormat="1" ht="27.6" hidden="1" customHeight="1">
      <c r="A33"/>
      <c r="B33" s="578">
        <f t="shared" si="0"/>
        <v>32</v>
      </c>
      <c r="C33" s="783">
        <v>80900</v>
      </c>
      <c r="D33" s="889" t="s">
        <v>3345</v>
      </c>
      <c r="E33" s="783" t="s">
        <v>3312</v>
      </c>
      <c r="F33" s="533"/>
      <c r="G33" s="783"/>
      <c r="H33" s="813">
        <v>45695</v>
      </c>
      <c r="I33" s="1214" t="s">
        <v>3279</v>
      </c>
      <c r="J33" s="784" t="s">
        <v>3242</v>
      </c>
      <c r="K33" s="797" t="s">
        <v>3277</v>
      </c>
      <c r="L33" s="791">
        <v>491</v>
      </c>
      <c r="M33" s="1226" t="s">
        <v>4211</v>
      </c>
      <c r="N33" s="792">
        <v>311898482</v>
      </c>
      <c r="O33" s="792">
        <v>1111111</v>
      </c>
      <c r="P33" s="793" t="s">
        <v>3093</v>
      </c>
      <c r="Q33" s="787"/>
      <c r="R33" s="793"/>
      <c r="S33" s="793"/>
      <c r="T33" s="1145"/>
      <c r="U33" s="788"/>
      <c r="V33" s="793"/>
      <c r="W33" s="793"/>
      <c r="X33" s="793"/>
      <c r="Y33" s="793"/>
      <c r="Z33" s="793"/>
      <c r="AA33" s="553"/>
      <c r="AB33" s="793"/>
      <c r="AC33" s="793"/>
      <c r="AD33" s="793"/>
      <c r="AE33" s="793"/>
      <c r="AF33" s="793"/>
    </row>
    <row r="34" spans="1:39" s="2" customFormat="1" ht="27.6" hidden="1" customHeight="1">
      <c r="A34"/>
      <c r="B34" s="578">
        <f t="shared" si="0"/>
        <v>33</v>
      </c>
      <c r="C34" s="783"/>
      <c r="D34" s="783"/>
      <c r="E34" s="808" t="s">
        <v>3297</v>
      </c>
      <c r="F34" s="533"/>
      <c r="G34" s="783"/>
      <c r="H34" s="813">
        <v>45699</v>
      </c>
      <c r="I34" s="816" t="s">
        <v>3282</v>
      </c>
      <c r="J34" s="784" t="s">
        <v>3122</v>
      </c>
      <c r="K34" s="797" t="s">
        <v>3285</v>
      </c>
      <c r="L34" s="791">
        <v>491</v>
      </c>
      <c r="M34" s="1226" t="s">
        <v>4211</v>
      </c>
      <c r="N34" s="796">
        <v>311908509</v>
      </c>
      <c r="O34" s="792">
        <v>11111111</v>
      </c>
      <c r="P34" s="793" t="s">
        <v>3093</v>
      </c>
      <c r="Q34" s="787"/>
      <c r="R34" s="793"/>
      <c r="S34" s="793"/>
      <c r="T34" s="1145"/>
      <c r="U34" s="788"/>
      <c r="V34" s="793"/>
      <c r="W34" s="793"/>
      <c r="X34" s="793"/>
      <c r="Y34" s="793"/>
      <c r="Z34" s="793"/>
      <c r="AA34" s="553"/>
      <c r="AB34" s="793"/>
      <c r="AC34" s="793"/>
      <c r="AD34" s="793"/>
      <c r="AE34" s="793"/>
      <c r="AF34" s="793"/>
    </row>
    <row r="35" spans="1:39" s="2" customFormat="1" ht="27.6" hidden="1" customHeight="1">
      <c r="A35"/>
      <c r="B35" s="826">
        <f t="shared" si="0"/>
        <v>34</v>
      </c>
      <c r="C35" s="783"/>
      <c r="D35" s="783"/>
      <c r="E35" s="808" t="s">
        <v>3297</v>
      </c>
      <c r="F35" s="533"/>
      <c r="G35" s="783"/>
      <c r="H35" s="789">
        <v>45699</v>
      </c>
      <c r="I35" s="1025" t="s">
        <v>3283</v>
      </c>
      <c r="J35" s="784" t="s">
        <v>3117</v>
      </c>
      <c r="K35" s="797" t="s">
        <v>3284</v>
      </c>
      <c r="L35" s="791">
        <v>491</v>
      </c>
      <c r="M35" s="1226" t="s">
        <v>4211</v>
      </c>
      <c r="N35" s="796">
        <v>311908548</v>
      </c>
      <c r="O35" s="792">
        <v>11111111</v>
      </c>
      <c r="P35" s="817" t="s">
        <v>3093</v>
      </c>
      <c r="Q35" s="787"/>
      <c r="R35" s="793"/>
      <c r="S35" s="793"/>
      <c r="T35" s="1145"/>
      <c r="U35" s="788"/>
      <c r="V35" s="793"/>
      <c r="W35" s="793"/>
      <c r="X35" s="793"/>
      <c r="Y35" s="793"/>
      <c r="Z35" s="793"/>
      <c r="AA35" s="553"/>
      <c r="AB35" s="793"/>
      <c r="AC35" s="793"/>
      <c r="AD35" s="793"/>
      <c r="AE35" s="793"/>
      <c r="AF35" s="793"/>
    </row>
    <row r="36" spans="1:39" s="2" customFormat="1" ht="27.6" hidden="1" customHeight="1">
      <c r="A36"/>
      <c r="B36" s="826">
        <f t="shared" si="0"/>
        <v>35</v>
      </c>
      <c r="C36" s="783"/>
      <c r="D36" s="783"/>
      <c r="E36" s="808" t="s">
        <v>3297</v>
      </c>
      <c r="F36" s="533"/>
      <c r="G36" s="783"/>
      <c r="H36" s="789">
        <v>45720</v>
      </c>
      <c r="I36" s="1062" t="s">
        <v>3288</v>
      </c>
      <c r="J36" s="784" t="s">
        <v>3127</v>
      </c>
      <c r="K36" s="797" t="s">
        <v>3289</v>
      </c>
      <c r="L36" s="791">
        <v>491</v>
      </c>
      <c r="M36" s="1226" t="s">
        <v>4211</v>
      </c>
      <c r="N36" s="792">
        <v>311960762</v>
      </c>
      <c r="O36" s="792">
        <v>11111111</v>
      </c>
      <c r="P36" s="815" t="s">
        <v>3093</v>
      </c>
      <c r="Q36" s="787"/>
      <c r="R36" s="793"/>
      <c r="S36" s="793"/>
      <c r="T36" s="1145"/>
      <c r="U36" s="788"/>
      <c r="V36" s="793"/>
      <c r="W36" s="793"/>
      <c r="X36" s="793"/>
      <c r="Y36" s="793"/>
      <c r="Z36" s="793"/>
      <c r="AA36" s="553"/>
      <c r="AB36" s="793"/>
      <c r="AC36" s="793"/>
      <c r="AD36" s="793"/>
      <c r="AE36" s="793"/>
      <c r="AF36" s="793"/>
    </row>
    <row r="37" spans="1:39" ht="27.6" hidden="1" customHeight="1">
      <c r="B37" s="578">
        <f t="shared" si="0"/>
        <v>36</v>
      </c>
      <c r="C37" s="783"/>
      <c r="D37" s="783"/>
      <c r="E37" s="808" t="s">
        <v>3297</v>
      </c>
      <c r="F37" s="783"/>
      <c r="G37" s="783"/>
      <c r="H37" s="789">
        <v>45727</v>
      </c>
      <c r="I37" s="926" t="s">
        <v>3291</v>
      </c>
      <c r="J37" s="784" t="s">
        <v>3122</v>
      </c>
      <c r="K37" s="797" t="s">
        <v>3277</v>
      </c>
      <c r="L37" s="791">
        <v>491</v>
      </c>
      <c r="M37" s="1226" t="s">
        <v>4211</v>
      </c>
      <c r="N37" s="796">
        <v>311975158</v>
      </c>
      <c r="O37" s="829">
        <v>11111111</v>
      </c>
      <c r="P37" s="795" t="s">
        <v>3093</v>
      </c>
      <c r="Q37" s="787"/>
      <c r="R37" s="793"/>
      <c r="S37" s="793"/>
      <c r="T37" s="1145"/>
      <c r="U37" s="788"/>
      <c r="V37" s="793"/>
      <c r="W37" s="793"/>
      <c r="X37" s="793"/>
      <c r="Y37" s="793"/>
      <c r="Z37" s="793"/>
      <c r="AA37" s="553"/>
      <c r="AB37" s="793"/>
      <c r="AC37" s="793"/>
      <c r="AD37" s="793"/>
      <c r="AE37" s="793"/>
      <c r="AF37" s="793"/>
    </row>
    <row r="38" spans="1:39" s="2" customFormat="1" ht="27.6" hidden="1" customHeight="1">
      <c r="B38" s="578">
        <f t="shared" si="0"/>
        <v>37</v>
      </c>
      <c r="C38" s="830"/>
      <c r="D38" s="830" t="s">
        <v>3301</v>
      </c>
      <c r="E38" s="808" t="s">
        <v>3297</v>
      </c>
      <c r="F38" s="812"/>
      <c r="G38" s="812"/>
      <c r="H38" s="831">
        <v>45731</v>
      </c>
      <c r="I38" s="1113" t="s">
        <v>3292</v>
      </c>
      <c r="J38" s="832" t="s">
        <v>3278</v>
      </c>
      <c r="K38" s="833" t="s">
        <v>3296</v>
      </c>
      <c r="L38" s="834">
        <v>491</v>
      </c>
      <c r="M38" s="1226" t="s">
        <v>4211</v>
      </c>
      <c r="N38" s="835">
        <v>311986974</v>
      </c>
      <c r="O38" s="835">
        <v>11111111</v>
      </c>
      <c r="P38" s="836" t="s">
        <v>3093</v>
      </c>
      <c r="Q38" s="837"/>
      <c r="R38" s="838"/>
      <c r="S38" s="838"/>
      <c r="T38" s="1146"/>
      <c r="U38" s="839"/>
      <c r="V38" s="838"/>
      <c r="W38" s="838"/>
      <c r="X38" s="838"/>
      <c r="Y38" s="838"/>
      <c r="Z38" s="838"/>
      <c r="AA38" s="1050"/>
      <c r="AB38" s="838"/>
      <c r="AC38" s="838"/>
      <c r="AD38" s="838"/>
      <c r="AE38" s="838"/>
      <c r="AF38" s="838"/>
    </row>
    <row r="39" spans="1:39" ht="27.6" hidden="1" customHeight="1">
      <c r="B39" s="578">
        <f t="shared" si="0"/>
        <v>38</v>
      </c>
      <c r="C39" s="876" t="s">
        <v>3348</v>
      </c>
      <c r="D39" s="819" t="s">
        <v>3345</v>
      </c>
      <c r="E39" s="819" t="s">
        <v>3281</v>
      </c>
      <c r="F39" s="819"/>
      <c r="G39" s="819" t="s">
        <v>3382</v>
      </c>
      <c r="H39" s="821">
        <v>45736</v>
      </c>
      <c r="I39" s="787" t="s">
        <v>3294</v>
      </c>
      <c r="J39" s="822" t="s">
        <v>3137</v>
      </c>
      <c r="K39" s="879" t="s">
        <v>3295</v>
      </c>
      <c r="L39" s="880">
        <v>491</v>
      </c>
      <c r="M39" s="1226" t="s">
        <v>4211</v>
      </c>
      <c r="N39" s="881">
        <v>312002021</v>
      </c>
      <c r="O39" s="786">
        <v>11111111</v>
      </c>
      <c r="P39" s="787" t="s">
        <v>3093</v>
      </c>
      <c r="Q39" s="787"/>
      <c r="R39" s="787"/>
      <c r="S39" s="787"/>
      <c r="T39" s="1147"/>
      <c r="U39" s="787"/>
      <c r="V39" s="787"/>
      <c r="W39" s="787"/>
      <c r="X39" s="787"/>
      <c r="Y39" s="787"/>
      <c r="Z39" s="787"/>
      <c r="AA39" s="553"/>
      <c r="AB39" s="793"/>
      <c r="AC39" s="793"/>
      <c r="AD39" s="793"/>
      <c r="AE39" s="793"/>
      <c r="AF39" s="793"/>
    </row>
    <row r="40" spans="1:39" ht="27.6" hidden="1" customHeight="1">
      <c r="B40" s="578">
        <f t="shared" si="0"/>
        <v>39</v>
      </c>
      <c r="C40" s="876" t="s">
        <v>3348</v>
      </c>
      <c r="D40" s="819" t="s">
        <v>3345</v>
      </c>
      <c r="E40" s="819" t="s">
        <v>3281</v>
      </c>
      <c r="F40" s="819"/>
      <c r="G40" s="819" t="s">
        <v>3383</v>
      </c>
      <c r="H40" s="821">
        <v>45748</v>
      </c>
      <c r="I40" s="787" t="s">
        <v>3298</v>
      </c>
      <c r="J40" s="822" t="s">
        <v>3122</v>
      </c>
      <c r="K40" s="879" t="s">
        <v>3277</v>
      </c>
      <c r="L40" s="880">
        <v>491</v>
      </c>
      <c r="M40" s="1226" t="s">
        <v>4211</v>
      </c>
      <c r="N40" s="786">
        <v>312024445</v>
      </c>
      <c r="O40" s="786">
        <v>11111111</v>
      </c>
      <c r="P40" s="787" t="s">
        <v>3093</v>
      </c>
      <c r="Q40" s="787"/>
      <c r="R40" s="787"/>
      <c r="S40" s="787"/>
      <c r="T40" s="1147"/>
      <c r="U40" s="787"/>
      <c r="V40" s="787"/>
      <c r="W40" s="787"/>
      <c r="X40" s="787"/>
      <c r="Y40" s="787"/>
      <c r="Z40" s="787"/>
      <c r="AA40" s="1049"/>
      <c r="AB40" s="787"/>
      <c r="AC40" s="787"/>
      <c r="AD40" s="787"/>
      <c r="AE40" s="787"/>
      <c r="AF40" s="787"/>
    </row>
    <row r="41" spans="1:39" ht="27.6" hidden="1" customHeight="1">
      <c r="B41" s="578">
        <f t="shared" si="0"/>
        <v>40</v>
      </c>
      <c r="C41" s="876"/>
      <c r="D41" s="819" t="s">
        <v>3345</v>
      </c>
      <c r="E41" s="819" t="s">
        <v>3312</v>
      </c>
      <c r="F41" s="819"/>
      <c r="G41" s="819" t="s">
        <v>3385</v>
      </c>
      <c r="H41" s="821">
        <v>45748</v>
      </c>
      <c r="I41" s="787" t="s">
        <v>3299</v>
      </c>
      <c r="J41" s="822" t="s">
        <v>3127</v>
      </c>
      <c r="K41" s="879" t="s">
        <v>3277</v>
      </c>
      <c r="L41" s="880">
        <v>491</v>
      </c>
      <c r="M41" s="1226" t="s">
        <v>4211</v>
      </c>
      <c r="N41" s="786">
        <v>312025239</v>
      </c>
      <c r="O41" s="786">
        <v>11111111</v>
      </c>
      <c r="P41" s="787" t="s">
        <v>3093</v>
      </c>
      <c r="Q41" s="787"/>
      <c r="R41" s="787"/>
      <c r="S41" s="787"/>
      <c r="T41" s="1147"/>
      <c r="U41" s="787"/>
      <c r="V41" s="787"/>
      <c r="W41" s="787"/>
      <c r="X41" s="787"/>
      <c r="Y41" s="787"/>
      <c r="Z41" s="787"/>
      <c r="AA41" s="1049"/>
      <c r="AB41" s="787"/>
      <c r="AC41" s="787"/>
      <c r="AD41" s="787"/>
      <c r="AE41" s="787"/>
      <c r="AF41" s="787"/>
      <c r="AM41" s="3"/>
    </row>
    <row r="42" spans="1:39" ht="27.6" hidden="1" customHeight="1">
      <c r="B42" s="826">
        <f t="shared" si="0"/>
        <v>41</v>
      </c>
      <c r="C42" s="877"/>
      <c r="D42" s="819" t="s">
        <v>3345</v>
      </c>
      <c r="E42" s="882" t="s">
        <v>3312</v>
      </c>
      <c r="F42" s="882"/>
      <c r="G42" s="819" t="s">
        <v>3384</v>
      </c>
      <c r="H42" s="883">
        <v>45751</v>
      </c>
      <c r="I42" s="837" t="s">
        <v>3300</v>
      </c>
      <c r="J42" s="884" t="s">
        <v>3137</v>
      </c>
      <c r="K42" s="885" t="s">
        <v>3277</v>
      </c>
      <c r="L42" s="886">
        <v>491</v>
      </c>
      <c r="M42" s="1226" t="s">
        <v>4211</v>
      </c>
      <c r="N42" s="887">
        <v>312035352</v>
      </c>
      <c r="O42" s="887">
        <v>11111111</v>
      </c>
      <c r="P42" s="837" t="s">
        <v>3093</v>
      </c>
      <c r="Q42" s="837"/>
      <c r="R42" s="837"/>
      <c r="S42" s="837"/>
      <c r="T42" s="1148"/>
      <c r="U42" s="837"/>
      <c r="V42" s="837"/>
      <c r="W42" s="837"/>
      <c r="X42" s="837"/>
      <c r="Y42" s="837"/>
      <c r="Z42" s="837"/>
      <c r="AA42" s="1051"/>
      <c r="AB42" s="837"/>
      <c r="AC42" s="837"/>
      <c r="AD42" s="837"/>
      <c r="AE42" s="837"/>
      <c r="AF42" s="837"/>
      <c r="AM42" s="661"/>
    </row>
    <row r="43" spans="1:39" ht="27.6" hidden="1" customHeight="1">
      <c r="B43" s="826">
        <f t="shared" si="0"/>
        <v>42</v>
      </c>
      <c r="C43" s="876" t="s">
        <v>3348</v>
      </c>
      <c r="D43" s="819" t="s">
        <v>3345</v>
      </c>
      <c r="E43" s="819" t="s">
        <v>3281</v>
      </c>
      <c r="F43" s="888"/>
      <c r="G43" s="888"/>
      <c r="H43" s="821">
        <v>45759</v>
      </c>
      <c r="I43" s="787" t="s">
        <v>3304</v>
      </c>
      <c r="J43" s="822" t="s">
        <v>3127</v>
      </c>
      <c r="K43" s="879" t="s">
        <v>3277</v>
      </c>
      <c r="L43" s="880">
        <v>491</v>
      </c>
      <c r="M43" s="1226" t="s">
        <v>4211</v>
      </c>
      <c r="N43" s="786">
        <v>312057412</v>
      </c>
      <c r="O43" s="786">
        <v>11111111</v>
      </c>
      <c r="P43" s="787" t="s">
        <v>3093</v>
      </c>
      <c r="Q43" s="787"/>
      <c r="R43" s="787"/>
      <c r="S43" s="787"/>
      <c r="T43" s="1147"/>
      <c r="U43" s="787"/>
      <c r="V43" s="787"/>
      <c r="W43" s="787"/>
      <c r="X43" s="787"/>
      <c r="Y43" s="787"/>
      <c r="Z43" s="787"/>
      <c r="AA43" s="553"/>
      <c r="AB43" s="793"/>
      <c r="AC43" s="793"/>
      <c r="AD43" s="793"/>
      <c r="AE43" s="793"/>
      <c r="AF43" s="793"/>
    </row>
    <row r="44" spans="1:39" ht="27.6" hidden="1" customHeight="1">
      <c r="B44" s="840">
        <f t="shared" si="0"/>
        <v>43</v>
      </c>
      <c r="C44" s="877" t="s">
        <v>3513</v>
      </c>
      <c r="D44" s="1031" t="s">
        <v>3558</v>
      </c>
      <c r="E44" s="1032" t="s">
        <v>3399</v>
      </c>
      <c r="F44" s="812"/>
      <c r="G44" s="812" t="s">
        <v>3386</v>
      </c>
      <c r="H44" s="831">
        <v>45769</v>
      </c>
      <c r="I44" s="1201" t="s">
        <v>3305</v>
      </c>
      <c r="J44" s="832" t="s">
        <v>3240</v>
      </c>
      <c r="K44" s="833" t="s">
        <v>3306</v>
      </c>
      <c r="L44" s="834">
        <v>491</v>
      </c>
      <c r="M44" s="1226" t="s">
        <v>4211</v>
      </c>
      <c r="N44" s="835">
        <v>312078354</v>
      </c>
      <c r="O44" s="891">
        <v>11111111</v>
      </c>
      <c r="P44" s="890" t="s">
        <v>3093</v>
      </c>
      <c r="Q44" s="837"/>
      <c r="R44" s="838"/>
      <c r="S44" s="838"/>
      <c r="T44" s="1146"/>
      <c r="U44" s="839"/>
      <c r="V44" s="838"/>
      <c r="W44" s="838"/>
      <c r="X44" s="838"/>
      <c r="Y44" s="838"/>
      <c r="Z44" s="838"/>
      <c r="AA44" s="1050"/>
      <c r="AB44" s="838"/>
      <c r="AC44" s="838"/>
      <c r="AD44" s="838"/>
      <c r="AE44" s="838"/>
      <c r="AF44" s="838"/>
    </row>
    <row r="45" spans="1:39" ht="27.6" customHeight="1">
      <c r="B45" s="572">
        <v>44</v>
      </c>
      <c r="C45" s="572"/>
      <c r="D45" s="761"/>
      <c r="E45" s="572"/>
      <c r="F45" s="533"/>
      <c r="G45" s="533"/>
      <c r="H45" s="562">
        <v>45779</v>
      </c>
      <c r="I45" s="1020" t="s">
        <v>3307</v>
      </c>
      <c r="J45" s="599" t="s">
        <v>3122</v>
      </c>
      <c r="K45" s="758" t="s">
        <v>3308</v>
      </c>
      <c r="L45" s="719">
        <v>556</v>
      </c>
      <c r="M45" s="719"/>
      <c r="N45" s="554">
        <v>312105312</v>
      </c>
      <c r="O45" s="809">
        <v>11111111</v>
      </c>
      <c r="P45" s="601" t="s">
        <v>3094</v>
      </c>
      <c r="Q45" s="673"/>
      <c r="R45" s="601"/>
      <c r="S45" s="601"/>
      <c r="T45" s="591">
        <v>1</v>
      </c>
      <c r="U45" s="591"/>
      <c r="V45" s="601"/>
      <c r="W45" s="601"/>
      <c r="X45" s="601"/>
      <c r="Y45" s="601"/>
      <c r="Z45" s="601"/>
      <c r="AA45" s="553"/>
      <c r="AB45" s="601"/>
      <c r="AC45" s="601"/>
      <c r="AD45" s="601"/>
      <c r="AE45" s="601"/>
      <c r="AF45" s="601"/>
    </row>
    <row r="46" spans="1:39" ht="27.6" hidden="1" customHeight="1">
      <c r="B46" s="572">
        <v>45</v>
      </c>
      <c r="C46" s="876"/>
      <c r="D46" s="889" t="s">
        <v>3345</v>
      </c>
      <c r="E46" s="783" t="s">
        <v>3312</v>
      </c>
      <c r="F46" s="783"/>
      <c r="G46" s="783"/>
      <c r="H46" s="789">
        <v>45782</v>
      </c>
      <c r="I46" s="1014" t="s">
        <v>3309</v>
      </c>
      <c r="J46" s="784" t="s">
        <v>3240</v>
      </c>
      <c r="K46" s="797" t="s">
        <v>3310</v>
      </c>
      <c r="L46" s="791">
        <v>491</v>
      </c>
      <c r="M46" s="1226" t="s">
        <v>4211</v>
      </c>
      <c r="N46" s="786">
        <v>312109084</v>
      </c>
      <c r="O46" s="891">
        <v>1111111</v>
      </c>
      <c r="P46" s="892" t="s">
        <v>3093</v>
      </c>
      <c r="Q46" s="787"/>
      <c r="R46" s="793"/>
      <c r="S46" s="793"/>
      <c r="T46" s="1145">
        <v>1</v>
      </c>
      <c r="U46" s="788" t="s">
        <v>3346</v>
      </c>
      <c r="V46" s="793"/>
      <c r="W46" s="793"/>
      <c r="X46" s="793"/>
      <c r="Y46" s="793"/>
      <c r="Z46" s="793"/>
      <c r="AA46" s="553"/>
      <c r="AB46" s="793"/>
      <c r="AC46" s="793"/>
      <c r="AD46" s="793"/>
      <c r="AE46" s="793"/>
      <c r="AF46" s="793"/>
    </row>
    <row r="47" spans="1:39" ht="27.6" hidden="1" customHeight="1">
      <c r="B47" s="572">
        <v>46</v>
      </c>
      <c r="C47" s="876" t="s">
        <v>3348</v>
      </c>
      <c r="D47" s="889" t="s">
        <v>3345</v>
      </c>
      <c r="E47" s="783" t="s">
        <v>3281</v>
      </c>
      <c r="F47" s="783"/>
      <c r="G47" s="783"/>
      <c r="H47" s="789">
        <v>45783</v>
      </c>
      <c r="I47" s="1014" t="s">
        <v>3311</v>
      </c>
      <c r="J47" s="784" t="s">
        <v>3127</v>
      </c>
      <c r="K47" s="797" t="s">
        <v>3313</v>
      </c>
      <c r="L47" s="791">
        <v>491</v>
      </c>
      <c r="M47" s="1226" t="s">
        <v>4211</v>
      </c>
      <c r="N47" s="792">
        <v>312114697</v>
      </c>
      <c r="O47" s="792">
        <v>11111111</v>
      </c>
      <c r="P47" s="892" t="s">
        <v>3093</v>
      </c>
      <c r="Q47" s="787"/>
      <c r="R47" s="793"/>
      <c r="S47" s="793"/>
      <c r="T47" s="1145"/>
      <c r="U47" s="788"/>
      <c r="V47" s="793"/>
      <c r="W47" s="793"/>
      <c r="X47" s="793"/>
      <c r="Y47" s="793"/>
      <c r="Z47" s="793"/>
      <c r="AA47" s="553"/>
      <c r="AB47" s="793"/>
      <c r="AC47" s="793"/>
      <c r="AD47" s="793"/>
      <c r="AE47" s="793"/>
      <c r="AF47" s="793"/>
    </row>
    <row r="48" spans="1:39" ht="27.6" hidden="1" customHeight="1">
      <c r="B48" s="572">
        <v>47</v>
      </c>
      <c r="C48" s="783"/>
      <c r="D48" s="889" t="s">
        <v>3345</v>
      </c>
      <c r="E48" s="893" t="s">
        <v>3312</v>
      </c>
      <c r="F48" s="783"/>
      <c r="G48" s="783"/>
      <c r="H48" s="789" t="s">
        <v>3315</v>
      </c>
      <c r="I48" s="787" t="s">
        <v>3316</v>
      </c>
      <c r="J48" s="784" t="s">
        <v>3122</v>
      </c>
      <c r="K48" s="797" t="s">
        <v>3277</v>
      </c>
      <c r="L48" s="791">
        <v>1125</v>
      </c>
      <c r="M48" s="1226" t="s">
        <v>4211</v>
      </c>
      <c r="N48" s="792">
        <v>312130568</v>
      </c>
      <c r="O48" s="894">
        <v>11111111</v>
      </c>
      <c r="P48" s="892" t="s">
        <v>3093</v>
      </c>
      <c r="Q48" s="787"/>
      <c r="R48" s="793"/>
      <c r="S48" s="793"/>
      <c r="T48" s="1145"/>
      <c r="U48" s="788"/>
      <c r="V48" s="793"/>
      <c r="W48" s="793"/>
      <c r="X48" s="793"/>
      <c r="Y48" s="793"/>
      <c r="Z48" s="793"/>
      <c r="AA48" s="553"/>
      <c r="AB48" s="793"/>
      <c r="AC48" s="793"/>
      <c r="AD48" s="793"/>
      <c r="AE48" s="793"/>
      <c r="AF48" s="793"/>
    </row>
    <row r="49" spans="2:32" ht="27.6" hidden="1" customHeight="1">
      <c r="B49" s="572">
        <v>48</v>
      </c>
      <c r="C49" s="876"/>
      <c r="D49" s="889" t="s">
        <v>3345</v>
      </c>
      <c r="E49" s="783" t="s">
        <v>3329</v>
      </c>
      <c r="F49" s="783"/>
      <c r="G49" s="783"/>
      <c r="H49" s="895" t="s">
        <v>3315</v>
      </c>
      <c r="I49" s="1100" t="s">
        <v>3317</v>
      </c>
      <c r="J49" s="784" t="s">
        <v>3122</v>
      </c>
      <c r="K49" s="797" t="s">
        <v>3277</v>
      </c>
      <c r="L49" s="791">
        <v>491</v>
      </c>
      <c r="M49" s="1226" t="s">
        <v>4211</v>
      </c>
      <c r="N49" s="792">
        <v>312133721</v>
      </c>
      <c r="O49" s="894">
        <v>11111111</v>
      </c>
      <c r="P49" s="890" t="s">
        <v>3093</v>
      </c>
      <c r="Q49" s="787"/>
      <c r="R49" s="793"/>
      <c r="S49" s="793"/>
      <c r="T49" s="1145"/>
      <c r="U49" s="788"/>
      <c r="V49" s="793"/>
      <c r="W49" s="793"/>
      <c r="X49" s="793"/>
      <c r="Y49" s="793"/>
      <c r="Z49" s="793"/>
      <c r="AA49" s="553"/>
      <c r="AB49" s="793"/>
      <c r="AC49" s="793"/>
      <c r="AD49" s="793"/>
      <c r="AE49" s="793"/>
      <c r="AF49" s="793"/>
    </row>
    <row r="50" spans="2:32" s="818" customFormat="1" ht="27.6" hidden="1" customHeight="1">
      <c r="B50" s="665">
        <v>49</v>
      </c>
      <c r="C50" s="819" t="s">
        <v>3513</v>
      </c>
      <c r="D50" s="819"/>
      <c r="E50" s="819" t="s">
        <v>3281</v>
      </c>
      <c r="F50" s="819"/>
      <c r="G50" s="819" t="s">
        <v>3387</v>
      </c>
      <c r="H50" s="821">
        <v>45796</v>
      </c>
      <c r="I50" s="787" t="s">
        <v>3322</v>
      </c>
      <c r="J50" s="822" t="s">
        <v>3116</v>
      </c>
      <c r="K50" s="879" t="s">
        <v>3277</v>
      </c>
      <c r="L50" s="880">
        <v>491</v>
      </c>
      <c r="M50" s="1226" t="s">
        <v>4211</v>
      </c>
      <c r="N50" s="786">
        <v>312141428</v>
      </c>
      <c r="O50" s="786">
        <v>11111111</v>
      </c>
      <c r="P50" s="787" t="s">
        <v>3093</v>
      </c>
      <c r="Q50" s="787"/>
      <c r="R50" s="787"/>
      <c r="S50" s="787"/>
      <c r="T50" s="1147"/>
      <c r="U50" s="787"/>
      <c r="V50" s="787"/>
      <c r="W50" s="787"/>
      <c r="X50" s="787"/>
      <c r="Y50" s="787"/>
      <c r="Z50" s="787"/>
      <c r="AA50" s="1049"/>
      <c r="AB50" s="787"/>
      <c r="AC50" s="787"/>
      <c r="AD50" s="787"/>
      <c r="AE50" s="787"/>
      <c r="AF50" s="787"/>
    </row>
    <row r="51" spans="2:32" ht="27.6" hidden="1" customHeight="1">
      <c r="B51" s="572">
        <v>50</v>
      </c>
      <c r="C51" s="783">
        <v>11</v>
      </c>
      <c r="D51" s="783"/>
      <c r="E51" s="783" t="s">
        <v>3329</v>
      </c>
      <c r="F51" s="533"/>
      <c r="G51" s="783" t="s">
        <v>3388</v>
      </c>
      <c r="H51" s="789">
        <v>45796</v>
      </c>
      <c r="I51" s="1011" t="s">
        <v>3325</v>
      </c>
      <c r="J51" s="1043" t="s">
        <v>3278</v>
      </c>
      <c r="K51" s="797" t="s">
        <v>3277</v>
      </c>
      <c r="L51" s="791">
        <v>491</v>
      </c>
      <c r="M51" s="1226" t="s">
        <v>4211</v>
      </c>
      <c r="N51" s="792">
        <v>312142892</v>
      </c>
      <c r="O51" s="1013">
        <v>11111111</v>
      </c>
      <c r="P51" s="890" t="s">
        <v>3093</v>
      </c>
      <c r="Q51" s="787"/>
      <c r="R51" s="793"/>
      <c r="S51" s="793"/>
      <c r="T51" s="1145"/>
      <c r="U51" s="788"/>
      <c r="V51" s="793"/>
      <c r="W51" s="793"/>
      <c r="X51" s="793"/>
      <c r="Y51" s="793"/>
      <c r="Z51" s="793"/>
      <c r="AA51" s="553"/>
      <c r="AB51" s="793"/>
      <c r="AC51" s="793"/>
      <c r="AD51" s="793"/>
      <c r="AE51" s="793"/>
      <c r="AF51" s="793"/>
    </row>
    <row r="52" spans="2:32" ht="27.6" hidden="1" customHeight="1">
      <c r="B52" s="826">
        <f>ROW()-1</f>
        <v>51</v>
      </c>
      <c r="C52" s="1012" t="s">
        <v>3646</v>
      </c>
      <c r="D52" s="783"/>
      <c r="E52" s="893" t="s">
        <v>3312</v>
      </c>
      <c r="F52" s="783"/>
      <c r="G52" s="783" t="s">
        <v>3395</v>
      </c>
      <c r="H52" s="789">
        <v>45811</v>
      </c>
      <c r="I52" s="1011" t="s">
        <v>3326</v>
      </c>
      <c r="J52" s="784" t="s">
        <v>3127</v>
      </c>
      <c r="K52" s="797" t="s">
        <v>3327</v>
      </c>
      <c r="L52" s="791">
        <v>1125</v>
      </c>
      <c r="M52" s="1226" t="s">
        <v>4211</v>
      </c>
      <c r="N52" s="796">
        <v>312183272</v>
      </c>
      <c r="O52" s="1013">
        <v>11111111</v>
      </c>
      <c r="P52" s="890" t="s">
        <v>3093</v>
      </c>
      <c r="Q52" s="787"/>
      <c r="R52" s="793"/>
      <c r="S52" s="793"/>
      <c r="T52" s="1145"/>
      <c r="U52" s="788"/>
      <c r="V52" s="793"/>
      <c r="W52" s="793"/>
      <c r="X52" s="793"/>
      <c r="Y52" s="793"/>
      <c r="Z52" s="793"/>
      <c r="AA52" s="553"/>
      <c r="AB52" s="793"/>
      <c r="AC52" s="793"/>
      <c r="AD52" s="793"/>
      <c r="AE52" s="793"/>
      <c r="AF52" s="793"/>
    </row>
    <row r="53" spans="2:32" ht="27.6" hidden="1" customHeight="1">
      <c r="B53" s="840">
        <f>ROW()-1</f>
        <v>52</v>
      </c>
      <c r="C53" s="1012" t="s">
        <v>3647</v>
      </c>
      <c r="D53" s="783">
        <v>200</v>
      </c>
      <c r="E53" s="783" t="s">
        <v>3281</v>
      </c>
      <c r="F53" s="812"/>
      <c r="G53" s="783"/>
      <c r="H53" s="789">
        <v>45818</v>
      </c>
      <c r="I53" s="1106" t="s">
        <v>3330</v>
      </c>
      <c r="J53" s="784" t="s">
        <v>3240</v>
      </c>
      <c r="K53" s="797" t="s">
        <v>3277</v>
      </c>
      <c r="L53" s="791">
        <v>1125</v>
      </c>
      <c r="M53" s="1226" t="s">
        <v>4211</v>
      </c>
      <c r="N53" s="796">
        <v>312192167</v>
      </c>
      <c r="O53" s="1013">
        <v>11111111</v>
      </c>
      <c r="P53" s="896" t="s">
        <v>3093</v>
      </c>
      <c r="Q53" s="787"/>
      <c r="R53" s="793"/>
      <c r="S53" s="793"/>
      <c r="T53" s="1145"/>
      <c r="U53" s="788"/>
      <c r="V53" s="793"/>
      <c r="W53" s="793"/>
      <c r="X53" s="793"/>
      <c r="Y53" s="793"/>
      <c r="Z53" s="793"/>
      <c r="AA53" s="553"/>
      <c r="AB53" s="793"/>
      <c r="AC53" s="793"/>
      <c r="AD53" s="793"/>
      <c r="AE53" s="793"/>
      <c r="AF53" s="793"/>
    </row>
    <row r="54" spans="2:32" ht="27.6" customHeight="1">
      <c r="B54" s="572">
        <v>51</v>
      </c>
      <c r="C54" s="572"/>
      <c r="D54" s="572"/>
      <c r="E54" s="572"/>
      <c r="G54" s="533"/>
      <c r="H54" s="562">
        <v>45822</v>
      </c>
      <c r="I54" s="1017" t="s">
        <v>3331</v>
      </c>
      <c r="J54" s="600" t="s">
        <v>3338</v>
      </c>
      <c r="K54" s="758" t="s">
        <v>4346</v>
      </c>
      <c r="L54" s="719">
        <v>1125</v>
      </c>
      <c r="M54" s="719"/>
      <c r="N54" s="554">
        <v>312206265</v>
      </c>
      <c r="O54" s="870">
        <v>70495765</v>
      </c>
      <c r="P54" s="1042" t="s">
        <v>3094</v>
      </c>
      <c r="Q54" s="673"/>
      <c r="R54" s="601"/>
      <c r="S54" s="601"/>
      <c r="T54" s="591">
        <v>1</v>
      </c>
      <c r="U54" s="591"/>
      <c r="V54" s="601"/>
      <c r="W54" s="601"/>
      <c r="X54" s="601"/>
      <c r="Y54" s="601"/>
      <c r="Z54" s="601"/>
      <c r="AA54" s="553"/>
      <c r="AB54" s="601"/>
      <c r="AC54" s="601"/>
      <c r="AD54" s="601"/>
      <c r="AE54" s="601"/>
      <c r="AF54" s="601"/>
    </row>
    <row r="55" spans="2:32" s="2" customFormat="1" ht="27.6" hidden="1" customHeight="1">
      <c r="B55" s="572">
        <v>52</v>
      </c>
      <c r="C55" s="783"/>
      <c r="D55" s="783"/>
      <c r="E55" s="783"/>
      <c r="F55" s="812"/>
      <c r="G55" s="783"/>
      <c r="H55" s="789">
        <v>45824</v>
      </c>
      <c r="I55" s="956" t="s">
        <v>3332</v>
      </c>
      <c r="J55" s="784" t="s">
        <v>3122</v>
      </c>
      <c r="K55" s="959"/>
      <c r="L55" s="791">
        <v>1125</v>
      </c>
      <c r="M55" s="1226" t="s">
        <v>4211</v>
      </c>
      <c r="N55" s="796">
        <v>312207944</v>
      </c>
      <c r="O55" s="792">
        <v>12345678</v>
      </c>
      <c r="P55" s="793" t="s">
        <v>3094</v>
      </c>
      <c r="Q55" s="787"/>
      <c r="R55" s="793"/>
      <c r="S55" s="793">
        <v>1</v>
      </c>
      <c r="T55" s="788">
        <v>1</v>
      </c>
      <c r="U55" s="788"/>
      <c r="V55" s="793"/>
      <c r="W55" s="793"/>
      <c r="X55" s="793"/>
      <c r="Y55" s="793"/>
      <c r="Z55" s="793"/>
      <c r="AA55" s="553"/>
      <c r="AB55" s="793"/>
      <c r="AC55" s="793"/>
      <c r="AD55" s="793"/>
      <c r="AE55" s="793"/>
      <c r="AF55" s="793"/>
    </row>
    <row r="56" spans="2:32" ht="27.6" hidden="1" customHeight="1">
      <c r="B56" s="572">
        <v>53</v>
      </c>
      <c r="C56" s="783">
        <v>11</v>
      </c>
      <c r="D56" s="889" t="s">
        <v>3558</v>
      </c>
      <c r="E56" s="783" t="s">
        <v>3281</v>
      </c>
      <c r="F56" s="783"/>
      <c r="G56" s="783" t="s">
        <v>3389</v>
      </c>
      <c r="H56" s="789">
        <v>45828</v>
      </c>
      <c r="I56" s="999" t="s">
        <v>3339</v>
      </c>
      <c r="J56" s="784" t="s">
        <v>3116</v>
      </c>
      <c r="K56" s="797"/>
      <c r="L56" s="791">
        <v>1125</v>
      </c>
      <c r="M56" s="1226" t="s">
        <v>4211</v>
      </c>
      <c r="N56" s="796">
        <v>312220985</v>
      </c>
      <c r="O56" s="792">
        <v>11111111</v>
      </c>
      <c r="P56" s="793" t="s">
        <v>3093</v>
      </c>
      <c r="Q56" s="995"/>
      <c r="R56" s="793"/>
      <c r="S56" s="793"/>
      <c r="T56" s="1145"/>
      <c r="U56" s="788"/>
      <c r="V56" s="793"/>
      <c r="W56" s="793"/>
      <c r="X56" s="793"/>
      <c r="Y56" s="793"/>
      <c r="Z56" s="793"/>
      <c r="AA56" s="553"/>
      <c r="AB56" s="793"/>
      <c r="AC56" s="793"/>
      <c r="AD56" s="793"/>
      <c r="AE56" s="793"/>
      <c r="AF56" s="793"/>
    </row>
    <row r="57" spans="2:32" ht="27.6" hidden="1" customHeight="1">
      <c r="B57" s="572">
        <v>54</v>
      </c>
      <c r="C57" s="783"/>
      <c r="D57" s="889" t="s">
        <v>3601</v>
      </c>
      <c r="E57" s="1004" t="s">
        <v>3312</v>
      </c>
      <c r="F57" s="783"/>
      <c r="G57" s="783"/>
      <c r="H57" s="789">
        <v>45832</v>
      </c>
      <c r="I57" s="1039" t="s">
        <v>3340</v>
      </c>
      <c r="J57" s="784" t="s">
        <v>3122</v>
      </c>
      <c r="K57" s="797" t="s">
        <v>3328</v>
      </c>
      <c r="L57" s="791">
        <v>563</v>
      </c>
      <c r="M57" s="1226" t="s">
        <v>4211</v>
      </c>
      <c r="N57" s="796">
        <v>312228088</v>
      </c>
      <c r="O57" s="792">
        <v>11111111</v>
      </c>
      <c r="P57" s="793" t="s">
        <v>3093</v>
      </c>
      <c r="Q57" s="995"/>
      <c r="R57" s="793"/>
      <c r="S57" s="793"/>
      <c r="T57" s="1145"/>
      <c r="U57" s="788"/>
      <c r="V57" s="793"/>
      <c r="W57" s="793"/>
      <c r="X57" s="793"/>
      <c r="Y57" s="793"/>
      <c r="Z57" s="793"/>
      <c r="AA57" s="553"/>
      <c r="AB57" s="793"/>
      <c r="AC57" s="793"/>
      <c r="AD57" s="793"/>
      <c r="AE57" s="793"/>
      <c r="AF57" s="793"/>
    </row>
    <row r="58" spans="2:32" ht="27.6" hidden="1" customHeight="1">
      <c r="B58" s="572">
        <v>55</v>
      </c>
      <c r="C58" s="783"/>
      <c r="D58" s="819" t="s">
        <v>3558</v>
      </c>
      <c r="E58" s="1004" t="s">
        <v>3312</v>
      </c>
      <c r="F58" s="783"/>
      <c r="G58" s="783" t="s">
        <v>3394</v>
      </c>
      <c r="H58" s="789">
        <v>45832</v>
      </c>
      <c r="I58" s="787" t="s">
        <v>3341</v>
      </c>
      <c r="J58" s="784" t="s">
        <v>3116</v>
      </c>
      <c r="K58" s="797"/>
      <c r="L58" s="791">
        <v>556</v>
      </c>
      <c r="M58" s="1226" t="s">
        <v>4211</v>
      </c>
      <c r="N58" s="796">
        <v>312240201</v>
      </c>
      <c r="O58" s="792">
        <v>11111111</v>
      </c>
      <c r="P58" s="793" t="s">
        <v>3093</v>
      </c>
      <c r="Q58" s="995"/>
      <c r="R58" s="793"/>
      <c r="S58" s="793"/>
      <c r="T58" s="1145"/>
      <c r="U58" s="788"/>
      <c r="V58" s="793"/>
      <c r="W58" s="793"/>
      <c r="X58" s="793"/>
      <c r="Y58" s="793"/>
      <c r="Z58" s="793"/>
      <c r="AA58" s="553"/>
      <c r="AB58" s="793"/>
      <c r="AC58" s="793"/>
      <c r="AD58" s="793"/>
      <c r="AE58" s="793"/>
      <c r="AF58" s="793"/>
    </row>
    <row r="59" spans="2:32" ht="27.6" hidden="1" customHeight="1">
      <c r="B59" s="572">
        <v>56</v>
      </c>
      <c r="C59" s="1012" t="s">
        <v>3645</v>
      </c>
      <c r="D59" s="889" t="s">
        <v>3558</v>
      </c>
      <c r="E59" s="783" t="s">
        <v>3281</v>
      </c>
      <c r="F59" s="783"/>
      <c r="G59" s="783"/>
      <c r="H59" s="843">
        <v>45839</v>
      </c>
      <c r="I59" s="1014" t="s">
        <v>3397</v>
      </c>
      <c r="J59" s="784" t="s">
        <v>3343</v>
      </c>
      <c r="K59" s="797"/>
      <c r="L59" s="791">
        <v>556</v>
      </c>
      <c r="M59" s="1226" t="s">
        <v>4211</v>
      </c>
      <c r="N59" s="796">
        <v>312244235</v>
      </c>
      <c r="O59" s="792">
        <v>11111111</v>
      </c>
      <c r="P59" s="793" t="s">
        <v>3093</v>
      </c>
      <c r="Q59" s="995"/>
      <c r="R59" s="793"/>
      <c r="S59" s="793"/>
      <c r="T59" s="1145"/>
      <c r="U59" s="788"/>
      <c r="V59" s="793"/>
      <c r="W59" s="793"/>
      <c r="X59" s="793"/>
      <c r="Y59" s="793"/>
      <c r="Z59" s="793"/>
      <c r="AA59" s="553"/>
      <c r="AB59" s="793"/>
      <c r="AC59" s="793"/>
      <c r="AD59" s="793"/>
      <c r="AE59" s="793"/>
      <c r="AF59" s="793"/>
    </row>
    <row r="60" spans="2:32" ht="27.6" hidden="1" customHeight="1">
      <c r="B60" s="572">
        <v>57</v>
      </c>
      <c r="C60" s="1003">
        <v>11</v>
      </c>
      <c r="D60" s="783"/>
      <c r="E60" s="1018" t="s">
        <v>3312</v>
      </c>
      <c r="F60" s="783"/>
      <c r="G60" s="1005" t="s">
        <v>3381</v>
      </c>
      <c r="H60" s="1006">
        <v>45847</v>
      </c>
      <c r="I60" s="1100" t="s">
        <v>3344</v>
      </c>
      <c r="J60" s="822" t="s">
        <v>3137</v>
      </c>
      <c r="K60" s="879"/>
      <c r="L60" s="880">
        <v>1125</v>
      </c>
      <c r="M60" s="1226" t="s">
        <v>4211</v>
      </c>
      <c r="N60" s="796">
        <v>312267959</v>
      </c>
      <c r="O60" s="792">
        <v>11111111</v>
      </c>
      <c r="P60" s="793" t="s">
        <v>3093</v>
      </c>
      <c r="Q60" s="995"/>
      <c r="R60" s="793"/>
      <c r="S60" s="793"/>
      <c r="T60" s="1145"/>
      <c r="U60" s="788"/>
      <c r="V60" s="793"/>
      <c r="W60" s="793"/>
      <c r="X60" s="793"/>
      <c r="Y60" s="793"/>
      <c r="Z60" s="793"/>
      <c r="AA60" s="553"/>
      <c r="AB60" s="793"/>
      <c r="AC60" s="793"/>
      <c r="AD60" s="793"/>
      <c r="AE60" s="793"/>
      <c r="AF60" s="793"/>
    </row>
    <row r="61" spans="2:32" ht="27.6" hidden="1" customHeight="1">
      <c r="B61" s="572">
        <v>58</v>
      </c>
      <c r="C61" s="1012" t="s">
        <v>3643</v>
      </c>
      <c r="D61" s="889" t="s">
        <v>3558</v>
      </c>
      <c r="E61" s="783" t="s">
        <v>3281</v>
      </c>
      <c r="F61" s="783"/>
      <c r="G61" s="1015" t="s">
        <v>3508</v>
      </c>
      <c r="H61" s="789">
        <v>45850</v>
      </c>
      <c r="I61" s="1025" t="s">
        <v>3396</v>
      </c>
      <c r="J61" s="784" t="s">
        <v>3347</v>
      </c>
      <c r="K61" s="797"/>
      <c r="L61" s="791">
        <v>556</v>
      </c>
      <c r="M61" s="1226" t="s">
        <v>4211</v>
      </c>
      <c r="N61" s="796">
        <v>312274665</v>
      </c>
      <c r="O61" s="792">
        <v>11111111</v>
      </c>
      <c r="P61" s="793" t="s">
        <v>3093</v>
      </c>
      <c r="Q61" s="995"/>
      <c r="R61" s="793"/>
      <c r="S61" s="793"/>
      <c r="T61" s="1145"/>
      <c r="U61" s="788"/>
      <c r="V61" s="793"/>
      <c r="W61" s="793"/>
      <c r="X61" s="793"/>
      <c r="Y61" s="793"/>
      <c r="Z61" s="793"/>
      <c r="AA61" s="553"/>
      <c r="AB61" s="793"/>
      <c r="AC61" s="793"/>
      <c r="AD61" s="793"/>
      <c r="AE61" s="793"/>
      <c r="AF61" s="793"/>
    </row>
    <row r="62" spans="2:32" ht="27.6" hidden="1" customHeight="1">
      <c r="B62" s="572">
        <v>59</v>
      </c>
      <c r="C62" s="1012" t="s">
        <v>3644</v>
      </c>
      <c r="D62" s="889" t="s">
        <v>3558</v>
      </c>
      <c r="E62" s="783" t="s">
        <v>3281</v>
      </c>
      <c r="F62" s="783"/>
      <c r="G62" s="1005" t="s">
        <v>3392</v>
      </c>
      <c r="H62" s="789">
        <v>45859</v>
      </c>
      <c r="I62" s="1014" t="s">
        <v>3351</v>
      </c>
      <c r="J62" s="784" t="s">
        <v>3352</v>
      </c>
      <c r="K62" s="797"/>
      <c r="L62" s="791">
        <v>1125</v>
      </c>
      <c r="M62" s="1226" t="s">
        <v>4211</v>
      </c>
      <c r="N62" s="796">
        <v>312293974</v>
      </c>
      <c r="O62" s="1016">
        <v>1111111</v>
      </c>
      <c r="P62" s="793" t="s">
        <v>3093</v>
      </c>
      <c r="Q62" s="995"/>
      <c r="R62" s="793"/>
      <c r="S62" s="793"/>
      <c r="T62" s="1145"/>
      <c r="U62" s="788"/>
      <c r="V62" s="793"/>
      <c r="W62" s="793"/>
      <c r="X62" s="793"/>
      <c r="Y62" s="793"/>
      <c r="Z62" s="793"/>
      <c r="AA62" s="553"/>
      <c r="AB62" s="793"/>
      <c r="AC62" s="793"/>
      <c r="AD62" s="793"/>
      <c r="AE62" s="793"/>
      <c r="AF62" s="793"/>
    </row>
    <row r="63" spans="2:32" ht="27.6" hidden="1" customHeight="1">
      <c r="B63" s="572">
        <v>60</v>
      </c>
      <c r="C63" s="783" t="s">
        <v>3786</v>
      </c>
      <c r="D63" s="889" t="s">
        <v>3558</v>
      </c>
      <c r="E63" s="783" t="s">
        <v>3312</v>
      </c>
      <c r="F63" s="783"/>
      <c r="G63" s="783" t="s">
        <v>3457</v>
      </c>
      <c r="H63" s="789">
        <v>45864</v>
      </c>
      <c r="I63" s="1039" t="s">
        <v>3390</v>
      </c>
      <c r="J63" s="784" t="s">
        <v>3122</v>
      </c>
      <c r="K63" s="797"/>
      <c r="L63" s="791">
        <v>1125</v>
      </c>
      <c r="M63" s="1226" t="s">
        <v>4211</v>
      </c>
      <c r="N63" s="796">
        <v>312308605</v>
      </c>
      <c r="O63" s="1016">
        <v>11111111</v>
      </c>
      <c r="P63" s="793" t="s">
        <v>3093</v>
      </c>
      <c r="Q63" s="995">
        <v>1</v>
      </c>
      <c r="R63" s="793"/>
      <c r="S63" s="793"/>
      <c r="T63" s="1145"/>
      <c r="U63" s="788"/>
      <c r="V63" s="793"/>
      <c r="W63" s="793"/>
      <c r="X63" s="793"/>
      <c r="Y63" s="793"/>
      <c r="Z63" s="793"/>
      <c r="AA63" s="793">
        <v>1</v>
      </c>
      <c r="AB63" s="793"/>
      <c r="AC63" s="793"/>
      <c r="AD63" s="793"/>
      <c r="AE63" s="793"/>
      <c r="AF63" s="793"/>
    </row>
    <row r="64" spans="2:32" s="2" customFormat="1" ht="27.6" hidden="1" customHeight="1">
      <c r="B64" s="572">
        <v>61</v>
      </c>
      <c r="C64" s="783"/>
      <c r="D64" s="783"/>
      <c r="E64" s="783" t="s">
        <v>3329</v>
      </c>
      <c r="F64" s="783"/>
      <c r="G64" s="1005" t="s">
        <v>3457</v>
      </c>
      <c r="H64" s="789">
        <v>45868</v>
      </c>
      <c r="I64" s="1157" t="s">
        <v>3393</v>
      </c>
      <c r="J64" s="784" t="s">
        <v>3122</v>
      </c>
      <c r="K64" s="797"/>
      <c r="L64" s="791">
        <v>1125</v>
      </c>
      <c r="M64" s="1226" t="s">
        <v>4211</v>
      </c>
      <c r="N64" s="796">
        <v>312319322</v>
      </c>
      <c r="O64" s="1016">
        <v>11111111</v>
      </c>
      <c r="P64" s="793" t="s">
        <v>3093</v>
      </c>
      <c r="Q64" s="995">
        <v>1</v>
      </c>
      <c r="R64" s="793"/>
      <c r="S64" s="793"/>
      <c r="T64" s="788">
        <v>1</v>
      </c>
      <c r="U64" s="788"/>
      <c r="V64" s="793"/>
      <c r="W64" s="793"/>
      <c r="X64" s="793"/>
      <c r="Y64" s="793"/>
      <c r="Z64" s="793"/>
      <c r="AA64" s="793">
        <v>1</v>
      </c>
      <c r="AB64" s="793"/>
      <c r="AC64" s="793"/>
      <c r="AD64" s="793"/>
      <c r="AE64" s="793"/>
      <c r="AF64" s="793"/>
    </row>
    <row r="65" spans="2:32" s="2" customFormat="1" ht="27.6" hidden="1" customHeight="1">
      <c r="B65" s="572">
        <f>+B64+1</f>
        <v>62</v>
      </c>
      <c r="C65" s="783">
        <v>1</v>
      </c>
      <c r="D65" s="783">
        <v>100</v>
      </c>
      <c r="E65" s="783" t="s">
        <v>3281</v>
      </c>
      <c r="F65" s="783"/>
      <c r="G65" s="783"/>
      <c r="H65" s="789">
        <v>45875</v>
      </c>
      <c r="I65" s="787" t="s">
        <v>3398</v>
      </c>
      <c r="J65" s="784" t="s">
        <v>3122</v>
      </c>
      <c r="K65" s="797"/>
      <c r="L65" s="791">
        <v>556</v>
      </c>
      <c r="M65" s="1226" t="s">
        <v>4211</v>
      </c>
      <c r="N65" s="1065">
        <v>312335969</v>
      </c>
      <c r="O65" s="1016">
        <v>11111111</v>
      </c>
      <c r="P65" s="793" t="s">
        <v>3093</v>
      </c>
      <c r="Q65" s="995"/>
      <c r="R65" s="793"/>
      <c r="S65" s="793"/>
      <c r="T65" s="788"/>
      <c r="U65" s="788"/>
      <c r="V65" s="793"/>
      <c r="W65" s="793"/>
      <c r="X65" s="793"/>
      <c r="Y65" s="793"/>
      <c r="Z65" s="793"/>
      <c r="AA65" s="793">
        <v>1</v>
      </c>
      <c r="AB65" s="793"/>
      <c r="AC65" s="793"/>
      <c r="AD65" s="793"/>
      <c r="AE65" s="793"/>
      <c r="AF65" s="793"/>
    </row>
    <row r="66" spans="2:32" s="2" customFormat="1" ht="27.6" hidden="1" customHeight="1">
      <c r="B66" s="572">
        <f t="shared" ref="B66:B86" si="1">+B65+1</f>
        <v>63</v>
      </c>
      <c r="C66" s="783"/>
      <c r="D66" s="889" t="s">
        <v>3697</v>
      </c>
      <c r="E66" s="1066" t="s">
        <v>3312</v>
      </c>
      <c r="F66" s="783"/>
      <c r="G66" s="783"/>
      <c r="H66" s="789">
        <v>45882</v>
      </c>
      <c r="I66" s="1177" t="s">
        <v>3507</v>
      </c>
      <c r="J66" s="784" t="s">
        <v>3127</v>
      </c>
      <c r="K66" s="797"/>
      <c r="L66" s="791">
        <v>1125</v>
      </c>
      <c r="M66" s="1226" t="s">
        <v>4211</v>
      </c>
      <c r="N66" s="1067">
        <v>312355524</v>
      </c>
      <c r="O66" s="1016">
        <v>11111111</v>
      </c>
      <c r="P66" s="793" t="s">
        <v>3093</v>
      </c>
      <c r="Q66" s="995"/>
      <c r="R66" s="793"/>
      <c r="S66" s="793"/>
      <c r="T66" s="788"/>
      <c r="U66" s="788"/>
      <c r="V66" s="793"/>
      <c r="W66" s="793"/>
      <c r="X66" s="793"/>
      <c r="Y66" s="793"/>
      <c r="Z66" s="793"/>
      <c r="AA66" s="793">
        <v>1</v>
      </c>
      <c r="AB66" s="793"/>
      <c r="AC66" s="793"/>
      <c r="AD66" s="793"/>
      <c r="AE66" s="793"/>
      <c r="AF66" s="793"/>
    </row>
    <row r="67" spans="2:32" s="2" customFormat="1" ht="27.6" hidden="1" customHeight="1">
      <c r="B67" s="572">
        <f t="shared" si="1"/>
        <v>64</v>
      </c>
      <c r="C67" s="783"/>
      <c r="D67" s="889" t="s">
        <v>3697</v>
      </c>
      <c r="E67" s="783" t="s">
        <v>3281</v>
      </c>
      <c r="F67" s="783"/>
      <c r="G67" s="783"/>
      <c r="H67" s="789">
        <v>45903</v>
      </c>
      <c r="I67" s="1198" t="s">
        <v>3555</v>
      </c>
      <c r="J67" s="784" t="s">
        <v>3122</v>
      </c>
      <c r="K67" s="797"/>
      <c r="L67" s="791">
        <v>1125</v>
      </c>
      <c r="M67" s="1226" t="s">
        <v>4211</v>
      </c>
      <c r="N67" s="796">
        <v>312400999</v>
      </c>
      <c r="O67" s="1016">
        <v>11111111</v>
      </c>
      <c r="P67" s="793" t="s">
        <v>3093</v>
      </c>
      <c r="Q67" s="995"/>
      <c r="R67" s="793"/>
      <c r="S67" s="793"/>
      <c r="T67" s="788"/>
      <c r="U67" s="788"/>
      <c r="V67" s="793"/>
      <c r="W67" s="793"/>
      <c r="X67" s="793"/>
      <c r="Y67" s="793"/>
      <c r="Z67" s="793"/>
      <c r="AA67" s="793">
        <v>1</v>
      </c>
      <c r="AB67" s="793"/>
      <c r="AC67" s="793"/>
      <c r="AD67" s="793"/>
      <c r="AE67" s="793"/>
      <c r="AF67" s="793"/>
    </row>
    <row r="68" spans="2:32" s="2" customFormat="1" ht="27.6" hidden="1" customHeight="1">
      <c r="B68" s="572">
        <f t="shared" si="1"/>
        <v>65</v>
      </c>
      <c r="C68" s="783"/>
      <c r="D68" s="783" t="s">
        <v>4042</v>
      </c>
      <c r="E68" s="783" t="s">
        <v>3312</v>
      </c>
      <c r="F68" s="783"/>
      <c r="G68" s="783"/>
      <c r="H68" s="789">
        <v>45905</v>
      </c>
      <c r="I68" s="787" t="s">
        <v>3556</v>
      </c>
      <c r="J68" s="784" t="s">
        <v>3338</v>
      </c>
      <c r="K68" s="797"/>
      <c r="L68" s="791">
        <v>491</v>
      </c>
      <c r="M68" s="1226" t="s">
        <v>4211</v>
      </c>
      <c r="N68" s="796">
        <v>312407459</v>
      </c>
      <c r="O68" s="1016">
        <v>11111111</v>
      </c>
      <c r="P68" s="793" t="s">
        <v>3093</v>
      </c>
      <c r="Q68" s="787">
        <v>1</v>
      </c>
      <c r="R68" s="793"/>
      <c r="S68" s="793"/>
      <c r="T68" s="788">
        <v>1</v>
      </c>
      <c r="U68" s="788"/>
      <c r="V68" s="793"/>
      <c r="W68" s="793"/>
      <c r="X68" s="793"/>
      <c r="Y68" s="793"/>
      <c r="Z68" s="793"/>
      <c r="AA68" s="793">
        <v>1</v>
      </c>
      <c r="AB68" s="793"/>
      <c r="AC68" s="793"/>
      <c r="AD68" s="793"/>
      <c r="AE68" s="793"/>
      <c r="AF68" s="793"/>
    </row>
    <row r="69" spans="2:32" s="2" customFormat="1" ht="27.6" hidden="1" customHeight="1">
      <c r="B69" s="572">
        <f t="shared" si="1"/>
        <v>66</v>
      </c>
      <c r="C69" s="783" t="s">
        <v>3936</v>
      </c>
      <c r="D69" s="783" t="s">
        <v>4042</v>
      </c>
      <c r="E69" s="1012" t="s">
        <v>3281</v>
      </c>
      <c r="F69" s="783"/>
      <c r="G69" s="889" t="s">
        <v>3959</v>
      </c>
      <c r="H69" s="789">
        <v>45906</v>
      </c>
      <c r="I69" s="787" t="s">
        <v>3557</v>
      </c>
      <c r="J69" s="784" t="s">
        <v>3343</v>
      </c>
      <c r="K69" s="797"/>
      <c r="L69" s="791">
        <v>491</v>
      </c>
      <c r="M69" s="1226" t="s">
        <v>4211</v>
      </c>
      <c r="N69" s="796">
        <v>312410543</v>
      </c>
      <c r="O69" s="1016">
        <v>11111111</v>
      </c>
      <c r="P69" s="793" t="s">
        <v>3093</v>
      </c>
      <c r="Q69" s="787">
        <v>1</v>
      </c>
      <c r="R69" s="793"/>
      <c r="S69" s="793"/>
      <c r="T69" s="788">
        <v>1</v>
      </c>
      <c r="U69" s="788"/>
      <c r="V69" s="793"/>
      <c r="W69" s="793"/>
      <c r="X69" s="793"/>
      <c r="Y69" s="793"/>
      <c r="Z69" s="793"/>
      <c r="AA69" s="793">
        <v>1</v>
      </c>
      <c r="AB69" s="793"/>
      <c r="AC69" s="793"/>
      <c r="AD69" s="793"/>
      <c r="AE69" s="793"/>
      <c r="AF69" s="793"/>
    </row>
    <row r="70" spans="2:32" s="2" customFormat="1" ht="27.6" hidden="1" customHeight="1">
      <c r="B70" s="572">
        <f t="shared" si="1"/>
        <v>67</v>
      </c>
      <c r="C70" s="783" t="s">
        <v>3936</v>
      </c>
      <c r="D70" s="783" t="s">
        <v>4042</v>
      </c>
      <c r="E70" s="783" t="s">
        <v>3281</v>
      </c>
      <c r="F70" s="783"/>
      <c r="G70" s="889" t="s">
        <v>3959</v>
      </c>
      <c r="H70" s="789">
        <v>45917</v>
      </c>
      <c r="I70" s="1080" t="s">
        <v>3627</v>
      </c>
      <c r="J70" s="784" t="s">
        <v>3343</v>
      </c>
      <c r="K70" s="797"/>
      <c r="L70" s="791">
        <v>491</v>
      </c>
      <c r="M70" s="1226" t="s">
        <v>4211</v>
      </c>
      <c r="N70" s="796">
        <v>312440260</v>
      </c>
      <c r="O70" s="792">
        <v>11111111</v>
      </c>
      <c r="P70" s="793" t="s">
        <v>3093</v>
      </c>
      <c r="Q70" s="787">
        <v>1</v>
      </c>
      <c r="R70" s="793"/>
      <c r="S70" s="793"/>
      <c r="T70" s="788">
        <v>1</v>
      </c>
      <c r="U70" s="788"/>
      <c r="V70" s="793"/>
      <c r="W70" s="793"/>
      <c r="X70" s="793"/>
      <c r="Y70" s="793"/>
      <c r="Z70" s="793"/>
      <c r="AA70" s="793">
        <v>1</v>
      </c>
      <c r="AB70" s="793"/>
      <c r="AC70" s="793"/>
      <c r="AD70" s="793"/>
      <c r="AE70" s="793"/>
      <c r="AF70" s="793"/>
    </row>
    <row r="71" spans="2:32" ht="27.6" hidden="1" customHeight="1">
      <c r="B71" s="572">
        <f t="shared" si="1"/>
        <v>68</v>
      </c>
      <c r="C71" s="783" t="s">
        <v>3936</v>
      </c>
      <c r="D71" s="783" t="s">
        <v>4069</v>
      </c>
      <c r="E71" s="889" t="s">
        <v>3281</v>
      </c>
      <c r="F71" s="783"/>
      <c r="G71" s="889" t="s">
        <v>3959</v>
      </c>
      <c r="H71" s="789">
        <v>45925</v>
      </c>
      <c r="I71" s="787" t="s">
        <v>3720</v>
      </c>
      <c r="J71" s="784" t="s">
        <v>3338</v>
      </c>
      <c r="K71" s="797"/>
      <c r="L71" s="791">
        <v>491</v>
      </c>
      <c r="M71" s="1226" t="s">
        <v>4211</v>
      </c>
      <c r="N71" s="796">
        <v>312462297</v>
      </c>
      <c r="O71" s="792">
        <v>11111111</v>
      </c>
      <c r="P71" s="793" t="s">
        <v>3093</v>
      </c>
      <c r="Q71" s="787">
        <v>1</v>
      </c>
      <c r="R71" s="793"/>
      <c r="S71" s="793"/>
      <c r="T71" s="788">
        <v>1</v>
      </c>
      <c r="U71" s="788"/>
      <c r="V71" s="793"/>
      <c r="W71" s="793"/>
      <c r="X71" s="793"/>
      <c r="Y71" s="793"/>
      <c r="Z71" s="793"/>
      <c r="AA71" s="793">
        <v>1</v>
      </c>
      <c r="AB71" s="793"/>
      <c r="AC71" s="793"/>
      <c r="AD71" s="793"/>
      <c r="AE71" s="793"/>
      <c r="AF71" s="793"/>
    </row>
    <row r="72" spans="2:32" ht="27.6" customHeight="1">
      <c r="B72" s="572">
        <f t="shared" si="1"/>
        <v>69</v>
      </c>
      <c r="C72" s="572"/>
      <c r="D72" s="572"/>
      <c r="E72" s="572"/>
      <c r="F72" s="533"/>
      <c r="G72" s="533"/>
      <c r="H72" s="562">
        <v>45936</v>
      </c>
      <c r="I72" s="1237" t="s">
        <v>3695</v>
      </c>
      <c r="J72" s="599" t="s">
        <v>3696</v>
      </c>
      <c r="K72" s="758" t="s">
        <v>4345</v>
      </c>
      <c r="L72" s="719">
        <v>491</v>
      </c>
      <c r="M72" s="719"/>
      <c r="N72" s="1027">
        <v>312484981</v>
      </c>
      <c r="O72" s="554">
        <v>1111111</v>
      </c>
      <c r="P72" s="601" t="s">
        <v>3094</v>
      </c>
      <c r="Q72" s="673"/>
      <c r="R72" s="601"/>
      <c r="S72" s="601"/>
      <c r="T72" s="591">
        <v>1</v>
      </c>
      <c r="U72" s="591"/>
      <c r="V72" s="601"/>
      <c r="W72" s="601"/>
      <c r="X72" s="601"/>
      <c r="Y72" s="601"/>
      <c r="Z72" s="601"/>
      <c r="AA72" s="601"/>
      <c r="AB72" s="601"/>
      <c r="AC72" s="601"/>
      <c r="AD72" s="601"/>
      <c r="AE72" s="601"/>
      <c r="AF72" s="601"/>
    </row>
    <row r="73" spans="2:32" ht="27.6" hidden="1" customHeight="1">
      <c r="B73" s="572">
        <f t="shared" si="1"/>
        <v>70</v>
      </c>
      <c r="C73" s="783"/>
      <c r="D73" s="783" t="s">
        <v>3697</v>
      </c>
      <c r="E73" s="783" t="s">
        <v>3312</v>
      </c>
      <c r="F73" s="783"/>
      <c r="G73" s="889" t="s">
        <v>3959</v>
      </c>
      <c r="H73" s="789">
        <v>45937</v>
      </c>
      <c r="I73" s="1253" t="s">
        <v>3698</v>
      </c>
      <c r="J73" s="784" t="s">
        <v>3122</v>
      </c>
      <c r="K73" s="797"/>
      <c r="L73" s="791">
        <v>491</v>
      </c>
      <c r="M73" s="1226" t="s">
        <v>4211</v>
      </c>
      <c r="N73" s="796">
        <v>312487424</v>
      </c>
      <c r="O73" s="792">
        <v>11111111</v>
      </c>
      <c r="P73" s="793" t="s">
        <v>3093</v>
      </c>
      <c r="Q73" s="787">
        <v>1</v>
      </c>
      <c r="R73" s="793"/>
      <c r="S73" s="793"/>
      <c r="T73" s="788">
        <v>1</v>
      </c>
      <c r="U73" s="788"/>
      <c r="V73" s="793"/>
      <c r="W73" s="793"/>
      <c r="X73" s="793"/>
      <c r="Y73" s="793"/>
      <c r="Z73" s="793"/>
      <c r="AA73" s="793"/>
      <c r="AB73" s="793"/>
      <c r="AC73" s="793"/>
      <c r="AD73" s="793"/>
      <c r="AE73" s="793"/>
      <c r="AF73" s="793"/>
    </row>
    <row r="74" spans="2:32" ht="27.6" hidden="1" customHeight="1">
      <c r="B74" s="572">
        <f t="shared" si="1"/>
        <v>71</v>
      </c>
      <c r="C74" s="572"/>
      <c r="D74" s="572">
        <v>20496</v>
      </c>
      <c r="E74" s="572" t="s">
        <v>3329</v>
      </c>
      <c r="F74" s="533"/>
      <c r="G74" s="1079" t="s">
        <v>3959</v>
      </c>
      <c r="H74" s="562">
        <v>45938</v>
      </c>
      <c r="I74" s="1240" t="s">
        <v>3728</v>
      </c>
      <c r="J74" s="599" t="s">
        <v>3343</v>
      </c>
      <c r="K74" s="758" t="s">
        <v>4344</v>
      </c>
      <c r="L74" s="719">
        <v>491</v>
      </c>
      <c r="M74" s="719"/>
      <c r="N74" s="556">
        <v>312489168</v>
      </c>
      <c r="O74" s="554">
        <v>7</v>
      </c>
      <c r="P74" s="601" t="s">
        <v>3093</v>
      </c>
      <c r="Q74" s="673">
        <v>1</v>
      </c>
      <c r="R74" s="601">
        <v>1</v>
      </c>
      <c r="S74" s="601"/>
      <c r="T74" s="591"/>
      <c r="U74" s="591"/>
      <c r="V74" s="601"/>
      <c r="W74" s="601"/>
      <c r="X74" s="601"/>
      <c r="Y74" s="601"/>
      <c r="Z74" s="601"/>
      <c r="AA74" s="601"/>
      <c r="AB74" s="601"/>
      <c r="AC74" s="601"/>
      <c r="AD74" s="601"/>
      <c r="AE74" s="601"/>
      <c r="AF74" s="601"/>
    </row>
    <row r="75" spans="2:32" ht="27.6" hidden="1" customHeight="1">
      <c r="B75" s="577">
        <v>72</v>
      </c>
      <c r="C75" s="830" t="s">
        <v>3936</v>
      </c>
      <c r="D75" s="830"/>
      <c r="E75" s="1031" t="s">
        <v>3281</v>
      </c>
      <c r="F75" s="830"/>
      <c r="G75" s="830"/>
      <c r="H75" s="831">
        <v>45946</v>
      </c>
      <c r="I75" s="837" t="s">
        <v>3813</v>
      </c>
      <c r="J75" s="832" t="s">
        <v>3122</v>
      </c>
      <c r="K75" s="833"/>
      <c r="L75" s="834">
        <v>491</v>
      </c>
      <c r="M75" s="1226" t="s">
        <v>4211</v>
      </c>
      <c r="N75" s="835">
        <v>312507904</v>
      </c>
      <c r="O75" s="1242" t="s">
        <v>3986</v>
      </c>
      <c r="P75" s="838" t="s">
        <v>3093</v>
      </c>
      <c r="Q75" s="837">
        <v>1</v>
      </c>
      <c r="R75" s="838"/>
      <c r="S75" s="838"/>
      <c r="T75" s="839">
        <v>1</v>
      </c>
      <c r="U75" s="839"/>
      <c r="V75" s="838"/>
      <c r="W75" s="838"/>
      <c r="X75" s="838"/>
      <c r="Y75" s="838"/>
      <c r="Z75" s="838"/>
      <c r="AA75" s="838"/>
      <c r="AB75" s="838"/>
      <c r="AC75" s="838"/>
      <c r="AD75" s="838"/>
      <c r="AE75" s="838"/>
      <c r="AF75" s="838"/>
    </row>
    <row r="76" spans="2:32" ht="27.6" hidden="1" customHeight="1">
      <c r="B76" s="572">
        <f t="shared" si="1"/>
        <v>73</v>
      </c>
      <c r="C76" s="783"/>
      <c r="D76" s="783" t="s">
        <v>3697</v>
      </c>
      <c r="E76" s="1224" t="s">
        <v>3312</v>
      </c>
      <c r="F76" s="783"/>
      <c r="G76" s="889" t="s">
        <v>3959</v>
      </c>
      <c r="H76" s="789">
        <v>45946</v>
      </c>
      <c r="I76" s="1253" t="s">
        <v>3817</v>
      </c>
      <c r="J76" s="784" t="s">
        <v>3127</v>
      </c>
      <c r="K76" s="797"/>
      <c r="L76" s="791">
        <v>491</v>
      </c>
      <c r="M76" s="1226" t="s">
        <v>4211</v>
      </c>
      <c r="N76" s="796">
        <v>312508499</v>
      </c>
      <c r="O76" s="792">
        <v>7</v>
      </c>
      <c r="P76" s="793" t="s">
        <v>3093</v>
      </c>
      <c r="Q76" s="787">
        <v>1</v>
      </c>
      <c r="R76" s="793">
        <v>1</v>
      </c>
      <c r="S76" s="793"/>
      <c r="T76" s="788"/>
      <c r="U76" s="788"/>
      <c r="V76" s="793"/>
      <c r="W76" s="793"/>
      <c r="X76" s="793"/>
      <c r="Y76" s="793"/>
      <c r="Z76" s="793"/>
      <c r="AA76" s="793"/>
      <c r="AB76" s="793"/>
      <c r="AC76" s="793"/>
      <c r="AD76" s="793"/>
      <c r="AE76" s="793"/>
      <c r="AF76" s="793"/>
    </row>
    <row r="77" spans="2:32" ht="27.6" hidden="1" customHeight="1">
      <c r="B77" s="572">
        <f t="shared" si="1"/>
        <v>74</v>
      </c>
      <c r="C77" s="783" t="s">
        <v>3936</v>
      </c>
      <c r="D77" s="783">
        <v>97446</v>
      </c>
      <c r="E77" s="783" t="s">
        <v>3281</v>
      </c>
      <c r="F77" s="783"/>
      <c r="G77" s="783" t="s">
        <v>4110</v>
      </c>
      <c r="H77" s="789">
        <v>45950</v>
      </c>
      <c r="I77" s="787" t="s">
        <v>3932</v>
      </c>
      <c r="J77" s="784" t="s">
        <v>3343</v>
      </c>
      <c r="K77" s="797"/>
      <c r="L77" s="791">
        <v>491</v>
      </c>
      <c r="M77" s="1226" t="s">
        <v>4211</v>
      </c>
      <c r="N77" s="796">
        <v>312515775</v>
      </c>
      <c r="O77" s="1225" t="s">
        <v>3985</v>
      </c>
      <c r="P77" s="793" t="s">
        <v>3093</v>
      </c>
      <c r="Q77" s="787">
        <v>1</v>
      </c>
      <c r="R77" s="793">
        <v>1</v>
      </c>
      <c r="S77" s="793"/>
      <c r="T77" s="788"/>
      <c r="U77" s="788"/>
      <c r="V77" s="793"/>
      <c r="W77" s="793"/>
      <c r="X77" s="793"/>
      <c r="Y77" s="793"/>
      <c r="Z77" s="793"/>
      <c r="AA77" s="793"/>
      <c r="AB77" s="793"/>
      <c r="AC77" s="793"/>
      <c r="AD77" s="793"/>
      <c r="AE77" s="793"/>
      <c r="AF77" s="793"/>
    </row>
    <row r="78" spans="2:32" ht="27.6" hidden="1" customHeight="1">
      <c r="B78" s="572">
        <f t="shared" si="1"/>
        <v>75</v>
      </c>
      <c r="C78" s="572"/>
      <c r="D78" s="1156">
        <v>97000</v>
      </c>
      <c r="E78" s="572" t="s">
        <v>3281</v>
      </c>
      <c r="F78" s="533"/>
      <c r="G78" s="533" t="s">
        <v>4110</v>
      </c>
      <c r="H78" s="562">
        <v>45950</v>
      </c>
      <c r="I78" s="787" t="s">
        <v>3839</v>
      </c>
      <c r="J78" s="599" t="s">
        <v>3122</v>
      </c>
      <c r="K78" s="758" t="s">
        <v>4343</v>
      </c>
      <c r="L78" s="719">
        <v>556</v>
      </c>
      <c r="M78" s="1226" t="s">
        <v>4211</v>
      </c>
      <c r="N78" s="556">
        <v>312517187</v>
      </c>
      <c r="O78" s="554"/>
      <c r="P78" s="601" t="s">
        <v>3093</v>
      </c>
      <c r="Q78" s="673">
        <v>1</v>
      </c>
      <c r="R78" s="601">
        <v>1</v>
      </c>
      <c r="S78" s="601"/>
      <c r="T78" s="591"/>
      <c r="U78" s="591"/>
      <c r="V78" s="601"/>
      <c r="W78" s="601"/>
      <c r="X78" s="601"/>
      <c r="Y78" s="601"/>
      <c r="Z78" s="601"/>
      <c r="AA78" s="601"/>
      <c r="AB78" s="601"/>
      <c r="AC78" s="601"/>
      <c r="AD78" s="601"/>
      <c r="AE78" s="601"/>
      <c r="AF78" s="601"/>
    </row>
    <row r="79" spans="2:32" ht="27.6" customHeight="1">
      <c r="B79" s="572">
        <f t="shared" si="1"/>
        <v>76</v>
      </c>
      <c r="C79" s="572"/>
      <c r="D79" s="572"/>
      <c r="E79" s="572" t="s">
        <v>4014</v>
      </c>
      <c r="F79" s="533"/>
      <c r="G79" s="533"/>
      <c r="H79" s="562">
        <v>45958</v>
      </c>
      <c r="I79" s="1236" t="s">
        <v>3905</v>
      </c>
      <c r="J79" s="599" t="s">
        <v>3343</v>
      </c>
      <c r="K79" s="758" t="s">
        <v>4342</v>
      </c>
      <c r="L79" s="719">
        <v>1125</v>
      </c>
      <c r="M79" s="719"/>
      <c r="N79" s="556">
        <v>312535355</v>
      </c>
      <c r="O79" s="1204" t="s">
        <v>4157</v>
      </c>
      <c r="P79" s="601" t="s">
        <v>3092</v>
      </c>
      <c r="Q79" s="673"/>
      <c r="R79" s="601"/>
      <c r="S79" s="601"/>
      <c r="T79" s="591"/>
      <c r="U79" s="591"/>
      <c r="V79" s="601"/>
      <c r="W79" s="601"/>
      <c r="X79" s="601"/>
      <c r="Y79" s="601"/>
      <c r="Z79" s="601"/>
      <c r="AA79" s="601"/>
      <c r="AB79" s="601"/>
      <c r="AC79" s="601"/>
      <c r="AD79" s="601"/>
      <c r="AE79" s="601"/>
      <c r="AF79" s="601"/>
    </row>
    <row r="80" spans="2:32" ht="27.6" hidden="1" customHeight="1">
      <c r="B80" s="572">
        <f t="shared" si="1"/>
        <v>77</v>
      </c>
      <c r="C80" s="572"/>
      <c r="D80" s="572"/>
      <c r="E80" s="572" t="s">
        <v>3281</v>
      </c>
      <c r="F80" s="533"/>
      <c r="G80" s="533" t="s">
        <v>4110</v>
      </c>
      <c r="H80" s="562">
        <v>45967</v>
      </c>
      <c r="I80" s="1240" t="s">
        <v>4000</v>
      </c>
      <c r="J80" s="599" t="s">
        <v>3127</v>
      </c>
      <c r="K80" s="758" t="s">
        <v>4341</v>
      </c>
      <c r="L80" s="719">
        <v>579</v>
      </c>
      <c r="M80" s="1226" t="s">
        <v>4211</v>
      </c>
      <c r="N80" s="556">
        <v>312558818</v>
      </c>
      <c r="O80" s="1099">
        <v>7</v>
      </c>
      <c r="P80" s="601" t="s">
        <v>3093</v>
      </c>
      <c r="Q80" s="673">
        <v>1</v>
      </c>
      <c r="R80" s="601">
        <v>1</v>
      </c>
      <c r="S80" s="601"/>
      <c r="T80" s="591"/>
      <c r="U80" s="591"/>
      <c r="V80" s="601"/>
      <c r="W80" s="601"/>
      <c r="X80" s="601"/>
      <c r="Y80" s="601"/>
      <c r="Z80" s="601"/>
      <c r="AA80" s="601"/>
      <c r="AB80" s="601"/>
      <c r="AC80" s="601"/>
      <c r="AD80" s="601"/>
      <c r="AE80" s="601"/>
      <c r="AF80" s="601"/>
    </row>
    <row r="81" spans="2:32" ht="27.6" hidden="1" customHeight="1">
      <c r="B81" s="572">
        <f t="shared" si="1"/>
        <v>78</v>
      </c>
      <c r="C81" s="783"/>
      <c r="D81" s="783"/>
      <c r="E81" s="1224" t="s">
        <v>3312</v>
      </c>
      <c r="F81" s="783"/>
      <c r="G81" s="783"/>
      <c r="H81" s="789">
        <v>45968</v>
      </c>
      <c r="I81" s="1198" t="s">
        <v>4006</v>
      </c>
      <c r="J81" s="784" t="s">
        <v>3127</v>
      </c>
      <c r="K81" s="797"/>
      <c r="L81" s="791">
        <v>556</v>
      </c>
      <c r="M81" s="1226" t="s">
        <v>4211</v>
      </c>
      <c r="N81" s="796">
        <v>312560294</v>
      </c>
      <c r="O81" s="1225" t="s">
        <v>4007</v>
      </c>
      <c r="P81" s="793" t="s">
        <v>3093</v>
      </c>
      <c r="Q81" s="787">
        <v>1</v>
      </c>
      <c r="R81" s="793">
        <v>1</v>
      </c>
      <c r="S81" s="793"/>
      <c r="T81" s="788"/>
      <c r="U81" s="788"/>
      <c r="V81" s="793"/>
      <c r="W81" s="793"/>
      <c r="X81" s="793"/>
      <c r="Y81" s="793"/>
      <c r="Z81" s="793"/>
      <c r="AA81" s="793"/>
      <c r="AB81" s="793"/>
      <c r="AC81" s="793"/>
      <c r="AD81" s="793"/>
      <c r="AE81" s="793"/>
      <c r="AF81" s="793"/>
    </row>
    <row r="82" spans="2:32" ht="27.6" hidden="1" customHeight="1">
      <c r="B82" s="572">
        <f t="shared" si="1"/>
        <v>79</v>
      </c>
      <c r="C82" s="572"/>
      <c r="D82" s="572"/>
      <c r="E82" s="572" t="s">
        <v>3281</v>
      </c>
      <c r="F82" s="533"/>
      <c r="G82" s="533"/>
      <c r="H82" s="562">
        <v>45972</v>
      </c>
      <c r="I82" s="1240" t="s">
        <v>4045</v>
      </c>
      <c r="J82" s="599" t="s">
        <v>3122</v>
      </c>
      <c r="K82" s="758" t="s">
        <v>4340</v>
      </c>
      <c r="L82" s="719">
        <v>556</v>
      </c>
      <c r="M82" s="1226" t="s">
        <v>4211</v>
      </c>
      <c r="N82" s="556">
        <v>312567094</v>
      </c>
      <c r="O82" s="1238" t="s">
        <v>4157</v>
      </c>
      <c r="P82" s="601" t="s">
        <v>3093</v>
      </c>
      <c r="Q82" s="673">
        <v>1</v>
      </c>
      <c r="R82" s="601">
        <v>1</v>
      </c>
      <c r="S82" s="601"/>
      <c r="T82" s="591"/>
      <c r="U82" s="591"/>
      <c r="V82" s="601"/>
      <c r="W82" s="601"/>
      <c r="X82" s="601"/>
      <c r="Y82" s="601"/>
      <c r="Z82" s="601"/>
      <c r="AA82" s="601"/>
      <c r="AB82" s="601"/>
      <c r="AC82" s="601"/>
      <c r="AD82" s="601"/>
      <c r="AE82" s="601"/>
      <c r="AF82" s="601"/>
    </row>
    <row r="83" spans="2:32" ht="27.6" hidden="1" customHeight="1">
      <c r="B83" s="572">
        <f t="shared" si="1"/>
        <v>80</v>
      </c>
      <c r="C83" s="572"/>
      <c r="D83" s="572"/>
      <c r="E83" s="572" t="s">
        <v>3281</v>
      </c>
      <c r="F83" s="533"/>
      <c r="G83" s="533"/>
      <c r="H83" s="562">
        <v>45973</v>
      </c>
      <c r="I83" s="1241" t="s">
        <v>4072</v>
      </c>
      <c r="J83" s="599" t="s">
        <v>3122</v>
      </c>
      <c r="K83" s="758" t="s">
        <v>4339</v>
      </c>
      <c r="L83" s="719">
        <v>556</v>
      </c>
      <c r="M83" s="1226" t="s">
        <v>4211</v>
      </c>
      <c r="N83" s="556">
        <v>312575457</v>
      </c>
      <c r="O83" s="554">
        <v>7</v>
      </c>
      <c r="P83" s="601" t="s">
        <v>3093</v>
      </c>
      <c r="Q83" s="673">
        <v>1</v>
      </c>
      <c r="R83" s="601">
        <v>1</v>
      </c>
      <c r="S83" s="601"/>
      <c r="T83" s="591"/>
      <c r="U83" s="591"/>
      <c r="V83" s="601"/>
      <c r="W83" s="601"/>
      <c r="X83" s="601"/>
      <c r="Y83" s="601"/>
      <c r="Z83" s="601"/>
      <c r="AA83" s="601"/>
      <c r="AB83" s="601"/>
      <c r="AC83" s="601"/>
      <c r="AD83" s="601"/>
      <c r="AE83" s="601"/>
      <c r="AF83" s="601"/>
    </row>
    <row r="84" spans="2:32" ht="27.6" customHeight="1">
      <c r="B84" s="572">
        <v>81</v>
      </c>
      <c r="C84" s="572"/>
      <c r="D84" s="572"/>
      <c r="E84" s="572" t="s">
        <v>3281</v>
      </c>
      <c r="F84" s="533"/>
      <c r="G84" s="533"/>
      <c r="H84" s="562">
        <v>45979</v>
      </c>
      <c r="I84" s="1236" t="s">
        <v>4111</v>
      </c>
      <c r="J84" s="1187" t="s">
        <v>3127</v>
      </c>
      <c r="K84" s="758" t="s">
        <v>4338</v>
      </c>
      <c r="L84" s="719">
        <v>556</v>
      </c>
      <c r="M84" s="719"/>
      <c r="N84" s="556">
        <v>312586815</v>
      </c>
      <c r="O84" s="1255" t="s">
        <v>4321</v>
      </c>
      <c r="P84" s="601" t="s">
        <v>3093</v>
      </c>
      <c r="Q84" s="673">
        <v>1</v>
      </c>
      <c r="R84" s="601">
        <v>1</v>
      </c>
      <c r="S84" s="601"/>
      <c r="T84" s="591"/>
      <c r="U84" s="591"/>
      <c r="V84" s="601"/>
      <c r="W84" s="601"/>
      <c r="X84" s="601"/>
      <c r="Y84" s="601"/>
      <c r="Z84" s="601"/>
      <c r="AA84" s="601"/>
      <c r="AB84" s="601"/>
      <c r="AC84" s="601"/>
      <c r="AD84" s="601"/>
      <c r="AE84" s="601"/>
      <c r="AF84" s="601"/>
    </row>
    <row r="85" spans="2:32" ht="27.6" customHeight="1">
      <c r="B85" s="572">
        <f t="shared" si="1"/>
        <v>82</v>
      </c>
      <c r="C85" s="572"/>
      <c r="D85" s="572"/>
      <c r="E85" s="572"/>
      <c r="F85" s="533"/>
      <c r="G85" s="533"/>
      <c r="H85" s="562">
        <v>45986</v>
      </c>
      <c r="I85" s="564" t="s">
        <v>4145</v>
      </c>
      <c r="J85" s="1187" t="s">
        <v>4146</v>
      </c>
      <c r="K85" s="1187">
        <v>2.0208000007352799E+19</v>
      </c>
      <c r="L85" s="1188">
        <v>816</v>
      </c>
      <c r="M85" s="1188"/>
      <c r="N85" s="1189">
        <v>312599102</v>
      </c>
      <c r="O85" s="1255" t="s">
        <v>4152</v>
      </c>
      <c r="P85" s="601" t="s">
        <v>3094</v>
      </c>
      <c r="Q85" s="673">
        <v>1</v>
      </c>
      <c r="R85" s="601"/>
      <c r="S85" s="601"/>
      <c r="T85" s="591">
        <v>1</v>
      </c>
      <c r="U85" s="591"/>
      <c r="V85" s="601"/>
      <c r="W85" s="601"/>
      <c r="X85" s="601"/>
      <c r="Y85" s="601"/>
      <c r="Z85" s="601"/>
      <c r="AA85" s="601"/>
      <c r="AB85" s="601"/>
      <c r="AC85" s="601"/>
      <c r="AD85" s="601"/>
      <c r="AE85" s="601"/>
      <c r="AF85" s="601"/>
    </row>
    <row r="86" spans="2:32" ht="27.6" customHeight="1">
      <c r="B86" s="572">
        <f t="shared" si="1"/>
        <v>83</v>
      </c>
      <c r="C86" s="572"/>
      <c r="D86" s="572"/>
      <c r="E86" s="572"/>
      <c r="F86" s="533"/>
      <c r="G86" s="533"/>
      <c r="H86" s="562">
        <v>46028</v>
      </c>
      <c r="I86" s="1254" t="s">
        <v>4384</v>
      </c>
      <c r="J86" s="1244" t="s">
        <v>3122</v>
      </c>
      <c r="K86" s="1244"/>
      <c r="L86" s="1245">
        <v>556</v>
      </c>
      <c r="M86" s="1246"/>
      <c r="N86" s="1247">
        <v>312696393</v>
      </c>
      <c r="O86" s="1248">
        <v>7</v>
      </c>
      <c r="P86" s="601" t="s">
        <v>3092</v>
      </c>
      <c r="Q86" s="673"/>
      <c r="R86" s="601"/>
      <c r="S86" s="601"/>
      <c r="T86" s="591"/>
      <c r="U86" s="591"/>
      <c r="V86" s="601"/>
      <c r="W86" s="601"/>
      <c r="X86" s="601"/>
      <c r="Y86" s="601"/>
      <c r="Z86" s="601"/>
      <c r="AA86" s="601"/>
      <c r="AB86" s="601"/>
      <c r="AC86" s="601"/>
      <c r="AD86" s="601"/>
      <c r="AE86" s="601"/>
      <c r="AF86" s="601"/>
    </row>
    <row r="87" spans="2:32" ht="27.6" hidden="1" customHeight="1">
      <c r="J87" s="1056"/>
      <c r="K87" s="1056"/>
      <c r="L87" s="1108"/>
      <c r="M87" s="1108"/>
      <c r="N87" s="916"/>
      <c r="P87" s="916"/>
    </row>
    <row r="88" spans="2:32" ht="27.6" hidden="1" customHeight="1">
      <c r="J88" s="1056"/>
      <c r="K88" s="1056"/>
      <c r="L88" s="1108"/>
      <c r="M88" s="1108"/>
      <c r="N88" s="916"/>
    </row>
    <row r="89" spans="2:32" ht="27.6" hidden="1" customHeight="1">
      <c r="J89" s="1056"/>
      <c r="K89" s="1056"/>
      <c r="L89" s="1108"/>
      <c r="M89" s="1108"/>
      <c r="N89" s="916"/>
    </row>
    <row r="90" spans="2:32" ht="27.6" hidden="1" customHeight="1">
      <c r="J90" s="1056"/>
      <c r="K90" s="1056"/>
      <c r="L90" s="1108"/>
      <c r="M90" s="1108"/>
      <c r="N90" s="916"/>
    </row>
    <row r="91" spans="2:32" ht="27.6" hidden="1" customHeight="1">
      <c r="J91" s="1056"/>
      <c r="K91" s="1056"/>
      <c r="L91" s="1108"/>
      <c r="M91" s="1108"/>
      <c r="N91" s="916"/>
    </row>
    <row r="92" spans="2:32" ht="27.6" hidden="1" customHeight="1">
      <c r="J92" s="1056"/>
      <c r="K92" s="1056"/>
      <c r="L92" s="1108"/>
      <c r="M92" s="1108"/>
      <c r="N92" s="916"/>
      <c r="O92" s="916"/>
    </row>
    <row r="94" spans="2:32" ht="27.6" customHeight="1">
      <c r="M94" s="560" t="s">
        <v>4404</v>
      </c>
    </row>
  </sheetData>
  <autoFilter ref="A1:AM92">
    <filterColumn colId="8">
      <colorFilter dxfId="2"/>
    </filterColumn>
  </autoFilter>
  <conditionalFormatting sqref="I28:I43 I1:I26 I69:I70 I45:I67 I72:I83 I88:I65536 I85:I86">
    <cfRule type="duplicateValues" dxfId="1" priority="9"/>
  </conditionalFormatting>
  <pageMargins left="0.25" right="0.25" top="0.75" bottom="0.75" header="0.3" footer="0.3"/>
  <pageSetup paperSize="9"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
  <sheetViews>
    <sheetView workbookViewId="0"/>
  </sheetViews>
  <sheetFormatPr defaultRowHeight="14.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8"/>
  <dimension ref="A1:O45"/>
  <sheetViews>
    <sheetView topLeftCell="E1" workbookViewId="0">
      <selection activeCell="N2" sqref="N2"/>
    </sheetView>
  </sheetViews>
  <sheetFormatPr defaultRowHeight="14.4"/>
  <cols>
    <col min="1" max="1" width="10.109375" bestFit="1" customWidth="1"/>
    <col min="2" max="2" width="18" bestFit="1" customWidth="1"/>
    <col min="3" max="3" width="16.77734375" customWidth="1"/>
    <col min="4" max="4" width="19" customWidth="1"/>
    <col min="5" max="5" width="16.33203125" customWidth="1"/>
    <col min="6" max="6" width="15.5546875" customWidth="1"/>
    <col min="7" max="7" width="16.77734375" customWidth="1"/>
    <col min="8" max="8" width="19.44140625" customWidth="1"/>
    <col min="9" max="9" width="16.33203125" customWidth="1"/>
    <col min="10" max="10" width="21" customWidth="1"/>
    <col min="11" max="11" width="16.21875" customWidth="1"/>
    <col min="12" max="12" width="16.77734375" customWidth="1"/>
    <col min="13" max="13" width="14.88671875" customWidth="1"/>
    <col min="14" max="14" width="16.21875" customWidth="1"/>
    <col min="15" max="15" width="15" style="3" bestFit="1" customWidth="1"/>
  </cols>
  <sheetData>
    <row r="1" spans="1:15" s="648" customFormat="1" ht="15" customHeight="1">
      <c r="A1" s="646" t="s">
        <v>0</v>
      </c>
      <c r="B1" s="1549" t="s">
        <v>3198</v>
      </c>
      <c r="C1" s="1550"/>
      <c r="D1" s="646" t="s">
        <v>3199</v>
      </c>
      <c r="E1" s="646" t="s">
        <v>3200</v>
      </c>
      <c r="F1" s="646" t="s">
        <v>3201</v>
      </c>
      <c r="G1" s="646" t="s">
        <v>3202</v>
      </c>
      <c r="H1" s="646" t="s">
        <v>3203</v>
      </c>
      <c r="I1" s="646" t="s">
        <v>3204</v>
      </c>
      <c r="J1" s="646" t="s">
        <v>3205</v>
      </c>
      <c r="K1" s="646" t="s">
        <v>3206</v>
      </c>
      <c r="L1" s="646" t="s">
        <v>3207</v>
      </c>
      <c r="M1" s="646" t="s">
        <v>3208</v>
      </c>
      <c r="N1" s="646" t="s">
        <v>3209</v>
      </c>
      <c r="O1" s="647" t="s">
        <v>3210</v>
      </c>
    </row>
    <row r="2" spans="1:15" s="3" customFormat="1">
      <c r="A2" s="649">
        <v>1</v>
      </c>
      <c r="B2" s="1551">
        <v>5000000</v>
      </c>
      <c r="C2" s="1552"/>
      <c r="D2" s="644">
        <v>6500000</v>
      </c>
      <c r="E2" s="798">
        <v>6000000</v>
      </c>
      <c r="F2" s="828">
        <f>2000000+3000000+120000+100000+100000+680000</f>
        <v>6000000</v>
      </c>
      <c r="G2" s="644">
        <v>10000000</v>
      </c>
      <c r="H2" s="644">
        <v>9000000</v>
      </c>
      <c r="I2" s="644"/>
      <c r="J2" s="644">
        <f>1000000+500000+1000000+100000+1000000+2400000</f>
        <v>6000000</v>
      </c>
      <c r="K2" s="644">
        <f>4000000+6500000</f>
        <v>10500000</v>
      </c>
      <c r="L2" s="644">
        <f>1500000+500000</f>
        <v>2000000</v>
      </c>
      <c r="M2" s="644">
        <f>1000000+1064000+900000+3000000</f>
        <v>5964000</v>
      </c>
      <c r="N2" s="645">
        <f>3500000+500000-800000</f>
        <v>3200000</v>
      </c>
      <c r="O2" s="49">
        <f>B2+D2+E2+F2+G2+H2+I2+J2+K2+L2+M2+N2-M2-N2</f>
        <v>61000000</v>
      </c>
    </row>
    <row r="3" spans="1:15">
      <c r="A3" s="637">
        <v>2</v>
      </c>
      <c r="B3" s="1553"/>
      <c r="C3" s="1554"/>
      <c r="D3" s="639"/>
      <c r="E3" s="640"/>
      <c r="F3" s="641"/>
      <c r="G3" s="642"/>
      <c r="H3" s="614"/>
      <c r="I3" s="643"/>
      <c r="J3" s="641"/>
      <c r="K3" s="639"/>
      <c r="L3" s="641"/>
      <c r="M3" s="639"/>
      <c r="N3" s="642"/>
      <c r="O3" s="49">
        <f>B3+D3+E3+F3+G3+H3+I3+J3+K3+L3+M3+N3</f>
        <v>0</v>
      </c>
    </row>
    <row r="4" spans="1:15">
      <c r="A4" s="637">
        <v>3</v>
      </c>
      <c r="B4" s="1553"/>
      <c r="C4" s="1554"/>
      <c r="D4" s="639"/>
      <c r="E4" s="640"/>
      <c r="F4" s="641"/>
      <c r="G4" s="642"/>
      <c r="H4" s="614"/>
      <c r="I4" s="643"/>
      <c r="J4" s="641"/>
      <c r="K4" s="639"/>
      <c r="L4" s="641"/>
      <c r="M4" s="639"/>
      <c r="N4" s="642"/>
      <c r="O4" s="49">
        <f>B4+D4+E4+F4+G4+H4+I4+J4+K4+L4+M4+N4</f>
        <v>0</v>
      </c>
    </row>
    <row r="5" spans="1:15">
      <c r="A5" s="637">
        <v>4</v>
      </c>
      <c r="B5" s="1553"/>
      <c r="C5" s="1554"/>
      <c r="D5" s="639"/>
      <c r="E5" s="640"/>
      <c r="F5" s="641"/>
      <c r="G5" s="642"/>
      <c r="H5" s="614"/>
      <c r="I5" s="643"/>
      <c r="J5" s="641"/>
      <c r="K5" s="639"/>
      <c r="L5" s="641"/>
      <c r="M5" s="639"/>
      <c r="N5" s="642"/>
      <c r="O5" s="49">
        <f>B5+D5+E5+F5+G5+H5+I5+J5+K5+L5+M5+N5</f>
        <v>0</v>
      </c>
    </row>
    <row r="6" spans="1:15">
      <c r="A6" s="637">
        <v>5</v>
      </c>
      <c r="B6" s="1553"/>
      <c r="C6" s="1554"/>
      <c r="D6" s="639"/>
      <c r="E6" s="640"/>
      <c r="F6" s="641"/>
      <c r="G6" s="642"/>
      <c r="H6" s="614"/>
      <c r="I6" s="643"/>
      <c r="J6" s="641"/>
      <c r="K6" s="639"/>
      <c r="L6" s="641"/>
      <c r="M6" s="639"/>
      <c r="N6" s="642"/>
      <c r="O6" s="49">
        <f>B6+D6+E6+F6+G6+H6+I6+J6+K6+L6+M6+N6</f>
        <v>0</v>
      </c>
    </row>
    <row r="7" spans="1:15">
      <c r="A7" s="637">
        <v>6</v>
      </c>
      <c r="B7" s="1553"/>
      <c r="C7" s="1554"/>
      <c r="D7" s="639"/>
      <c r="E7" s="640"/>
      <c r="F7" s="641"/>
      <c r="G7" s="642"/>
      <c r="H7" s="614"/>
      <c r="I7" s="643"/>
      <c r="J7" s="641"/>
      <c r="K7" s="639"/>
      <c r="L7" s="641"/>
      <c r="M7" s="639"/>
      <c r="N7" s="642"/>
      <c r="O7" s="49">
        <f>B7+D7+E7+F7+G7+H7+I7+J7+K7+L7+M7+N7</f>
        <v>0</v>
      </c>
    </row>
    <row r="9" spans="1:15">
      <c r="D9" s="650" t="s">
        <v>3211</v>
      </c>
      <c r="K9" s="661"/>
    </row>
    <row r="10" spans="1:15">
      <c r="A10" s="1235" t="s">
        <v>3350</v>
      </c>
      <c r="B10" s="1555" t="s">
        <v>3211</v>
      </c>
      <c r="C10" s="1556"/>
      <c r="D10" s="1557"/>
      <c r="E10" s="1559"/>
      <c r="F10" s="1559"/>
      <c r="G10" s="651" t="s">
        <v>0</v>
      </c>
      <c r="H10" s="655" t="s">
        <v>3220</v>
      </c>
      <c r="I10" s="655"/>
      <c r="J10" s="655"/>
    </row>
    <row r="11" spans="1:15">
      <c r="A11" s="1234">
        <v>46015</v>
      </c>
      <c r="B11" s="1233" t="s">
        <v>4349</v>
      </c>
      <c r="C11" s="644">
        <f>265*12000+480000+420000</f>
        <v>4080000</v>
      </c>
      <c r="D11" s="1233" t="s">
        <v>4350</v>
      </c>
      <c r="E11" s="1558"/>
      <c r="F11" s="1558"/>
      <c r="G11" s="615">
        <v>1</v>
      </c>
      <c r="H11" s="871" t="s">
        <v>3335</v>
      </c>
      <c r="I11" s="855">
        <v>460000</v>
      </c>
      <c r="J11" s="854" t="s">
        <v>3318</v>
      </c>
    </row>
    <row r="12" spans="1:15">
      <c r="A12" s="615"/>
      <c r="B12" s="827"/>
      <c r="C12" s="868"/>
      <c r="D12" s="1129"/>
      <c r="E12" s="1561"/>
      <c r="F12" s="1561"/>
      <c r="G12" s="615">
        <v>2</v>
      </c>
      <c r="H12" s="871" t="s">
        <v>3335</v>
      </c>
      <c r="I12" s="644">
        <v>300000</v>
      </c>
      <c r="J12" s="854" t="s">
        <v>3318</v>
      </c>
    </row>
    <row r="13" spans="1:15">
      <c r="A13" s="615"/>
      <c r="B13" s="827"/>
      <c r="C13" s="644"/>
      <c r="D13" s="638"/>
      <c r="E13" s="1561"/>
      <c r="F13" s="1561"/>
      <c r="G13" s="615">
        <v>3</v>
      </c>
      <c r="H13" s="854" t="s">
        <v>3319</v>
      </c>
      <c r="I13" s="644">
        <v>500000</v>
      </c>
      <c r="J13" s="854" t="s">
        <v>3320</v>
      </c>
    </row>
    <row r="14" spans="1:15">
      <c r="A14" s="615"/>
      <c r="B14" s="851"/>
      <c r="C14" s="638"/>
      <c r="D14" s="644"/>
      <c r="E14" s="1561"/>
      <c r="F14" s="1561"/>
      <c r="G14" s="615">
        <v>4</v>
      </c>
      <c r="H14" s="638"/>
      <c r="I14" s="644"/>
      <c r="J14" s="638"/>
    </row>
    <row r="15" spans="1:15">
      <c r="A15" s="615"/>
      <c r="B15" s="638"/>
      <c r="C15" s="638"/>
      <c r="D15" s="644"/>
      <c r="E15" s="1561"/>
      <c r="F15" s="1561"/>
      <c r="G15" s="615">
        <v>5</v>
      </c>
      <c r="H15" s="871" t="s">
        <v>3335</v>
      </c>
      <c r="I15" s="644">
        <v>600000</v>
      </c>
      <c r="J15" s="638" t="s">
        <v>3333</v>
      </c>
    </row>
    <row r="16" spans="1:15">
      <c r="A16" s="615"/>
      <c r="B16" s="638"/>
      <c r="C16" s="638"/>
      <c r="D16" s="638"/>
      <c r="E16" s="1561"/>
      <c r="F16" s="1561"/>
      <c r="G16" s="615">
        <v>6</v>
      </c>
      <c r="H16" s="871" t="s">
        <v>3335</v>
      </c>
      <c r="I16" s="644">
        <v>1000000</v>
      </c>
      <c r="J16" s="638" t="s">
        <v>3334</v>
      </c>
    </row>
    <row r="17" spans="1:15">
      <c r="A17" s="615"/>
      <c r="B17" s="638"/>
      <c r="C17" s="638"/>
      <c r="D17" s="638"/>
      <c r="E17" s="1561"/>
      <c r="F17" s="1561"/>
      <c r="G17" s="656">
        <v>7</v>
      </c>
      <c r="H17" s="638"/>
      <c r="I17" s="644"/>
      <c r="J17" s="638"/>
    </row>
    <row r="18" spans="1:15">
      <c r="A18" s="615"/>
      <c r="B18" s="638"/>
      <c r="C18" s="638"/>
      <c r="D18" s="638"/>
      <c r="E18" s="1561"/>
      <c r="F18" s="1561"/>
      <c r="G18" s="655"/>
      <c r="H18" s="638" t="s">
        <v>3336</v>
      </c>
      <c r="I18" s="644">
        <v>500000</v>
      </c>
      <c r="J18" s="638" t="s">
        <v>3337</v>
      </c>
    </row>
    <row r="19" spans="1:15">
      <c r="A19" s="615"/>
      <c r="B19" s="638"/>
      <c r="C19" s="638"/>
      <c r="D19" s="638"/>
      <c r="E19" s="1561"/>
      <c r="F19" s="1561"/>
      <c r="G19" s="655"/>
      <c r="H19" s="638"/>
      <c r="I19" s="644"/>
      <c r="J19" s="638"/>
    </row>
    <row r="20" spans="1:15">
      <c r="A20" s="615"/>
      <c r="B20" s="638"/>
      <c r="C20" s="638"/>
      <c r="D20" s="638"/>
      <c r="E20" s="1561"/>
      <c r="F20" s="1561"/>
      <c r="G20" s="655"/>
      <c r="H20" s="955"/>
      <c r="I20" s="644"/>
      <c r="J20" s="955"/>
      <c r="K20" s="907">
        <v>45899</v>
      </c>
      <c r="N20" s="3">
        <v>28705000</v>
      </c>
    </row>
    <row r="21" spans="1:15">
      <c r="A21" s="615"/>
      <c r="B21" s="638"/>
      <c r="C21" s="638"/>
      <c r="D21" s="638"/>
      <c r="E21" s="658"/>
      <c r="F21" s="658"/>
      <c r="G21" s="655"/>
      <c r="H21" s="638"/>
      <c r="I21" s="644"/>
      <c r="J21" s="638"/>
      <c r="N21" s="3">
        <v>9900000</v>
      </c>
    </row>
    <row r="22" spans="1:15">
      <c r="A22" s="799"/>
      <c r="B22" s="800"/>
      <c r="C22" s="1130">
        <f>SUM(C11:C21)</f>
        <v>4080000</v>
      </c>
      <c r="D22" s="800"/>
      <c r="E22" s="718"/>
      <c r="F22" s="718"/>
      <c r="G22" s="801"/>
      <c r="H22" s="800"/>
      <c r="I22" s="802"/>
      <c r="J22" s="800"/>
    </row>
    <row r="23" spans="1:15">
      <c r="A23" s="267"/>
      <c r="B23" s="267"/>
      <c r="C23" s="267"/>
      <c r="D23" s="267"/>
      <c r="E23" s="1560"/>
      <c r="F23" s="1560"/>
      <c r="G23" s="267"/>
      <c r="H23" s="267"/>
      <c r="I23" s="267"/>
      <c r="J23" s="267"/>
    </row>
    <row r="24" spans="1:15" s="768" customFormat="1">
      <c r="A24" s="767"/>
      <c r="B24" s="1546" t="s">
        <v>4087</v>
      </c>
      <c r="C24" s="1547"/>
      <c r="D24" s="769"/>
      <c r="E24" s="769"/>
      <c r="F24" s="769"/>
      <c r="G24" s="1562"/>
      <c r="H24" s="1562"/>
      <c r="O24" s="770"/>
    </row>
    <row r="25" spans="1:15" s="768" customFormat="1">
      <c r="A25" s="771"/>
      <c r="B25" s="1125" t="s">
        <v>4086</v>
      </c>
      <c r="C25" s="1126">
        <f>(16*350000)*0.24-900000</f>
        <v>444000</v>
      </c>
      <c r="D25" s="772" t="s">
        <v>4088</v>
      </c>
      <c r="E25" s="772"/>
      <c r="F25" s="772"/>
      <c r="G25" s="1548"/>
      <c r="H25" s="1548"/>
      <c r="O25" s="770"/>
    </row>
    <row r="26" spans="1:15" s="768" customFormat="1">
      <c r="A26" s="771"/>
      <c r="B26" s="1127" t="s">
        <v>3565</v>
      </c>
      <c r="C26" s="1128">
        <f>(30*350000)*0.24+9442000+1512000-C27</f>
        <v>10174000</v>
      </c>
      <c r="D26" s="772"/>
      <c r="E26" s="772"/>
      <c r="F26" s="772"/>
      <c r="G26" s="1548"/>
      <c r="H26" s="1548"/>
      <c r="O26" s="770"/>
    </row>
    <row r="27" spans="1:15" s="768" customFormat="1">
      <c r="A27" s="771"/>
      <c r="B27" s="1127" t="s">
        <v>3565</v>
      </c>
      <c r="C27" s="1202">
        <v>3300000</v>
      </c>
      <c r="D27" s="772"/>
      <c r="E27" s="772"/>
      <c r="F27" s="772"/>
      <c r="G27" s="1562"/>
      <c r="H27" s="1562"/>
      <c r="O27" s="770"/>
    </row>
    <row r="28" spans="1:15" s="768" customFormat="1">
      <c r="A28" s="771"/>
      <c r="B28" s="773"/>
      <c r="C28" s="773"/>
      <c r="D28" s="772"/>
      <c r="E28" s="772"/>
      <c r="F28" s="772"/>
      <c r="G28" s="1548"/>
      <c r="H28" s="1548"/>
      <c r="O28" s="770"/>
    </row>
    <row r="29" spans="1:15" s="768" customFormat="1">
      <c r="A29" s="771"/>
      <c r="B29" s="774"/>
      <c r="C29" s="774"/>
      <c r="D29" s="772"/>
      <c r="E29" s="772"/>
      <c r="F29" s="772"/>
      <c r="G29" s="1562"/>
      <c r="H29" s="1562"/>
      <c r="O29" s="770"/>
    </row>
    <row r="30" spans="1:15" s="768" customFormat="1">
      <c r="A30" s="771"/>
      <c r="B30" s="775"/>
      <c r="C30" s="775"/>
      <c r="D30" s="772"/>
      <c r="E30" s="776"/>
      <c r="F30" s="772"/>
      <c r="G30" s="1562"/>
      <c r="H30" s="1562"/>
      <c r="O30" s="770"/>
    </row>
    <row r="31" spans="1:15" s="768" customFormat="1">
      <c r="A31" s="771"/>
      <c r="B31" s="777"/>
      <c r="C31" s="777"/>
      <c r="D31" s="772"/>
      <c r="E31" s="771"/>
      <c r="F31" s="772"/>
      <c r="G31" s="1562"/>
      <c r="H31" s="1562"/>
      <c r="O31" s="770"/>
    </row>
    <row r="32" spans="1:15" s="768" customFormat="1">
      <c r="A32" s="771"/>
      <c r="B32" s="777"/>
      <c r="C32" s="777"/>
      <c r="D32" s="772"/>
      <c r="E32" s="771"/>
      <c r="F32" s="772"/>
      <c r="G32" s="1562"/>
      <c r="H32" s="1562"/>
      <c r="O32" s="770"/>
    </row>
    <row r="33" spans="1:15" s="768" customFormat="1">
      <c r="A33" s="771"/>
      <c r="B33" s="777"/>
      <c r="C33" s="777"/>
      <c r="D33" s="772"/>
      <c r="E33" s="771"/>
      <c r="F33" s="772"/>
      <c r="G33" s="1562"/>
      <c r="H33" s="1562"/>
      <c r="O33" s="770"/>
    </row>
    <row r="34" spans="1:15" s="768" customFormat="1">
      <c r="A34" s="771"/>
      <c r="B34" s="778"/>
      <c r="C34" s="778"/>
      <c r="D34" s="772"/>
      <c r="E34" s="771"/>
      <c r="F34" s="772"/>
      <c r="G34" s="1562"/>
      <c r="H34" s="1562"/>
      <c r="O34" s="770"/>
    </row>
    <row r="35" spans="1:15" s="768" customFormat="1">
      <c r="A35" s="771"/>
      <c r="B35" s="777"/>
      <c r="C35" s="777"/>
      <c r="D35" s="772"/>
      <c r="E35" s="771"/>
      <c r="F35" s="772"/>
      <c r="G35" s="1562"/>
      <c r="H35" s="1562"/>
      <c r="O35" s="770"/>
    </row>
    <row r="36" spans="1:15" s="768" customFormat="1">
      <c r="A36" s="771"/>
      <c r="D36" s="772"/>
      <c r="E36" s="771"/>
      <c r="F36" s="772"/>
      <c r="G36" s="1548"/>
      <c r="H36" s="1548"/>
      <c r="O36" s="770"/>
    </row>
    <row r="37" spans="1:15" s="768" customFormat="1">
      <c r="A37" s="771"/>
      <c r="D37" s="772"/>
      <c r="E37" s="771"/>
      <c r="F37" s="772"/>
      <c r="G37" s="1548"/>
      <c r="H37" s="1548"/>
      <c r="O37" s="770"/>
    </row>
    <row r="38" spans="1:15" s="768" customFormat="1">
      <c r="A38" s="771"/>
      <c r="D38" s="772"/>
      <c r="E38" s="771"/>
      <c r="F38" s="772"/>
      <c r="G38" s="1548"/>
      <c r="H38" s="1548"/>
      <c r="O38" s="770"/>
    </row>
    <row r="39" spans="1:15" s="768" customFormat="1">
      <c r="A39" s="771"/>
      <c r="D39" s="772"/>
      <c r="E39" s="771"/>
      <c r="F39" s="772"/>
      <c r="G39" s="1548"/>
      <c r="H39" s="1548"/>
      <c r="O39" s="770"/>
    </row>
    <row r="40" spans="1:15" s="768" customFormat="1">
      <c r="A40" s="771"/>
      <c r="D40" s="772"/>
      <c r="E40" s="771"/>
      <c r="F40" s="772"/>
      <c r="G40" s="1548"/>
      <c r="H40" s="1548"/>
      <c r="O40" s="770"/>
    </row>
    <row r="41" spans="1:15" s="768" customFormat="1">
      <c r="A41" s="771"/>
      <c r="D41" s="772"/>
      <c r="E41" s="771"/>
      <c r="F41" s="772"/>
      <c r="G41" s="1548"/>
      <c r="H41" s="1548"/>
      <c r="O41" s="770"/>
    </row>
    <row r="42" spans="1:15" s="768" customFormat="1">
      <c r="A42" s="771"/>
      <c r="D42" s="772"/>
      <c r="E42" s="771"/>
      <c r="F42" s="772"/>
      <c r="G42" s="1548"/>
      <c r="H42" s="1548"/>
      <c r="I42" s="770"/>
      <c r="O42" s="770"/>
    </row>
    <row r="43" spans="1:15" s="768" customFormat="1">
      <c r="A43" s="771"/>
      <c r="D43" s="772"/>
      <c r="E43" s="771"/>
      <c r="F43" s="772"/>
      <c r="G43" s="1548"/>
      <c r="H43" s="1548"/>
      <c r="I43" s="770"/>
      <c r="O43" s="770"/>
    </row>
    <row r="44" spans="1:15">
      <c r="I44" s="3"/>
    </row>
    <row r="45" spans="1:15">
      <c r="I45" s="661">
        <f>I44-I43</f>
        <v>0</v>
      </c>
    </row>
  </sheetData>
  <mergeCells count="41">
    <mergeCell ref="G29:H29"/>
    <mergeCell ref="G36:H36"/>
    <mergeCell ref="G37:H37"/>
    <mergeCell ref="G30:H30"/>
    <mergeCell ref="G31:H31"/>
    <mergeCell ref="G32:H32"/>
    <mergeCell ref="G33:H33"/>
    <mergeCell ref="G34:H34"/>
    <mergeCell ref="G35:H35"/>
    <mergeCell ref="E19:F19"/>
    <mergeCell ref="E20:F20"/>
    <mergeCell ref="G41:H41"/>
    <mergeCell ref="G42:H42"/>
    <mergeCell ref="E13:F13"/>
    <mergeCell ref="E14:F14"/>
    <mergeCell ref="E15:F15"/>
    <mergeCell ref="E16:F16"/>
    <mergeCell ref="E17:F17"/>
    <mergeCell ref="G39:H39"/>
    <mergeCell ref="G40:H40"/>
    <mergeCell ref="G24:H24"/>
    <mergeCell ref="G25:H25"/>
    <mergeCell ref="G26:H26"/>
    <mergeCell ref="G27:H27"/>
    <mergeCell ref="G28:H28"/>
    <mergeCell ref="B24:C24"/>
    <mergeCell ref="G43:H43"/>
    <mergeCell ref="B1:C1"/>
    <mergeCell ref="B2:C2"/>
    <mergeCell ref="B3:C3"/>
    <mergeCell ref="B4:C4"/>
    <mergeCell ref="B5:C5"/>
    <mergeCell ref="B6:C6"/>
    <mergeCell ref="B7:C7"/>
    <mergeCell ref="G38:H38"/>
    <mergeCell ref="B10:D10"/>
    <mergeCell ref="E11:F11"/>
    <mergeCell ref="E10:F10"/>
    <mergeCell ref="E23:F23"/>
    <mergeCell ref="E12:F12"/>
    <mergeCell ref="E18:F18"/>
  </mergeCells>
  <conditionalFormatting sqref="B28:C35">
    <cfRule type="duplicateValues" dxfId="0" priority="1"/>
  </conditionalFormatting>
  <pageMargins left="0.7" right="0.7" top="0.75" bottom="0.75" header="0.3" footer="0.3"/>
  <pageSetup paperSize="9" orientation="portrait" horizontalDpi="200" verticalDpi="200" copies="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2:I541"/>
  <sheetViews>
    <sheetView topLeftCell="A531" workbookViewId="0">
      <selection activeCell="D543" sqref="D543"/>
    </sheetView>
  </sheetViews>
  <sheetFormatPr defaultRowHeight="14.4"/>
  <cols>
    <col min="1" max="1" width="11" customWidth="1"/>
    <col min="2" max="2" width="32.44140625" customWidth="1"/>
    <col min="4" max="4" width="30.5546875" customWidth="1"/>
    <col min="5" max="5" width="12" bestFit="1" customWidth="1"/>
    <col min="6" max="6" width="9.77734375" bestFit="1" customWidth="1"/>
    <col min="7" max="7" width="25.77734375" customWidth="1"/>
  </cols>
  <sheetData>
    <row r="2" spans="2:4">
      <c r="C2" s="28" t="s">
        <v>63</v>
      </c>
    </row>
    <row r="3" spans="2:4" s="5" customFormat="1">
      <c r="B3" s="29" t="s">
        <v>64</v>
      </c>
      <c r="C3" s="5">
        <v>7.5</v>
      </c>
      <c r="D3" s="1566" t="s">
        <v>71</v>
      </c>
    </row>
    <row r="4" spans="2:4" s="5" customFormat="1">
      <c r="B4" s="29" t="s">
        <v>65</v>
      </c>
      <c r="C4" s="29" t="s">
        <v>66</v>
      </c>
      <c r="D4" s="1563"/>
    </row>
    <row r="5" spans="2:4" s="5" customFormat="1">
      <c r="B5" s="29" t="s">
        <v>67</v>
      </c>
      <c r="C5" s="29" t="s">
        <v>66</v>
      </c>
      <c r="D5" s="1563"/>
    </row>
    <row r="6" spans="2:4" s="5" customFormat="1">
      <c r="B6" s="29" t="s">
        <v>68</v>
      </c>
      <c r="C6" s="29" t="s">
        <v>66</v>
      </c>
      <c r="D6" s="1563"/>
    </row>
    <row r="7" spans="2:4" s="5" customFormat="1">
      <c r="B7" s="29" t="s">
        <v>69</v>
      </c>
      <c r="C7" s="29" t="s">
        <v>66</v>
      </c>
      <c r="D7" s="30" t="s">
        <v>72</v>
      </c>
    </row>
    <row r="8" spans="2:4" s="5" customFormat="1">
      <c r="B8" s="29" t="s">
        <v>70</v>
      </c>
      <c r="C8" s="29" t="s">
        <v>66</v>
      </c>
      <c r="D8" s="30" t="s">
        <v>73</v>
      </c>
    </row>
    <row r="9" spans="2:4">
      <c r="B9" s="31" t="s">
        <v>74</v>
      </c>
      <c r="C9" s="31" t="s">
        <v>75</v>
      </c>
      <c r="D9" s="31"/>
    </row>
    <row r="10" spans="2:4" s="5" customFormat="1">
      <c r="B10" s="29" t="s">
        <v>76</v>
      </c>
      <c r="D10" s="1566" t="s">
        <v>78</v>
      </c>
    </row>
    <row r="11" spans="2:4" s="5" customFormat="1">
      <c r="B11" s="29" t="s">
        <v>77</v>
      </c>
      <c r="D11" s="1566"/>
    </row>
    <row r="12" spans="2:4">
      <c r="B12" s="31" t="s">
        <v>79</v>
      </c>
      <c r="C12" s="31" t="s">
        <v>66</v>
      </c>
      <c r="D12" s="1567" t="s">
        <v>81</v>
      </c>
    </row>
    <row r="13" spans="2:4">
      <c r="B13" s="31" t="s">
        <v>80</v>
      </c>
      <c r="C13" s="31" t="s">
        <v>66</v>
      </c>
      <c r="D13" s="1567"/>
    </row>
    <row r="14" spans="2:4">
      <c r="B14" s="29" t="s">
        <v>82</v>
      </c>
      <c r="C14" s="29" t="s">
        <v>66</v>
      </c>
      <c r="D14" s="1567" t="s">
        <v>81</v>
      </c>
    </row>
    <row r="15" spans="2:4">
      <c r="B15" s="29" t="s">
        <v>83</v>
      </c>
      <c r="C15" s="29" t="s">
        <v>66</v>
      </c>
      <c r="D15" s="1567"/>
    </row>
    <row r="16" spans="2:4">
      <c r="B16" s="29" t="s">
        <v>84</v>
      </c>
      <c r="C16" s="29" t="s">
        <v>66</v>
      </c>
      <c r="D16" s="29" t="s">
        <v>87</v>
      </c>
    </row>
    <row r="17" spans="2:4">
      <c r="B17" s="29" t="s">
        <v>85</v>
      </c>
      <c r="C17" s="29" t="s">
        <v>86</v>
      </c>
      <c r="D17" s="29" t="s">
        <v>87</v>
      </c>
    </row>
    <row r="18" spans="2:4">
      <c r="B18" s="29" t="s">
        <v>88</v>
      </c>
      <c r="C18" s="29" t="s">
        <v>66</v>
      </c>
      <c r="D18" s="29" t="s">
        <v>87</v>
      </c>
    </row>
    <row r="19" spans="2:4">
      <c r="B19" s="29" t="s">
        <v>89</v>
      </c>
      <c r="C19" s="29" t="s">
        <v>86</v>
      </c>
      <c r="D19" s="29" t="s">
        <v>87</v>
      </c>
    </row>
    <row r="20" spans="2:4">
      <c r="B20" s="29" t="s">
        <v>90</v>
      </c>
      <c r="C20" s="29" t="s">
        <v>66</v>
      </c>
      <c r="D20" s="1566" t="s">
        <v>92</v>
      </c>
    </row>
    <row r="21" spans="2:4">
      <c r="B21" s="29" t="s">
        <v>91</v>
      </c>
      <c r="C21" s="29" t="s">
        <v>66</v>
      </c>
      <c r="D21" s="1566"/>
    </row>
    <row r="22" spans="2:4">
      <c r="B22" s="29" t="s">
        <v>93</v>
      </c>
      <c r="C22" s="29" t="s">
        <v>66</v>
      </c>
      <c r="D22" s="5" t="s">
        <v>94</v>
      </c>
    </row>
    <row r="23" spans="2:4">
      <c r="B23" s="31" t="s">
        <v>95</v>
      </c>
      <c r="C23" s="31" t="s">
        <v>66</v>
      </c>
      <c r="D23" s="31" t="s">
        <v>96</v>
      </c>
    </row>
    <row r="24" spans="2:4">
      <c r="B24" s="29" t="s">
        <v>97</v>
      </c>
      <c r="C24" s="29" t="s">
        <v>66</v>
      </c>
      <c r="D24" s="29" t="s">
        <v>103</v>
      </c>
    </row>
    <row r="25" spans="2:4">
      <c r="B25" s="29" t="s">
        <v>98</v>
      </c>
      <c r="C25" s="29" t="s">
        <v>66</v>
      </c>
      <c r="D25" s="29" t="s">
        <v>81</v>
      </c>
    </row>
    <row r="26" spans="2:4">
      <c r="B26" s="29" t="s">
        <v>99</v>
      </c>
      <c r="C26" s="29" t="s">
        <v>66</v>
      </c>
      <c r="D26" s="29" t="s">
        <v>81</v>
      </c>
    </row>
    <row r="27" spans="2:4">
      <c r="B27" s="29" t="s">
        <v>100</v>
      </c>
      <c r="C27" s="29" t="s">
        <v>66</v>
      </c>
      <c r="D27" s="29" t="s">
        <v>81</v>
      </c>
    </row>
    <row r="28" spans="2:4">
      <c r="B28" s="29" t="s">
        <v>102</v>
      </c>
      <c r="C28" s="29" t="s">
        <v>101</v>
      </c>
      <c r="D28" s="29" t="s">
        <v>81</v>
      </c>
    </row>
    <row r="29" spans="2:4">
      <c r="B29" s="29" t="s">
        <v>104</v>
      </c>
      <c r="C29" s="29" t="s">
        <v>66</v>
      </c>
      <c r="D29" s="5" t="s">
        <v>138</v>
      </c>
    </row>
    <row r="30" spans="2:4">
      <c r="B30" s="29" t="s">
        <v>105</v>
      </c>
      <c r="C30" s="29" t="s">
        <v>66</v>
      </c>
      <c r="D30" s="29" t="s">
        <v>81</v>
      </c>
    </row>
    <row r="31" spans="2:4">
      <c r="B31" s="29" t="s">
        <v>106</v>
      </c>
      <c r="C31" s="29" t="s">
        <v>66</v>
      </c>
      <c r="D31" s="29" t="s">
        <v>81</v>
      </c>
    </row>
    <row r="32" spans="2:4">
      <c r="B32" s="29" t="s">
        <v>107</v>
      </c>
      <c r="C32" s="29" t="s">
        <v>66</v>
      </c>
      <c r="D32" s="29" t="s">
        <v>81</v>
      </c>
    </row>
    <row r="33" spans="2:4">
      <c r="B33" s="29" t="s">
        <v>139</v>
      </c>
      <c r="C33" s="29" t="s">
        <v>66</v>
      </c>
      <c r="D33" s="5" t="s">
        <v>140</v>
      </c>
    </row>
    <row r="34" spans="2:4">
      <c r="B34" s="29" t="s">
        <v>141</v>
      </c>
      <c r="C34" s="29" t="s">
        <v>86</v>
      </c>
      <c r="D34" s="29" t="s">
        <v>81</v>
      </c>
    </row>
    <row r="35" spans="2:4">
      <c r="B35" s="29" t="s">
        <v>142</v>
      </c>
      <c r="C35" s="29" t="s">
        <v>66</v>
      </c>
      <c r="D35" s="1563" t="s">
        <v>143</v>
      </c>
    </row>
    <row r="36" spans="2:4">
      <c r="B36" s="29" t="s">
        <v>144</v>
      </c>
      <c r="C36" s="29" t="s">
        <v>66</v>
      </c>
      <c r="D36" s="1563"/>
    </row>
    <row r="37" spans="2:4">
      <c r="B37" s="29" t="s">
        <v>145</v>
      </c>
      <c r="C37" s="29" t="s">
        <v>66</v>
      </c>
      <c r="D37" s="1563"/>
    </row>
    <row r="38" spans="2:4">
      <c r="B38" s="29" t="s">
        <v>146</v>
      </c>
      <c r="C38" s="29" t="s">
        <v>66</v>
      </c>
      <c r="D38" s="5" t="s">
        <v>147</v>
      </c>
    </row>
    <row r="39" spans="2:4">
      <c r="B39" s="29" t="s">
        <v>148</v>
      </c>
      <c r="C39" s="29" t="s">
        <v>66</v>
      </c>
      <c r="D39" s="5" t="s">
        <v>149</v>
      </c>
    </row>
    <row r="40" spans="2:4">
      <c r="B40" s="29" t="s">
        <v>150</v>
      </c>
      <c r="C40" s="29" t="s">
        <v>151</v>
      </c>
      <c r="D40" s="5" t="s">
        <v>152</v>
      </c>
    </row>
    <row r="41" spans="2:4">
      <c r="B41" s="29" t="s">
        <v>153</v>
      </c>
      <c r="C41" s="29" t="s">
        <v>66</v>
      </c>
      <c r="D41" s="1564" t="s">
        <v>154</v>
      </c>
    </row>
    <row r="42" spans="2:4">
      <c r="B42" s="29" t="s">
        <v>155</v>
      </c>
      <c r="C42" s="29" t="s">
        <v>66</v>
      </c>
      <c r="D42" s="1564"/>
    </row>
    <row r="43" spans="2:4">
      <c r="B43" s="29" t="s">
        <v>156</v>
      </c>
      <c r="C43" s="5">
        <v>7</v>
      </c>
      <c r="D43" s="5" t="s">
        <v>157</v>
      </c>
    </row>
    <row r="44" spans="2:4">
      <c r="B44" s="29" t="s">
        <v>158</v>
      </c>
      <c r="C44" s="5" t="s">
        <v>66</v>
      </c>
      <c r="D44" s="5" t="s">
        <v>159</v>
      </c>
    </row>
    <row r="45" spans="2:4">
      <c r="B45" s="29" t="s">
        <v>160</v>
      </c>
      <c r="C45" s="29" t="s">
        <v>66</v>
      </c>
      <c r="D45" s="1564" t="s">
        <v>154</v>
      </c>
    </row>
    <row r="46" spans="2:4">
      <c r="B46" s="29" t="s">
        <v>161</v>
      </c>
      <c r="C46" s="5" t="s">
        <v>66</v>
      </c>
      <c r="D46" s="1564"/>
    </row>
    <row r="47" spans="2:4">
      <c r="B47" s="29" t="s">
        <v>162</v>
      </c>
      <c r="C47" s="29" t="s">
        <v>66</v>
      </c>
      <c r="D47" s="1565" t="s">
        <v>163</v>
      </c>
    </row>
    <row r="48" spans="2:4">
      <c r="B48" s="29" t="s">
        <v>164</v>
      </c>
      <c r="C48" s="5" t="s">
        <v>66</v>
      </c>
      <c r="D48" s="1565"/>
    </row>
    <row r="49" spans="2:4">
      <c r="B49" s="29" t="s">
        <v>165</v>
      </c>
      <c r="C49" s="5" t="s">
        <v>166</v>
      </c>
      <c r="D49" s="1563" t="s">
        <v>72</v>
      </c>
    </row>
    <row r="50" spans="2:4">
      <c r="B50" s="29" t="s">
        <v>167</v>
      </c>
      <c r="C50" s="5" t="s">
        <v>66</v>
      </c>
      <c r="D50" s="1563"/>
    </row>
    <row r="51" spans="2:4">
      <c r="B51" s="29" t="s">
        <v>168</v>
      </c>
      <c r="C51" s="5" t="s">
        <v>66</v>
      </c>
      <c r="D51" s="5" t="s">
        <v>169</v>
      </c>
    </row>
    <row r="52" spans="2:4">
      <c r="B52" s="29" t="s">
        <v>170</v>
      </c>
      <c r="C52" s="5" t="s">
        <v>66</v>
      </c>
      <c r="D52" s="5" t="s">
        <v>171</v>
      </c>
    </row>
    <row r="53" spans="2:4">
      <c r="B53" s="29" t="s">
        <v>172</v>
      </c>
      <c r="C53" s="5" t="s">
        <v>66</v>
      </c>
      <c r="D53" s="29" t="s">
        <v>81</v>
      </c>
    </row>
    <row r="54" spans="2:4">
      <c r="B54" s="29" t="s">
        <v>173</v>
      </c>
      <c r="C54" s="5" t="s">
        <v>66</v>
      </c>
      <c r="D54" s="5" t="s">
        <v>81</v>
      </c>
    </row>
    <row r="55" spans="2:4">
      <c r="B55" s="29" t="s">
        <v>174</v>
      </c>
      <c r="C55" s="5" t="s">
        <v>66</v>
      </c>
      <c r="D55" s="5" t="s">
        <v>81</v>
      </c>
    </row>
    <row r="56" spans="2:4">
      <c r="B56" s="29" t="s">
        <v>175</v>
      </c>
      <c r="C56" s="5" t="s">
        <v>66</v>
      </c>
      <c r="D56" s="29" t="s">
        <v>163</v>
      </c>
    </row>
    <row r="57" spans="2:4">
      <c r="B57" s="29" t="s">
        <v>176</v>
      </c>
      <c r="C57" s="5" t="s">
        <v>66</v>
      </c>
      <c r="D57" s="5" t="s">
        <v>81</v>
      </c>
    </row>
    <row r="58" spans="2:4">
      <c r="B58" s="29" t="s">
        <v>177</v>
      </c>
      <c r="C58" s="5" t="s">
        <v>66</v>
      </c>
      <c r="D58" s="5" t="s">
        <v>178</v>
      </c>
    </row>
    <row r="59" spans="2:4">
      <c r="B59" s="29" t="s">
        <v>179</v>
      </c>
      <c r="C59" s="5" t="s">
        <v>66</v>
      </c>
      <c r="D59" s="5" t="s">
        <v>180</v>
      </c>
    </row>
    <row r="60" spans="2:4">
      <c r="B60" s="29" t="s">
        <v>181</v>
      </c>
      <c r="C60" s="29" t="s">
        <v>66</v>
      </c>
      <c r="D60" s="1566" t="s">
        <v>182</v>
      </c>
    </row>
    <row r="61" spans="2:4">
      <c r="B61" s="29" t="s">
        <v>183</v>
      </c>
      <c r="C61" s="29" t="s">
        <v>66</v>
      </c>
      <c r="D61" s="1566"/>
    </row>
    <row r="62" spans="2:4">
      <c r="B62" s="29" t="s">
        <v>184</v>
      </c>
      <c r="C62" s="29" t="s">
        <v>66</v>
      </c>
      <c r="D62" s="29" t="s">
        <v>185</v>
      </c>
    </row>
    <row r="63" spans="2:4">
      <c r="B63" s="29" t="s">
        <v>186</v>
      </c>
      <c r="C63" s="29" t="s">
        <v>66</v>
      </c>
      <c r="D63" s="29" t="s">
        <v>187</v>
      </c>
    </row>
    <row r="64" spans="2:4">
      <c r="B64" s="29" t="s">
        <v>188</v>
      </c>
      <c r="C64" s="29" t="s">
        <v>66</v>
      </c>
      <c r="D64" s="1566" t="s">
        <v>182</v>
      </c>
    </row>
    <row r="65" spans="2:4">
      <c r="B65" s="29" t="s">
        <v>189</v>
      </c>
      <c r="C65" s="29" t="s">
        <v>66</v>
      </c>
      <c r="D65" s="1566"/>
    </row>
    <row r="66" spans="2:4">
      <c r="B66" s="29" t="s">
        <v>190</v>
      </c>
      <c r="C66" s="29" t="s">
        <v>66</v>
      </c>
      <c r="D66" s="1566" t="s">
        <v>191</v>
      </c>
    </row>
    <row r="67" spans="2:4">
      <c r="B67" s="29" t="s">
        <v>192</v>
      </c>
      <c r="C67" s="29" t="s">
        <v>66</v>
      </c>
      <c r="D67" s="1566"/>
    </row>
    <row r="68" spans="2:4">
      <c r="B68" s="29" t="s">
        <v>193</v>
      </c>
      <c r="C68" s="29" t="s">
        <v>66</v>
      </c>
      <c r="D68" s="29" t="s">
        <v>194</v>
      </c>
    </row>
    <row r="69" spans="2:4">
      <c r="B69" s="29" t="s">
        <v>195</v>
      </c>
      <c r="C69" s="29" t="s">
        <v>66</v>
      </c>
      <c r="D69" s="5" t="s">
        <v>196</v>
      </c>
    </row>
    <row r="70" spans="2:4">
      <c r="B70" s="29" t="s">
        <v>197</v>
      </c>
      <c r="C70" s="29" t="s">
        <v>66</v>
      </c>
      <c r="D70" s="32" t="s">
        <v>198</v>
      </c>
    </row>
    <row r="71" spans="2:4">
      <c r="B71" s="29" t="s">
        <v>199</v>
      </c>
      <c r="C71" s="29" t="s">
        <v>66</v>
      </c>
      <c r="D71" s="5" t="s">
        <v>200</v>
      </c>
    </row>
    <row r="72" spans="2:4">
      <c r="B72" s="29" t="s">
        <v>201</v>
      </c>
      <c r="C72" s="29" t="s">
        <v>66</v>
      </c>
      <c r="D72" s="29" t="s">
        <v>194</v>
      </c>
    </row>
    <row r="73" spans="2:4">
      <c r="B73" s="29" t="s">
        <v>202</v>
      </c>
      <c r="C73" s="29" t="s">
        <v>66</v>
      </c>
      <c r="D73" s="29" t="s">
        <v>194</v>
      </c>
    </row>
    <row r="74" spans="2:4">
      <c r="B74" s="29" t="s">
        <v>203</v>
      </c>
      <c r="C74" s="29" t="s">
        <v>66</v>
      </c>
      <c r="D74" s="5" t="s">
        <v>204</v>
      </c>
    </row>
    <row r="75" spans="2:4">
      <c r="B75" s="29" t="s">
        <v>205</v>
      </c>
      <c r="C75" s="29" t="s">
        <v>66</v>
      </c>
      <c r="D75" s="1564" t="s">
        <v>206</v>
      </c>
    </row>
    <row r="76" spans="2:4">
      <c r="B76" s="29" t="s">
        <v>207</v>
      </c>
      <c r="C76" s="29" t="s">
        <v>66</v>
      </c>
      <c r="D76" s="1564"/>
    </row>
    <row r="77" spans="2:4">
      <c r="B77" s="29" t="s">
        <v>208</v>
      </c>
      <c r="C77" s="29" t="s">
        <v>66</v>
      </c>
      <c r="D77" s="1564"/>
    </row>
    <row r="78" spans="2:4">
      <c r="B78" s="29" t="s">
        <v>209</v>
      </c>
      <c r="C78" s="29" t="s">
        <v>66</v>
      </c>
      <c r="D78" s="1564"/>
    </row>
    <row r="79" spans="2:4">
      <c r="B79" s="29" t="s">
        <v>210</v>
      </c>
      <c r="C79" s="29" t="s">
        <v>66</v>
      </c>
      <c r="D79" s="1564"/>
    </row>
    <row r="80" spans="2:4">
      <c r="B80" s="29" t="s">
        <v>211</v>
      </c>
      <c r="C80" s="29" t="s">
        <v>66</v>
      </c>
      <c r="D80" s="1564"/>
    </row>
    <row r="81" spans="2:5">
      <c r="B81" s="29" t="s">
        <v>212</v>
      </c>
      <c r="C81" s="29" t="s">
        <v>66</v>
      </c>
      <c r="D81" s="1564"/>
    </row>
    <row r="82" spans="2:5">
      <c r="B82" s="29" t="s">
        <v>213</v>
      </c>
      <c r="C82" s="29" t="s">
        <v>66</v>
      </c>
      <c r="D82" s="29" t="s">
        <v>214</v>
      </c>
    </row>
    <row r="83" spans="2:5">
      <c r="B83" s="29" t="s">
        <v>215</v>
      </c>
      <c r="C83" s="29" t="s">
        <v>66</v>
      </c>
      <c r="D83" s="29" t="s">
        <v>196</v>
      </c>
    </row>
    <row r="84" spans="2:5">
      <c r="B84" s="29" t="s">
        <v>216</v>
      </c>
      <c r="C84" s="29" t="s">
        <v>66</v>
      </c>
      <c r="D84" s="5" t="s">
        <v>217</v>
      </c>
    </row>
    <row r="85" spans="2:5">
      <c r="B85" s="29" t="s">
        <v>218</v>
      </c>
      <c r="C85" s="29" t="s">
        <v>66</v>
      </c>
      <c r="D85" s="5" t="s">
        <v>219</v>
      </c>
    </row>
    <row r="86" spans="2:5">
      <c r="B86" s="33" t="s">
        <v>220</v>
      </c>
      <c r="C86" s="33" t="s">
        <v>66</v>
      </c>
      <c r="D86" s="34"/>
      <c r="E86" s="34" t="s">
        <v>221</v>
      </c>
    </row>
    <row r="87" spans="2:5">
      <c r="B87" s="29" t="s">
        <v>222</v>
      </c>
      <c r="C87" s="29" t="s">
        <v>66</v>
      </c>
      <c r="D87" s="5" t="s">
        <v>223</v>
      </c>
    </row>
    <row r="88" spans="2:5">
      <c r="B88" s="29" t="s">
        <v>224</v>
      </c>
      <c r="C88" s="29" t="s">
        <v>66</v>
      </c>
      <c r="D88" s="5" t="s">
        <v>223</v>
      </c>
    </row>
    <row r="89" spans="2:5">
      <c r="B89" s="29" t="s">
        <v>225</v>
      </c>
      <c r="C89" s="29" t="s">
        <v>66</v>
      </c>
      <c r="D89" s="1564" t="s">
        <v>226</v>
      </c>
    </row>
    <row r="90" spans="2:5">
      <c r="B90" s="29" t="s">
        <v>227</v>
      </c>
      <c r="C90" s="29" t="s">
        <v>66</v>
      </c>
      <c r="D90" s="1564"/>
    </row>
    <row r="91" spans="2:5">
      <c r="B91" s="29" t="s">
        <v>228</v>
      </c>
      <c r="C91" s="29" t="s">
        <v>66</v>
      </c>
      <c r="D91" s="5" t="s">
        <v>229</v>
      </c>
    </row>
    <row r="92" spans="2:5">
      <c r="B92" s="29" t="s">
        <v>230</v>
      </c>
      <c r="C92" s="29" t="s">
        <v>66</v>
      </c>
      <c r="D92" s="5" t="s">
        <v>231</v>
      </c>
    </row>
    <row r="93" spans="2:5">
      <c r="B93" s="29" t="s">
        <v>232</v>
      </c>
      <c r="C93" s="29" t="s">
        <v>66</v>
      </c>
      <c r="D93" s="5" t="s">
        <v>214</v>
      </c>
    </row>
    <row r="94" spans="2:5">
      <c r="B94" s="29" t="s">
        <v>233</v>
      </c>
      <c r="C94" s="29" t="s">
        <v>66</v>
      </c>
      <c r="D94" s="5" t="s">
        <v>234</v>
      </c>
    </row>
    <row r="95" spans="2:5">
      <c r="B95" s="29" t="s">
        <v>235</v>
      </c>
      <c r="C95" s="29" t="s">
        <v>66</v>
      </c>
      <c r="D95" s="5" t="s">
        <v>236</v>
      </c>
    </row>
    <row r="96" spans="2:5">
      <c r="B96" s="29" t="s">
        <v>237</v>
      </c>
      <c r="C96" s="29" t="s">
        <v>66</v>
      </c>
      <c r="D96" s="5" t="s">
        <v>238</v>
      </c>
    </row>
    <row r="97" spans="2:7">
      <c r="B97" s="29" t="s">
        <v>239</v>
      </c>
      <c r="C97" s="29" t="s">
        <v>66</v>
      </c>
      <c r="D97" s="5" t="s">
        <v>219</v>
      </c>
      <c r="E97">
        <v>1</v>
      </c>
    </row>
    <row r="98" spans="2:7">
      <c r="B98" s="29" t="s">
        <v>240</v>
      </c>
      <c r="C98" s="29" t="s">
        <v>66</v>
      </c>
      <c r="D98" s="5" t="s">
        <v>241</v>
      </c>
    </row>
    <row r="99" spans="2:7">
      <c r="B99" s="29" t="s">
        <v>242</v>
      </c>
      <c r="C99" s="29" t="s">
        <v>66</v>
      </c>
      <c r="D99" s="1564" t="s">
        <v>243</v>
      </c>
    </row>
    <row r="100" spans="2:7">
      <c r="B100" s="29" t="s">
        <v>244</v>
      </c>
      <c r="C100" s="29" t="s">
        <v>66</v>
      </c>
      <c r="D100" s="1564"/>
    </row>
    <row r="101" spans="2:7">
      <c r="B101" s="29" t="s">
        <v>245</v>
      </c>
      <c r="C101" s="29" t="s">
        <v>66</v>
      </c>
      <c r="D101" s="5" t="s">
        <v>246</v>
      </c>
    </row>
    <row r="102" spans="2:7">
      <c r="B102" s="29" t="s">
        <v>247</v>
      </c>
      <c r="C102" s="29" t="s">
        <v>66</v>
      </c>
      <c r="D102" s="5" t="s">
        <v>214</v>
      </c>
      <c r="G102" s="5"/>
    </row>
    <row r="103" spans="2:7">
      <c r="B103" s="29" t="s">
        <v>248</v>
      </c>
      <c r="C103" s="29" t="s">
        <v>66</v>
      </c>
      <c r="D103" s="1564" t="s">
        <v>249</v>
      </c>
    </row>
    <row r="104" spans="2:7">
      <c r="B104" s="29" t="s">
        <v>250</v>
      </c>
      <c r="C104" s="29" t="s">
        <v>66</v>
      </c>
      <c r="D104" s="1564"/>
    </row>
    <row r="105" spans="2:7">
      <c r="B105" s="29" t="s">
        <v>251</v>
      </c>
      <c r="C105" s="29" t="s">
        <v>66</v>
      </c>
      <c r="D105" s="5" t="s">
        <v>219</v>
      </c>
      <c r="E105">
        <v>1</v>
      </c>
    </row>
    <row r="106" spans="2:7">
      <c r="B106" s="29" t="s">
        <v>252</v>
      </c>
      <c r="C106" s="29" t="s">
        <v>66</v>
      </c>
      <c r="D106" s="5" t="s">
        <v>219</v>
      </c>
      <c r="E106">
        <v>1</v>
      </c>
    </row>
    <row r="107" spans="2:7">
      <c r="B107" s="29" t="s">
        <v>253</v>
      </c>
      <c r="C107" s="29" t="s">
        <v>66</v>
      </c>
      <c r="D107" s="5" t="s">
        <v>254</v>
      </c>
    </row>
    <row r="108" spans="2:7">
      <c r="B108" s="29" t="s">
        <v>255</v>
      </c>
      <c r="C108" s="29" t="s">
        <v>66</v>
      </c>
      <c r="D108" s="1563" t="s">
        <v>256</v>
      </c>
    </row>
    <row r="109" spans="2:7">
      <c r="B109" s="29" t="s">
        <v>257</v>
      </c>
      <c r="C109" s="29" t="s">
        <v>66</v>
      </c>
      <c r="D109" s="1563"/>
    </row>
    <row r="110" spans="2:7">
      <c r="B110" s="29" t="s">
        <v>258</v>
      </c>
      <c r="C110" s="29" t="s">
        <v>66</v>
      </c>
      <c r="D110" s="5" t="s">
        <v>259</v>
      </c>
    </row>
    <row r="111" spans="2:7">
      <c r="B111" s="29" t="s">
        <v>260</v>
      </c>
      <c r="C111" s="29" t="s">
        <v>66</v>
      </c>
      <c r="D111" s="5" t="s">
        <v>261</v>
      </c>
    </row>
    <row r="112" spans="2:7">
      <c r="B112" s="29" t="s">
        <v>262</v>
      </c>
      <c r="C112" s="29" t="s">
        <v>66</v>
      </c>
      <c r="D112" s="5" t="s">
        <v>263</v>
      </c>
    </row>
    <row r="113" spans="2:8">
      <c r="B113" s="29" t="s">
        <v>264</v>
      </c>
      <c r="C113" s="29" t="s">
        <v>66</v>
      </c>
      <c r="D113" s="5" t="s">
        <v>261</v>
      </c>
      <c r="E113" s="2"/>
    </row>
    <row r="114" spans="2:8">
      <c r="B114" s="29" t="s">
        <v>265</v>
      </c>
      <c r="C114" s="29" t="s">
        <v>66</v>
      </c>
      <c r="D114" s="5" t="s">
        <v>263</v>
      </c>
    </row>
    <row r="115" spans="2:8">
      <c r="B115" s="29" t="s">
        <v>266</v>
      </c>
      <c r="C115" s="29" t="s">
        <v>66</v>
      </c>
      <c r="D115" s="5" t="s">
        <v>267</v>
      </c>
    </row>
    <row r="116" spans="2:8">
      <c r="B116" s="29" t="s">
        <v>268</v>
      </c>
      <c r="C116" s="29" t="s">
        <v>66</v>
      </c>
      <c r="D116" s="29" t="s">
        <v>81</v>
      </c>
    </row>
    <row r="117" spans="2:8">
      <c r="B117" s="29" t="s">
        <v>269</v>
      </c>
      <c r="C117" s="29" t="s">
        <v>66</v>
      </c>
      <c r="D117" s="1564" t="s">
        <v>270</v>
      </c>
    </row>
    <row r="118" spans="2:8">
      <c r="B118" s="29" t="s">
        <v>271</v>
      </c>
      <c r="C118" s="29" t="s">
        <v>66</v>
      </c>
      <c r="D118" s="1564"/>
    </row>
    <row r="119" spans="2:8">
      <c r="B119" s="29" t="s">
        <v>272</v>
      </c>
      <c r="C119" s="29" t="s">
        <v>66</v>
      </c>
      <c r="D119" s="1564"/>
    </row>
    <row r="120" spans="2:8">
      <c r="B120" s="29" t="s">
        <v>273</v>
      </c>
      <c r="C120" s="29" t="s">
        <v>66</v>
      </c>
      <c r="D120" s="29" t="s">
        <v>81</v>
      </c>
    </row>
    <row r="121" spans="2:8">
      <c r="B121" s="29" t="s">
        <v>274</v>
      </c>
      <c r="C121" s="29" t="s">
        <v>66</v>
      </c>
      <c r="D121" s="29" t="s">
        <v>275</v>
      </c>
    </row>
    <row r="122" spans="2:8">
      <c r="B122" s="29" t="s">
        <v>276</v>
      </c>
      <c r="C122" s="29" t="s">
        <v>277</v>
      </c>
      <c r="D122" s="5"/>
    </row>
    <row r="123" spans="2:8">
      <c r="B123" s="29" t="s">
        <v>278</v>
      </c>
      <c r="C123" s="29" t="s">
        <v>66</v>
      </c>
      <c r="D123" s="29" t="s">
        <v>279</v>
      </c>
    </row>
    <row r="124" spans="2:8">
      <c r="B124" s="29" t="s">
        <v>280</v>
      </c>
      <c r="C124" s="29" t="s">
        <v>66</v>
      </c>
      <c r="D124" s="29" t="s">
        <v>81</v>
      </c>
      <c r="E124" s="28" t="s">
        <v>108</v>
      </c>
    </row>
    <row r="125" spans="2:8">
      <c r="B125" s="29" t="s">
        <v>281</v>
      </c>
      <c r="C125" s="29" t="s">
        <v>66</v>
      </c>
      <c r="D125" s="29" t="s">
        <v>282</v>
      </c>
      <c r="H125" s="28" t="s">
        <v>108</v>
      </c>
    </row>
    <row r="126" spans="2:8">
      <c r="B126" s="29" t="s">
        <v>283</v>
      </c>
      <c r="C126" s="29" t="s">
        <v>277</v>
      </c>
      <c r="D126" s="29" t="s">
        <v>284</v>
      </c>
    </row>
    <row r="127" spans="2:8">
      <c r="B127" s="29" t="s">
        <v>285</v>
      </c>
      <c r="C127" s="29" t="s">
        <v>66</v>
      </c>
      <c r="D127" s="1563" t="s">
        <v>275</v>
      </c>
    </row>
    <row r="128" spans="2:8">
      <c r="B128" s="29" t="s">
        <v>286</v>
      </c>
      <c r="C128" s="29" t="s">
        <v>66</v>
      </c>
      <c r="D128" s="1563"/>
    </row>
    <row r="129" spans="2:7">
      <c r="B129" s="29" t="s">
        <v>287</v>
      </c>
      <c r="C129" s="29" t="s">
        <v>277</v>
      </c>
      <c r="D129" s="29" t="s">
        <v>284</v>
      </c>
    </row>
    <row r="130" spans="2:7">
      <c r="B130" s="29" t="s">
        <v>288</v>
      </c>
      <c r="C130" s="29" t="s">
        <v>66</v>
      </c>
      <c r="D130" s="29" t="s">
        <v>196</v>
      </c>
    </row>
    <row r="131" spans="2:7">
      <c r="B131" s="29" t="s">
        <v>289</v>
      </c>
      <c r="C131" s="29" t="s">
        <v>66</v>
      </c>
      <c r="D131" s="29" t="s">
        <v>200</v>
      </c>
    </row>
    <row r="132" spans="2:7">
      <c r="B132" s="29" t="s">
        <v>290</v>
      </c>
      <c r="C132" s="29" t="s">
        <v>66</v>
      </c>
      <c r="D132" s="29" t="s">
        <v>291</v>
      </c>
    </row>
    <row r="133" spans="2:7">
      <c r="B133" s="29" t="s">
        <v>292</v>
      </c>
      <c r="C133" s="29" t="s">
        <v>66</v>
      </c>
      <c r="D133" s="29" t="s">
        <v>81</v>
      </c>
      <c r="E133" s="35">
        <v>0.15</v>
      </c>
      <c r="G133" s="28" t="s">
        <v>108</v>
      </c>
    </row>
    <row r="134" spans="2:7">
      <c r="B134" s="29" t="s">
        <v>293</v>
      </c>
      <c r="C134" s="29" t="s">
        <v>66</v>
      </c>
      <c r="D134" s="29" t="s">
        <v>294</v>
      </c>
    </row>
    <row r="135" spans="2:7">
      <c r="B135" s="29" t="s">
        <v>295</v>
      </c>
      <c r="C135" s="29" t="s">
        <v>296</v>
      </c>
      <c r="D135" s="29" t="s">
        <v>297</v>
      </c>
    </row>
    <row r="136" spans="2:7">
      <c r="B136" s="29" t="s">
        <v>298</v>
      </c>
      <c r="C136" s="29" t="s">
        <v>66</v>
      </c>
      <c r="D136" s="5" t="s">
        <v>299</v>
      </c>
    </row>
    <row r="137" spans="2:7">
      <c r="B137" s="29" t="s">
        <v>300</v>
      </c>
      <c r="C137" s="29" t="s">
        <v>66</v>
      </c>
      <c r="D137" s="29" t="s">
        <v>214</v>
      </c>
    </row>
    <row r="138" spans="2:7">
      <c r="B138" s="29" t="s">
        <v>301</v>
      </c>
      <c r="C138" s="29" t="s">
        <v>66</v>
      </c>
      <c r="D138" s="1566" t="s">
        <v>302</v>
      </c>
    </row>
    <row r="139" spans="2:7">
      <c r="B139" s="29" t="s">
        <v>303</v>
      </c>
      <c r="C139" s="29" t="s">
        <v>66</v>
      </c>
      <c r="D139" s="1566"/>
    </row>
    <row r="140" spans="2:7">
      <c r="B140" s="29" t="s">
        <v>304</v>
      </c>
      <c r="C140" s="29" t="s">
        <v>66</v>
      </c>
      <c r="D140" s="1566"/>
    </row>
    <row r="141" spans="2:7">
      <c r="B141" s="29" t="s">
        <v>305</v>
      </c>
      <c r="C141" s="29" t="s">
        <v>66</v>
      </c>
      <c r="D141" s="29" t="s">
        <v>306</v>
      </c>
    </row>
    <row r="142" spans="2:7">
      <c r="B142" s="29" t="s">
        <v>307</v>
      </c>
      <c r="C142" s="29" t="s">
        <v>66</v>
      </c>
      <c r="D142" s="5" t="s">
        <v>261</v>
      </c>
    </row>
    <row r="143" spans="2:7">
      <c r="B143" s="29" t="s">
        <v>308</v>
      </c>
      <c r="C143" s="29" t="s">
        <v>66</v>
      </c>
      <c r="D143" s="29" t="s">
        <v>306</v>
      </c>
      <c r="F143" s="29" t="s">
        <v>108</v>
      </c>
    </row>
    <row r="144" spans="2:7">
      <c r="B144" s="29" t="s">
        <v>309</v>
      </c>
      <c r="C144" s="29" t="s">
        <v>66</v>
      </c>
      <c r="D144" s="29" t="s">
        <v>200</v>
      </c>
    </row>
    <row r="145" spans="2:7">
      <c r="B145" s="29" t="s">
        <v>310</v>
      </c>
      <c r="C145" s="29" t="s">
        <v>66</v>
      </c>
      <c r="D145" s="5" t="s">
        <v>311</v>
      </c>
    </row>
    <row r="146" spans="2:7">
      <c r="B146" s="29" t="s">
        <v>312</v>
      </c>
      <c r="C146" s="29" t="s">
        <v>66</v>
      </c>
      <c r="D146" s="5" t="s">
        <v>261</v>
      </c>
    </row>
    <row r="147" spans="2:7">
      <c r="B147" s="29" t="s">
        <v>313</v>
      </c>
      <c r="C147" s="29" t="s">
        <v>66</v>
      </c>
      <c r="D147" s="5" t="s">
        <v>314</v>
      </c>
    </row>
    <row r="148" spans="2:7">
      <c r="B148" s="29" t="s">
        <v>315</v>
      </c>
      <c r="C148" s="29" t="s">
        <v>66</v>
      </c>
      <c r="D148" s="5" t="s">
        <v>171</v>
      </c>
    </row>
    <row r="149" spans="2:7">
      <c r="B149" s="29" t="s">
        <v>316</v>
      </c>
      <c r="C149" s="29" t="s">
        <v>66</v>
      </c>
      <c r="D149" s="5" t="s">
        <v>317</v>
      </c>
    </row>
    <row r="150" spans="2:7">
      <c r="B150" s="29" t="s">
        <v>318</v>
      </c>
      <c r="C150" s="29" t="s">
        <v>66</v>
      </c>
      <c r="D150" s="5" t="s">
        <v>317</v>
      </c>
    </row>
    <row r="151" spans="2:7">
      <c r="B151" s="29" t="s">
        <v>319</v>
      </c>
      <c r="C151" s="29" t="s">
        <v>320</v>
      </c>
      <c r="D151" s="5" t="s">
        <v>321</v>
      </c>
      <c r="E151" t="s">
        <v>108</v>
      </c>
    </row>
    <row r="152" spans="2:7">
      <c r="B152" s="29" t="s">
        <v>322</v>
      </c>
      <c r="C152" s="29" t="s">
        <v>66</v>
      </c>
      <c r="D152" s="5" t="s">
        <v>321</v>
      </c>
    </row>
    <row r="153" spans="2:7">
      <c r="B153" s="29" t="s">
        <v>323</v>
      </c>
      <c r="C153" s="29" t="s">
        <v>320</v>
      </c>
      <c r="D153" s="5" t="s">
        <v>321</v>
      </c>
    </row>
    <row r="154" spans="2:7">
      <c r="B154" s="29" t="s">
        <v>324</v>
      </c>
      <c r="C154" s="29" t="s">
        <v>66</v>
      </c>
      <c r="D154" s="5" t="s">
        <v>325</v>
      </c>
      <c r="G154" t="s">
        <v>108</v>
      </c>
    </row>
    <row r="155" spans="2:7">
      <c r="B155" s="29" t="s">
        <v>326</v>
      </c>
      <c r="C155" s="29" t="s">
        <v>327</v>
      </c>
      <c r="D155" s="5" t="s">
        <v>321</v>
      </c>
      <c r="F155" t="s">
        <v>108</v>
      </c>
    </row>
    <row r="156" spans="2:7">
      <c r="B156" s="29" t="s">
        <v>328</v>
      </c>
      <c r="C156" s="29" t="s">
        <v>66</v>
      </c>
      <c r="D156" s="5" t="s">
        <v>329</v>
      </c>
    </row>
    <row r="157" spans="2:7">
      <c r="B157" s="29" t="s">
        <v>330</v>
      </c>
      <c r="C157" s="29" t="s">
        <v>66</v>
      </c>
      <c r="D157" s="5" t="s">
        <v>331</v>
      </c>
    </row>
    <row r="158" spans="2:7">
      <c r="B158" s="29" t="s">
        <v>332</v>
      </c>
      <c r="C158" s="29" t="s">
        <v>66</v>
      </c>
      <c r="D158" s="5" t="s">
        <v>333</v>
      </c>
    </row>
    <row r="159" spans="2:7">
      <c r="B159" s="29" t="s">
        <v>334</v>
      </c>
      <c r="C159" s="29" t="s">
        <v>335</v>
      </c>
      <c r="D159" s="5" t="s">
        <v>200</v>
      </c>
    </row>
    <row r="160" spans="2:7">
      <c r="B160" s="29" t="s">
        <v>336</v>
      </c>
      <c r="C160" s="29" t="s">
        <v>66</v>
      </c>
      <c r="D160" s="5" t="s">
        <v>241</v>
      </c>
    </row>
    <row r="161" spans="2:6">
      <c r="B161" s="29" t="s">
        <v>337</v>
      </c>
      <c r="C161" s="29" t="s">
        <v>66</v>
      </c>
      <c r="D161" s="5" t="s">
        <v>241</v>
      </c>
    </row>
    <row r="162" spans="2:6">
      <c r="B162" s="29" t="s">
        <v>338</v>
      </c>
      <c r="C162" s="29" t="s">
        <v>66</v>
      </c>
      <c r="D162" s="5" t="s">
        <v>182</v>
      </c>
      <c r="F162" t="s">
        <v>108</v>
      </c>
    </row>
    <row r="163" spans="2:6">
      <c r="B163" s="29" t="s">
        <v>339</v>
      </c>
      <c r="C163" s="29" t="s">
        <v>66</v>
      </c>
      <c r="D163" s="5" t="s">
        <v>340</v>
      </c>
    </row>
    <row r="164" spans="2:6">
      <c r="B164" s="29" t="s">
        <v>341</v>
      </c>
      <c r="C164" s="29" t="s">
        <v>66</v>
      </c>
      <c r="D164" s="5" t="s">
        <v>340</v>
      </c>
    </row>
    <row r="165" spans="2:6">
      <c r="B165" s="29" t="s">
        <v>342</v>
      </c>
      <c r="C165" s="29" t="s">
        <v>343</v>
      </c>
      <c r="D165" s="5" t="s">
        <v>321</v>
      </c>
    </row>
    <row r="166" spans="2:6">
      <c r="B166" s="29" t="s">
        <v>344</v>
      </c>
      <c r="C166" s="29" t="s">
        <v>66</v>
      </c>
      <c r="D166" s="5" t="s">
        <v>340</v>
      </c>
    </row>
    <row r="167" spans="2:6">
      <c r="B167" s="29" t="s">
        <v>345</v>
      </c>
      <c r="C167" s="29" t="s">
        <v>66</v>
      </c>
      <c r="D167" s="5" t="s">
        <v>346</v>
      </c>
    </row>
    <row r="168" spans="2:6">
      <c r="B168" s="29" t="s">
        <v>347</v>
      </c>
      <c r="C168" s="29" t="s">
        <v>66</v>
      </c>
      <c r="D168" s="5" t="s">
        <v>196</v>
      </c>
    </row>
    <row r="169" spans="2:6">
      <c r="B169" s="29" t="s">
        <v>348</v>
      </c>
      <c r="C169" s="29" t="s">
        <v>66</v>
      </c>
      <c r="D169" s="5" t="s">
        <v>349</v>
      </c>
    </row>
    <row r="170" spans="2:6">
      <c r="B170" s="29" t="s">
        <v>350</v>
      </c>
      <c r="C170" s="29" t="s">
        <v>66</v>
      </c>
      <c r="D170" s="5" t="s">
        <v>349</v>
      </c>
    </row>
    <row r="171" spans="2:6">
      <c r="B171" s="29" t="s">
        <v>351</v>
      </c>
      <c r="C171" s="29" t="s">
        <v>66</v>
      </c>
      <c r="D171" s="5" t="s">
        <v>352</v>
      </c>
    </row>
    <row r="172" spans="2:6">
      <c r="B172" s="29" t="s">
        <v>353</v>
      </c>
      <c r="C172" s="29" t="s">
        <v>66</v>
      </c>
      <c r="D172" s="5" t="s">
        <v>354</v>
      </c>
    </row>
    <row r="173" spans="2:6">
      <c r="B173" s="29" t="s">
        <v>355</v>
      </c>
      <c r="C173" s="29" t="s">
        <v>166</v>
      </c>
      <c r="D173" s="5" t="s">
        <v>356</v>
      </c>
    </row>
    <row r="174" spans="2:6">
      <c r="B174" s="29" t="s">
        <v>357</v>
      </c>
      <c r="C174" s="29" t="s">
        <v>66</v>
      </c>
      <c r="D174" s="5" t="s">
        <v>81</v>
      </c>
    </row>
    <row r="175" spans="2:6">
      <c r="B175" s="29" t="s">
        <v>358</v>
      </c>
      <c r="C175" s="36">
        <v>7.5</v>
      </c>
      <c r="D175" s="5" t="s">
        <v>261</v>
      </c>
    </row>
    <row r="176" spans="2:6">
      <c r="B176" s="29" t="s">
        <v>359</v>
      </c>
      <c r="C176" s="36">
        <v>7.5</v>
      </c>
      <c r="D176" s="29" t="s">
        <v>360</v>
      </c>
      <c r="F176" t="s">
        <v>108</v>
      </c>
    </row>
    <row r="177" spans="1:8">
      <c r="B177" s="29" t="s">
        <v>361</v>
      </c>
      <c r="C177" s="36">
        <v>7.5</v>
      </c>
      <c r="D177" s="29" t="s">
        <v>362</v>
      </c>
    </row>
    <row r="178" spans="1:8">
      <c r="B178" s="29" t="s">
        <v>363</v>
      </c>
      <c r="C178" s="5" t="s">
        <v>66</v>
      </c>
      <c r="D178" s="5" t="s">
        <v>81</v>
      </c>
      <c r="H178" t="s">
        <v>108</v>
      </c>
    </row>
    <row r="179" spans="1:8">
      <c r="B179" s="29" t="s">
        <v>364</v>
      </c>
      <c r="C179" s="5" t="s">
        <v>66</v>
      </c>
      <c r="D179" s="29" t="s">
        <v>261</v>
      </c>
    </row>
    <row r="180" spans="1:8">
      <c r="B180" s="29" t="s">
        <v>365</v>
      </c>
      <c r="C180" s="5" t="s">
        <v>66</v>
      </c>
      <c r="D180" s="29" t="s">
        <v>261</v>
      </c>
    </row>
    <row r="181" spans="1:8">
      <c r="B181" s="29" t="s">
        <v>366</v>
      </c>
      <c r="C181" s="5" t="s">
        <v>66</v>
      </c>
      <c r="D181" s="29" t="s">
        <v>261</v>
      </c>
    </row>
    <row r="182" spans="1:8">
      <c r="B182" s="29" t="s">
        <v>367</v>
      </c>
      <c r="C182" s="5" t="s">
        <v>66</v>
      </c>
      <c r="D182" s="5" t="s">
        <v>368</v>
      </c>
    </row>
    <row r="183" spans="1:8">
      <c r="B183" s="29" t="s">
        <v>369</v>
      </c>
      <c r="C183" s="5" t="s">
        <v>66</v>
      </c>
      <c r="D183" s="29" t="s">
        <v>362</v>
      </c>
    </row>
    <row r="184" spans="1:8">
      <c r="B184" s="29" t="s">
        <v>370</v>
      </c>
      <c r="C184" s="5" t="s">
        <v>66</v>
      </c>
      <c r="D184" s="5" t="s">
        <v>81</v>
      </c>
    </row>
    <row r="185" spans="1:8">
      <c r="B185" s="29" t="s">
        <v>371</v>
      </c>
      <c r="C185" s="5" t="s">
        <v>372</v>
      </c>
      <c r="D185" s="5" t="s">
        <v>373</v>
      </c>
    </row>
    <row r="186" spans="1:8">
      <c r="B186" s="29" t="s">
        <v>374</v>
      </c>
      <c r="C186" s="5" t="s">
        <v>66</v>
      </c>
      <c r="D186" s="5" t="s">
        <v>375</v>
      </c>
    </row>
    <row r="187" spans="1:8">
      <c r="B187" s="29" t="s">
        <v>376</v>
      </c>
      <c r="C187" s="5" t="s">
        <v>66</v>
      </c>
      <c r="D187" s="5" t="s">
        <v>368</v>
      </c>
    </row>
    <row r="188" spans="1:8">
      <c r="B188" s="29" t="s">
        <v>377</v>
      </c>
      <c r="C188" s="5" t="s">
        <v>66</v>
      </c>
      <c r="D188" s="5" t="s">
        <v>340</v>
      </c>
    </row>
    <row r="189" spans="1:8">
      <c r="A189">
        <v>9</v>
      </c>
      <c r="B189" s="29" t="s">
        <v>378</v>
      </c>
      <c r="C189" s="5" t="s">
        <v>66</v>
      </c>
      <c r="D189" s="5" t="s">
        <v>379</v>
      </c>
    </row>
    <row r="190" spans="1:8">
      <c r="A190">
        <v>1</v>
      </c>
      <c r="B190" s="29" t="s">
        <v>380</v>
      </c>
      <c r="C190" s="5" t="s">
        <v>66</v>
      </c>
      <c r="D190" s="5" t="s">
        <v>261</v>
      </c>
    </row>
    <row r="191" spans="1:8">
      <c r="A191">
        <v>8</v>
      </c>
      <c r="B191" s="29" t="s">
        <v>381</v>
      </c>
      <c r="C191" s="5" t="s">
        <v>66</v>
      </c>
      <c r="D191" s="37" t="s">
        <v>382</v>
      </c>
    </row>
    <row r="192" spans="1:8">
      <c r="A192">
        <v>7</v>
      </c>
      <c r="B192" s="29" t="s">
        <v>383</v>
      </c>
      <c r="C192" s="5" t="s">
        <v>166</v>
      </c>
      <c r="D192" s="5" t="s">
        <v>346</v>
      </c>
    </row>
    <row r="193" spans="1:8">
      <c r="A193">
        <v>2</v>
      </c>
      <c r="B193" s="29" t="s">
        <v>384</v>
      </c>
      <c r="C193" s="29">
        <v>7.5</v>
      </c>
      <c r="D193" s="44" t="s">
        <v>475</v>
      </c>
      <c r="H193" t="s">
        <v>108</v>
      </c>
    </row>
    <row r="194" spans="1:8">
      <c r="A194">
        <v>3</v>
      </c>
      <c r="B194" s="29" t="s">
        <v>385</v>
      </c>
      <c r="C194" s="29" t="s">
        <v>66</v>
      </c>
      <c r="D194" s="5" t="s">
        <v>386</v>
      </c>
    </row>
    <row r="195" spans="1:8">
      <c r="A195">
        <v>4</v>
      </c>
      <c r="B195" s="29" t="s">
        <v>387</v>
      </c>
      <c r="C195" s="29" t="s">
        <v>66</v>
      </c>
      <c r="D195" s="5" t="s">
        <v>386</v>
      </c>
    </row>
    <row r="196" spans="1:8">
      <c r="A196">
        <v>5</v>
      </c>
      <c r="B196" s="29" t="s">
        <v>388</v>
      </c>
      <c r="C196" s="29" t="s">
        <v>66</v>
      </c>
      <c r="D196" s="40" t="s">
        <v>420</v>
      </c>
    </row>
    <row r="197" spans="1:8">
      <c r="A197">
        <v>6</v>
      </c>
      <c r="B197" s="29" t="s">
        <v>389</v>
      </c>
      <c r="C197" s="29" t="s">
        <v>66</v>
      </c>
      <c r="D197" s="5" t="s">
        <v>368</v>
      </c>
    </row>
    <row r="198" spans="1:8">
      <c r="B198" s="29" t="s">
        <v>390</v>
      </c>
      <c r="C198" s="29" t="s">
        <v>66</v>
      </c>
      <c r="D198" s="5" t="s">
        <v>81</v>
      </c>
    </row>
    <row r="199" spans="1:8">
      <c r="B199" s="29" t="s">
        <v>391</v>
      </c>
      <c r="C199" s="29" t="s">
        <v>66</v>
      </c>
      <c r="D199" s="5" t="s">
        <v>81</v>
      </c>
    </row>
    <row r="200" spans="1:8">
      <c r="B200" s="29" t="s">
        <v>392</v>
      </c>
      <c r="C200" s="29" t="s">
        <v>66</v>
      </c>
      <c r="D200" s="5" t="s">
        <v>393</v>
      </c>
    </row>
    <row r="201" spans="1:8">
      <c r="B201" s="29" t="s">
        <v>394</v>
      </c>
      <c r="C201" s="29" t="s">
        <v>66</v>
      </c>
      <c r="D201" s="5" t="s">
        <v>395</v>
      </c>
    </row>
    <row r="202" spans="1:8">
      <c r="B202" s="29" t="s">
        <v>396</v>
      </c>
      <c r="C202" s="29" t="s">
        <v>66</v>
      </c>
      <c r="D202" s="5" t="s">
        <v>180</v>
      </c>
      <c r="E202" t="s">
        <v>108</v>
      </c>
    </row>
    <row r="203" spans="1:8">
      <c r="B203" s="29" t="s">
        <v>397</v>
      </c>
      <c r="C203" s="29" t="s">
        <v>66</v>
      </c>
      <c r="D203" s="5" t="s">
        <v>398</v>
      </c>
    </row>
    <row r="204" spans="1:8">
      <c r="B204" s="29" t="s">
        <v>399</v>
      </c>
      <c r="C204" s="29" t="s">
        <v>66</v>
      </c>
      <c r="D204" s="5" t="s">
        <v>395</v>
      </c>
    </row>
    <row r="205" spans="1:8">
      <c r="B205" s="29" t="s">
        <v>400</v>
      </c>
      <c r="C205" s="29" t="s">
        <v>66</v>
      </c>
      <c r="D205" s="5" t="s">
        <v>401</v>
      </c>
    </row>
    <row r="206" spans="1:8">
      <c r="B206" s="29" t="s">
        <v>402</v>
      </c>
      <c r="C206" s="29" t="s">
        <v>66</v>
      </c>
      <c r="D206" s="5" t="s">
        <v>401</v>
      </c>
    </row>
    <row r="207" spans="1:8">
      <c r="B207" s="5" t="s">
        <v>403</v>
      </c>
      <c r="C207" s="29" t="s">
        <v>66</v>
      </c>
      <c r="D207" s="5" t="s">
        <v>81</v>
      </c>
    </row>
    <row r="208" spans="1:8">
      <c r="B208" s="5" t="s">
        <v>404</v>
      </c>
      <c r="C208" s="29" t="s">
        <v>66</v>
      </c>
      <c r="D208" s="5" t="s">
        <v>81</v>
      </c>
    </row>
    <row r="209" spans="1:5">
      <c r="B209" s="29" t="s">
        <v>405</v>
      </c>
      <c r="C209" s="29" t="s">
        <v>66</v>
      </c>
      <c r="D209" s="5"/>
    </row>
    <row r="210" spans="1:5">
      <c r="B210" s="5" t="s">
        <v>406</v>
      </c>
      <c r="C210" s="29" t="s">
        <v>66</v>
      </c>
      <c r="D210" s="5" t="s">
        <v>259</v>
      </c>
    </row>
    <row r="211" spans="1:5">
      <c r="B211" s="5" t="s">
        <v>407</v>
      </c>
      <c r="C211" s="38">
        <v>5.2</v>
      </c>
      <c r="D211" s="5"/>
    </row>
    <row r="212" spans="1:5">
      <c r="B212" s="5" t="s">
        <v>408</v>
      </c>
      <c r="C212" s="21">
        <v>7.5</v>
      </c>
      <c r="D212" s="5" t="s">
        <v>411</v>
      </c>
    </row>
    <row r="213" spans="1:5">
      <c r="B213" s="5" t="s">
        <v>409</v>
      </c>
      <c r="C213" s="5">
        <v>7.5</v>
      </c>
      <c r="D213" s="5" t="s">
        <v>410</v>
      </c>
    </row>
    <row r="214" spans="1:5">
      <c r="B214" s="5" t="s">
        <v>412</v>
      </c>
      <c r="C214" s="43">
        <v>7.5</v>
      </c>
      <c r="D214" s="44" t="s">
        <v>475</v>
      </c>
    </row>
    <row r="215" spans="1:5">
      <c r="A215">
        <v>1</v>
      </c>
      <c r="B215" s="5" t="s">
        <v>414</v>
      </c>
      <c r="C215" s="21" t="s">
        <v>66</v>
      </c>
      <c r="D215" s="5" t="s">
        <v>434</v>
      </c>
      <c r="E215">
        <v>1</v>
      </c>
    </row>
    <row r="216" spans="1:5">
      <c r="A216">
        <v>1</v>
      </c>
      <c r="B216" s="5" t="s">
        <v>415</v>
      </c>
      <c r="C216" s="21" t="s">
        <v>66</v>
      </c>
      <c r="D216" s="5" t="s">
        <v>434</v>
      </c>
      <c r="E216">
        <v>1</v>
      </c>
    </row>
    <row r="217" spans="1:5">
      <c r="B217" s="5" t="s">
        <v>416</v>
      </c>
      <c r="C217" s="21" t="s">
        <v>66</v>
      </c>
      <c r="D217" s="5" t="s">
        <v>81</v>
      </c>
    </row>
    <row r="218" spans="1:5">
      <c r="B218" s="5" t="s">
        <v>417</v>
      </c>
      <c r="C218" s="21" t="s">
        <v>413</v>
      </c>
      <c r="D218" s="5" t="s">
        <v>423</v>
      </c>
    </row>
    <row r="219" spans="1:5">
      <c r="B219" s="39" t="s">
        <v>418</v>
      </c>
      <c r="C219" s="41" t="s">
        <v>413</v>
      </c>
      <c r="D219" s="5" t="s">
        <v>200</v>
      </c>
    </row>
    <row r="220" spans="1:5">
      <c r="B220" s="5" t="s">
        <v>407</v>
      </c>
      <c r="C220" s="5">
        <v>5.2</v>
      </c>
      <c r="D220" s="5"/>
    </row>
    <row r="221" spans="1:5">
      <c r="B221" s="5" t="s">
        <v>424</v>
      </c>
      <c r="C221" s="5">
        <v>7.5</v>
      </c>
      <c r="D221" s="5" t="s">
        <v>435</v>
      </c>
    </row>
    <row r="222" spans="1:5">
      <c r="A222">
        <v>1</v>
      </c>
      <c r="B222" s="5" t="s">
        <v>425</v>
      </c>
      <c r="C222" s="5">
        <v>7.5</v>
      </c>
      <c r="D222" s="5" t="s">
        <v>200</v>
      </c>
    </row>
    <row r="223" spans="1:5">
      <c r="B223" s="5" t="s">
        <v>426</v>
      </c>
      <c r="C223" s="5">
        <v>7.5</v>
      </c>
      <c r="D223" s="5" t="s">
        <v>455</v>
      </c>
    </row>
    <row r="224" spans="1:5">
      <c r="B224" s="5" t="s">
        <v>427</v>
      </c>
      <c r="C224" s="5">
        <v>7.5</v>
      </c>
      <c r="D224" s="5" t="s">
        <v>81</v>
      </c>
    </row>
    <row r="225" spans="2:5">
      <c r="B225" s="5" t="s">
        <v>428</v>
      </c>
      <c r="C225" s="5">
        <v>7.5</v>
      </c>
      <c r="D225" s="5" t="s">
        <v>436</v>
      </c>
    </row>
    <row r="226" spans="2:5">
      <c r="B226" s="5" t="s">
        <v>429</v>
      </c>
      <c r="C226" s="5">
        <v>7.5</v>
      </c>
      <c r="D226" s="5" t="s">
        <v>434</v>
      </c>
      <c r="E226">
        <v>1</v>
      </c>
    </row>
    <row r="227" spans="2:5">
      <c r="B227" s="5" t="s">
        <v>430</v>
      </c>
      <c r="C227" s="5">
        <v>7.5</v>
      </c>
      <c r="D227" s="5" t="s">
        <v>81</v>
      </c>
    </row>
    <row r="228" spans="2:5">
      <c r="B228" s="5" t="s">
        <v>431</v>
      </c>
      <c r="C228" s="5">
        <v>7.5</v>
      </c>
      <c r="D228" s="5" t="s">
        <v>434</v>
      </c>
      <c r="E228">
        <v>1</v>
      </c>
    </row>
    <row r="229" spans="2:5">
      <c r="B229" s="5" t="s">
        <v>432</v>
      </c>
      <c r="C229" s="5">
        <v>7.5</v>
      </c>
      <c r="D229" s="5" t="s">
        <v>81</v>
      </c>
    </row>
    <row r="230" spans="2:5">
      <c r="B230" s="5" t="s">
        <v>433</v>
      </c>
      <c r="C230" s="5">
        <v>7.5</v>
      </c>
      <c r="D230" s="5" t="s">
        <v>438</v>
      </c>
    </row>
    <row r="231" spans="2:5">
      <c r="B231" s="5" t="s">
        <v>440</v>
      </c>
      <c r="C231" s="43">
        <v>7.5</v>
      </c>
      <c r="D231" s="46" t="s">
        <v>282</v>
      </c>
    </row>
    <row r="232" spans="2:5">
      <c r="B232" s="5" t="s">
        <v>441</v>
      </c>
      <c r="C232" s="43">
        <v>7.5</v>
      </c>
      <c r="D232" s="5" t="s">
        <v>466</v>
      </c>
    </row>
    <row r="233" spans="2:5">
      <c r="B233" s="5" t="s">
        <v>459</v>
      </c>
      <c r="C233" s="43">
        <v>7.5</v>
      </c>
      <c r="D233" s="5" t="s">
        <v>466</v>
      </c>
    </row>
    <row r="234" spans="2:5">
      <c r="B234" s="5" t="s">
        <v>442</v>
      </c>
      <c r="C234" s="43">
        <v>7.5</v>
      </c>
      <c r="D234" s="44" t="s">
        <v>508</v>
      </c>
    </row>
    <row r="235" spans="2:5">
      <c r="B235" s="5" t="s">
        <v>443</v>
      </c>
      <c r="C235" s="43">
        <v>7.5</v>
      </c>
      <c r="D235" s="44" t="s">
        <v>475</v>
      </c>
    </row>
    <row r="236" spans="2:5">
      <c r="B236" s="5" t="s">
        <v>444</v>
      </c>
      <c r="C236" s="43">
        <v>7.5</v>
      </c>
      <c r="D236" s="47" t="s">
        <v>458</v>
      </c>
    </row>
    <row r="237" spans="2:5">
      <c r="B237" s="5" t="s">
        <v>445</v>
      </c>
      <c r="C237" s="43">
        <v>7.5</v>
      </c>
      <c r="D237" s="47" t="s">
        <v>482</v>
      </c>
    </row>
    <row r="238" spans="2:5">
      <c r="B238" s="5" t="s">
        <v>446</v>
      </c>
      <c r="C238" s="43">
        <v>7.5</v>
      </c>
      <c r="D238" s="47" t="s">
        <v>482</v>
      </c>
    </row>
    <row r="239" spans="2:5">
      <c r="B239" s="5" t="s">
        <v>447</v>
      </c>
      <c r="C239" s="43">
        <v>7.5</v>
      </c>
      <c r="D239" s="44" t="s">
        <v>453</v>
      </c>
    </row>
    <row r="240" spans="2:5">
      <c r="B240" s="5" t="s">
        <v>448</v>
      </c>
      <c r="C240" s="43">
        <v>7.5</v>
      </c>
      <c r="D240" s="5" t="s">
        <v>454</v>
      </c>
    </row>
    <row r="241" spans="2:6">
      <c r="B241" s="5" t="s">
        <v>449</v>
      </c>
      <c r="C241" s="43">
        <v>7.5</v>
      </c>
      <c r="D241" s="45" t="s">
        <v>368</v>
      </c>
    </row>
    <row r="242" spans="2:6">
      <c r="B242" s="5" t="s">
        <v>450</v>
      </c>
      <c r="C242" s="43">
        <v>7.5</v>
      </c>
      <c r="D242" s="47" t="s">
        <v>482</v>
      </c>
    </row>
    <row r="243" spans="2:6">
      <c r="B243" s="5" t="s">
        <v>451</v>
      </c>
      <c r="C243" s="43">
        <v>7.5</v>
      </c>
      <c r="D243" s="5" t="s">
        <v>454</v>
      </c>
    </row>
    <row r="244" spans="2:6">
      <c r="B244" s="5" t="s">
        <v>452</v>
      </c>
      <c r="C244" s="43">
        <v>7.5</v>
      </c>
      <c r="D244" s="46" t="s">
        <v>457</v>
      </c>
    </row>
    <row r="245" spans="2:6">
      <c r="B245" s="5" t="s">
        <v>407</v>
      </c>
      <c r="C245" s="5">
        <v>3.2</v>
      </c>
      <c r="D245" s="5"/>
    </row>
    <row r="246" spans="2:6">
      <c r="B246" s="5" t="s">
        <v>456</v>
      </c>
      <c r="C246" s="43">
        <v>7.5</v>
      </c>
      <c r="D246" s="5" t="s">
        <v>349</v>
      </c>
    </row>
    <row r="247" spans="2:6">
      <c r="B247" s="5" t="s">
        <v>460</v>
      </c>
      <c r="C247" s="5">
        <v>7.5</v>
      </c>
      <c r="D247" s="5" t="s">
        <v>468</v>
      </c>
    </row>
    <row r="248" spans="2:6">
      <c r="B248" s="5" t="s">
        <v>461</v>
      </c>
      <c r="C248" s="5">
        <v>7.5</v>
      </c>
      <c r="D248" s="5" t="s">
        <v>465</v>
      </c>
    </row>
    <row r="249" spans="2:6">
      <c r="B249" s="5" t="s">
        <v>462</v>
      </c>
      <c r="C249" s="5">
        <v>2.75</v>
      </c>
      <c r="D249" s="5" t="s">
        <v>226</v>
      </c>
      <c r="F249" t="s">
        <v>108</v>
      </c>
    </row>
    <row r="250" spans="2:6">
      <c r="B250" s="5" t="s">
        <v>463</v>
      </c>
      <c r="C250" s="5">
        <v>7.5</v>
      </c>
      <c r="D250" s="5" t="s">
        <v>467</v>
      </c>
    </row>
    <row r="251" spans="2:6">
      <c r="B251" s="5" t="s">
        <v>464</v>
      </c>
      <c r="C251" s="5">
        <v>7.5</v>
      </c>
      <c r="D251" s="5" t="s">
        <v>467</v>
      </c>
    </row>
    <row r="252" spans="2:6">
      <c r="B252" s="5" t="s">
        <v>470</v>
      </c>
      <c r="C252" s="5">
        <v>7.5</v>
      </c>
      <c r="D252" s="5" t="s">
        <v>476</v>
      </c>
    </row>
    <row r="253" spans="2:6">
      <c r="B253" s="5" t="s">
        <v>471</v>
      </c>
      <c r="C253" s="5">
        <v>7.5</v>
      </c>
      <c r="D253" s="5" t="s">
        <v>476</v>
      </c>
    </row>
    <row r="254" spans="2:6">
      <c r="B254" s="5" t="s">
        <v>472</v>
      </c>
      <c r="C254" s="5">
        <v>7.5</v>
      </c>
      <c r="D254" s="5" t="s">
        <v>476</v>
      </c>
    </row>
    <row r="255" spans="2:6">
      <c r="B255" s="5" t="s">
        <v>473</v>
      </c>
      <c r="C255" s="5">
        <v>7.5</v>
      </c>
      <c r="D255" s="5" t="s">
        <v>476</v>
      </c>
    </row>
    <row r="256" spans="2:6">
      <c r="B256" s="5" t="s">
        <v>474</v>
      </c>
      <c r="C256" s="5">
        <v>7.5</v>
      </c>
      <c r="D256" s="5" t="s">
        <v>476</v>
      </c>
    </row>
    <row r="257" spans="2:4">
      <c r="B257" s="5" t="s">
        <v>477</v>
      </c>
      <c r="C257" s="5">
        <v>7.5</v>
      </c>
      <c r="D257" s="5" t="s">
        <v>493</v>
      </c>
    </row>
    <row r="258" spans="2:4">
      <c r="B258" s="46" t="s">
        <v>478</v>
      </c>
      <c r="C258" s="5">
        <v>7.5</v>
      </c>
      <c r="D258" s="5" t="s">
        <v>506</v>
      </c>
    </row>
    <row r="259" spans="2:4">
      <c r="B259" s="46" t="s">
        <v>479</v>
      </c>
      <c r="C259" s="5">
        <v>7.5</v>
      </c>
      <c r="D259" s="5" t="s">
        <v>81</v>
      </c>
    </row>
    <row r="260" spans="2:4">
      <c r="B260" s="46" t="s">
        <v>480</v>
      </c>
      <c r="C260" s="5">
        <v>5.5</v>
      </c>
      <c r="D260" s="5" t="s">
        <v>483</v>
      </c>
    </row>
    <row r="261" spans="2:4">
      <c r="B261" s="46" t="s">
        <v>481</v>
      </c>
      <c r="C261" s="5">
        <v>7.5</v>
      </c>
      <c r="D261" s="5" t="s">
        <v>494</v>
      </c>
    </row>
    <row r="262" spans="2:4">
      <c r="B262" s="5" t="s">
        <v>407</v>
      </c>
      <c r="C262" s="5">
        <v>1.2</v>
      </c>
      <c r="D262" s="5"/>
    </row>
    <row r="263" spans="2:4">
      <c r="B263" s="5" t="s">
        <v>484</v>
      </c>
      <c r="C263" s="5">
        <v>7.5</v>
      </c>
      <c r="D263" s="5" t="s">
        <v>492</v>
      </c>
    </row>
    <row r="264" spans="2:4">
      <c r="B264" s="5" t="s">
        <v>485</v>
      </c>
      <c r="C264" s="5">
        <v>5.6</v>
      </c>
      <c r="D264" s="5" t="s">
        <v>490</v>
      </c>
    </row>
    <row r="265" spans="2:4">
      <c r="B265" s="5" t="s">
        <v>486</v>
      </c>
      <c r="C265" s="5">
        <v>7.5</v>
      </c>
      <c r="D265" s="5" t="s">
        <v>510</v>
      </c>
    </row>
    <row r="266" spans="2:4">
      <c r="B266" s="5" t="s">
        <v>487</v>
      </c>
      <c r="C266" s="5">
        <v>7.5</v>
      </c>
      <c r="D266" s="5" t="s">
        <v>81</v>
      </c>
    </row>
    <row r="267" spans="2:4">
      <c r="B267" s="5" t="s">
        <v>488</v>
      </c>
      <c r="C267" s="5">
        <v>7.5</v>
      </c>
      <c r="D267" s="5" t="s">
        <v>81</v>
      </c>
    </row>
    <row r="268" spans="2:4">
      <c r="B268" s="5" t="s">
        <v>489</v>
      </c>
      <c r="C268" s="5">
        <v>7.5</v>
      </c>
      <c r="D268" s="5" t="s">
        <v>491</v>
      </c>
    </row>
    <row r="269" spans="2:4">
      <c r="B269" s="5" t="s">
        <v>462</v>
      </c>
      <c r="C269" s="5">
        <v>2.75</v>
      </c>
      <c r="D269" s="5" t="s">
        <v>226</v>
      </c>
    </row>
    <row r="270" spans="2:4">
      <c r="B270" s="5" t="s">
        <v>495</v>
      </c>
      <c r="C270" s="5">
        <v>7.5</v>
      </c>
      <c r="D270" s="44" t="s">
        <v>508</v>
      </c>
    </row>
    <row r="271" spans="2:4">
      <c r="B271" s="5" t="s">
        <v>496</v>
      </c>
      <c r="C271" s="5">
        <v>7.5</v>
      </c>
      <c r="D271" s="44" t="s">
        <v>508</v>
      </c>
    </row>
    <row r="272" spans="2:4">
      <c r="B272" s="5" t="s">
        <v>497</v>
      </c>
      <c r="C272" s="5">
        <v>7.5</v>
      </c>
      <c r="D272" s="5" t="s">
        <v>506</v>
      </c>
    </row>
    <row r="273" spans="1:4">
      <c r="B273" s="5" t="s">
        <v>498</v>
      </c>
      <c r="C273" s="5">
        <v>7.5</v>
      </c>
      <c r="D273" s="5" t="s">
        <v>507</v>
      </c>
    </row>
    <row r="274" spans="1:4">
      <c r="B274" s="5" t="s">
        <v>499</v>
      </c>
      <c r="C274" s="5">
        <v>7.5</v>
      </c>
      <c r="D274" s="5" t="s">
        <v>423</v>
      </c>
    </row>
    <row r="275" spans="1:4">
      <c r="B275" s="5" t="s">
        <v>500</v>
      </c>
      <c r="C275" s="5">
        <v>7.5</v>
      </c>
      <c r="D275" s="44" t="s">
        <v>508</v>
      </c>
    </row>
    <row r="276" spans="1:4">
      <c r="B276" s="5" t="s">
        <v>501</v>
      </c>
      <c r="C276" s="5">
        <v>7.5</v>
      </c>
      <c r="D276" s="5" t="s">
        <v>511</v>
      </c>
    </row>
    <row r="277" spans="1:4">
      <c r="B277" s="5" t="s">
        <v>502</v>
      </c>
      <c r="C277" s="5">
        <v>7.5</v>
      </c>
      <c r="D277" s="5" t="s">
        <v>475</v>
      </c>
    </row>
    <row r="278" spans="1:4">
      <c r="B278" s="5" t="s">
        <v>503</v>
      </c>
      <c r="C278" s="5">
        <v>7.5</v>
      </c>
      <c r="D278" s="5" t="s">
        <v>423</v>
      </c>
    </row>
    <row r="279" spans="1:4">
      <c r="B279" s="5" t="s">
        <v>504</v>
      </c>
      <c r="C279" s="5">
        <v>7.5</v>
      </c>
      <c r="D279" s="5" t="s">
        <v>423</v>
      </c>
    </row>
    <row r="280" spans="1:4">
      <c r="B280" s="5" t="s">
        <v>505</v>
      </c>
      <c r="C280" s="5">
        <v>7.5</v>
      </c>
      <c r="D280" s="5" t="s">
        <v>493</v>
      </c>
    </row>
    <row r="281" spans="1:4">
      <c r="B281" s="5" t="s">
        <v>512</v>
      </c>
      <c r="C281" s="5">
        <v>7.5</v>
      </c>
      <c r="D281" s="5" t="s">
        <v>81</v>
      </c>
    </row>
    <row r="282" spans="1:4">
      <c r="B282" s="5" t="s">
        <v>513</v>
      </c>
      <c r="C282" s="5">
        <v>7.5</v>
      </c>
      <c r="D282" s="5" t="s">
        <v>514</v>
      </c>
    </row>
    <row r="283" spans="1:4">
      <c r="B283" s="5" t="s">
        <v>516</v>
      </c>
      <c r="C283" s="5">
        <v>7.5</v>
      </c>
      <c r="D283" s="5" t="s">
        <v>519</v>
      </c>
    </row>
    <row r="284" spans="1:4">
      <c r="A284" t="s">
        <v>663</v>
      </c>
      <c r="B284" s="5" t="s">
        <v>517</v>
      </c>
      <c r="C284" s="5">
        <v>7.5</v>
      </c>
      <c r="D284" s="5" t="s">
        <v>525</v>
      </c>
    </row>
    <row r="285" spans="1:4">
      <c r="B285" s="5" t="s">
        <v>518</v>
      </c>
      <c r="C285" s="5">
        <v>7.5</v>
      </c>
      <c r="D285" s="5" t="s">
        <v>520</v>
      </c>
    </row>
    <row r="286" spans="1:4">
      <c r="B286" s="5" t="s">
        <v>521</v>
      </c>
      <c r="C286" s="5">
        <v>7.5</v>
      </c>
      <c r="D286" s="5" t="s">
        <v>522</v>
      </c>
    </row>
    <row r="287" spans="1:4">
      <c r="B287" s="5" t="s">
        <v>523</v>
      </c>
      <c r="C287" s="5">
        <v>7.5</v>
      </c>
      <c r="D287" s="5" t="s">
        <v>532</v>
      </c>
    </row>
    <row r="288" spans="1:4">
      <c r="B288" s="5" t="s">
        <v>524</v>
      </c>
      <c r="C288" s="5">
        <v>7.5</v>
      </c>
      <c r="D288" s="5" t="s">
        <v>536</v>
      </c>
    </row>
    <row r="289" spans="2:4">
      <c r="B289" s="5" t="s">
        <v>526</v>
      </c>
      <c r="C289" s="5">
        <v>7.5</v>
      </c>
      <c r="D289" s="5" t="s">
        <v>532</v>
      </c>
    </row>
    <row r="290" spans="2:4">
      <c r="B290" s="5" t="s">
        <v>527</v>
      </c>
      <c r="C290" s="5">
        <v>7.5</v>
      </c>
      <c r="D290" s="5" t="s">
        <v>534</v>
      </c>
    </row>
    <row r="291" spans="2:4">
      <c r="B291" s="5" t="s">
        <v>528</v>
      </c>
      <c r="C291" s="5">
        <v>7.5</v>
      </c>
      <c r="D291" s="5" t="s">
        <v>535</v>
      </c>
    </row>
    <row r="292" spans="2:4">
      <c r="B292" s="5" t="s">
        <v>529</v>
      </c>
      <c r="C292" s="5">
        <v>7.5</v>
      </c>
      <c r="D292" s="5" t="s">
        <v>535</v>
      </c>
    </row>
    <row r="293" spans="2:4">
      <c r="B293" s="5" t="s">
        <v>530</v>
      </c>
      <c r="C293" s="5">
        <v>7.5</v>
      </c>
      <c r="D293" s="5" t="s">
        <v>533</v>
      </c>
    </row>
    <row r="294" spans="2:4">
      <c r="B294" s="5" t="s">
        <v>531</v>
      </c>
      <c r="C294" s="5">
        <v>7.5</v>
      </c>
      <c r="D294" s="5" t="s">
        <v>340</v>
      </c>
    </row>
    <row r="295" spans="2:4">
      <c r="B295" s="5" t="s">
        <v>537</v>
      </c>
      <c r="C295" s="5">
        <v>7.5</v>
      </c>
      <c r="D295" s="5" t="s">
        <v>340</v>
      </c>
    </row>
    <row r="296" spans="2:4">
      <c r="B296" s="5" t="s">
        <v>538</v>
      </c>
      <c r="C296" s="5">
        <v>7.5</v>
      </c>
      <c r="D296" s="5" t="s">
        <v>544</v>
      </c>
    </row>
    <row r="297" spans="2:4">
      <c r="B297" s="5" t="s">
        <v>539</v>
      </c>
      <c r="C297" s="5">
        <v>7.5</v>
      </c>
      <c r="D297" s="5" t="s">
        <v>536</v>
      </c>
    </row>
    <row r="298" spans="2:4">
      <c r="B298" s="5" t="s">
        <v>540</v>
      </c>
      <c r="C298" s="5">
        <v>7.5</v>
      </c>
      <c r="D298" s="5" t="s">
        <v>543</v>
      </c>
    </row>
    <row r="299" spans="2:4">
      <c r="B299" s="5" t="s">
        <v>541</v>
      </c>
      <c r="C299" s="5">
        <v>7.25</v>
      </c>
      <c r="D299" s="5" t="s">
        <v>546</v>
      </c>
    </row>
    <row r="300" spans="2:4">
      <c r="B300" s="5" t="s">
        <v>542</v>
      </c>
      <c r="C300" s="5">
        <v>7.5</v>
      </c>
      <c r="D300" s="5" t="s">
        <v>545</v>
      </c>
    </row>
    <row r="301" spans="2:4">
      <c r="B301" s="5" t="s">
        <v>548</v>
      </c>
      <c r="C301" s="5">
        <v>7.5</v>
      </c>
      <c r="D301" s="5" t="s">
        <v>96</v>
      </c>
    </row>
    <row r="302" spans="2:4">
      <c r="B302" s="5" t="s">
        <v>549</v>
      </c>
      <c r="C302" s="5">
        <v>7.5</v>
      </c>
      <c r="D302" s="5" t="s">
        <v>96</v>
      </c>
    </row>
    <row r="303" spans="2:4">
      <c r="B303" s="5" t="s">
        <v>550</v>
      </c>
      <c r="C303" s="5">
        <v>7.5</v>
      </c>
      <c r="D303" s="5" t="s">
        <v>96</v>
      </c>
    </row>
    <row r="304" spans="2:4">
      <c r="B304" s="46" t="s">
        <v>552</v>
      </c>
      <c r="C304" s="5">
        <v>7.5</v>
      </c>
      <c r="D304" s="5" t="s">
        <v>96</v>
      </c>
    </row>
    <row r="305" spans="1:7">
      <c r="B305" s="46" t="s">
        <v>553</v>
      </c>
      <c r="C305" s="5">
        <v>7.5</v>
      </c>
      <c r="D305" s="5" t="s">
        <v>96</v>
      </c>
      <c r="G305" s="6"/>
    </row>
    <row r="306" spans="1:7">
      <c r="B306" s="5" t="s">
        <v>555</v>
      </c>
      <c r="C306" s="5">
        <v>7.5</v>
      </c>
      <c r="D306" s="5" t="s">
        <v>96</v>
      </c>
    </row>
    <row r="307" spans="1:7">
      <c r="B307" s="5" t="s">
        <v>556</v>
      </c>
      <c r="C307" s="5">
        <v>7.5</v>
      </c>
      <c r="D307" s="5" t="s">
        <v>558</v>
      </c>
    </row>
    <row r="308" spans="1:7">
      <c r="B308" s="5" t="s">
        <v>557</v>
      </c>
      <c r="C308" s="5">
        <v>7.5</v>
      </c>
      <c r="D308" s="5" t="s">
        <v>585</v>
      </c>
    </row>
    <row r="309" spans="1:7">
      <c r="A309" t="s">
        <v>576</v>
      </c>
      <c r="B309" s="5" t="s">
        <v>574</v>
      </c>
      <c r="C309" s="5">
        <v>7.5</v>
      </c>
      <c r="D309" s="5" t="s">
        <v>575</v>
      </c>
    </row>
    <row r="310" spans="1:7">
      <c r="B310" s="5" t="s">
        <v>586</v>
      </c>
      <c r="C310" s="5">
        <v>7.5</v>
      </c>
      <c r="D310" s="5" t="s">
        <v>618</v>
      </c>
    </row>
    <row r="311" spans="1:7">
      <c r="B311" s="5" t="s">
        <v>587</v>
      </c>
      <c r="C311" s="5">
        <v>7.5</v>
      </c>
      <c r="D311" s="5" t="s">
        <v>618</v>
      </c>
    </row>
    <row r="312" spans="1:7">
      <c r="B312" s="5" t="s">
        <v>588</v>
      </c>
      <c r="C312" s="5">
        <v>7.5</v>
      </c>
      <c r="D312" s="5" t="s">
        <v>632</v>
      </c>
    </row>
    <row r="313" spans="1:7">
      <c r="B313" s="5" t="s">
        <v>589</v>
      </c>
      <c r="C313" s="5">
        <v>7.5</v>
      </c>
      <c r="D313" s="5" t="s">
        <v>593</v>
      </c>
    </row>
    <row r="314" spans="1:7">
      <c r="B314" s="5" t="s">
        <v>590</v>
      </c>
      <c r="C314" s="5">
        <v>7.5</v>
      </c>
      <c r="D314" s="5" t="s">
        <v>619</v>
      </c>
    </row>
    <row r="315" spans="1:7">
      <c r="B315" s="5" t="s">
        <v>591</v>
      </c>
      <c r="C315" s="5">
        <v>7.5</v>
      </c>
      <c r="D315" s="5" t="s">
        <v>619</v>
      </c>
    </row>
    <row r="316" spans="1:7">
      <c r="B316" s="5" t="s">
        <v>592</v>
      </c>
      <c r="C316" s="5">
        <v>7.5</v>
      </c>
      <c r="D316" s="54" t="s">
        <v>599</v>
      </c>
      <c r="E316" t="s">
        <v>108</v>
      </c>
    </row>
    <row r="317" spans="1:7">
      <c r="A317" t="s">
        <v>595</v>
      </c>
      <c r="B317" s="5" t="s">
        <v>613</v>
      </c>
      <c r="C317" s="5">
        <v>7.5</v>
      </c>
      <c r="D317" s="56" t="s">
        <v>615</v>
      </c>
    </row>
    <row r="318" spans="1:7">
      <c r="B318" s="54" t="s">
        <v>598</v>
      </c>
      <c r="C318" s="5">
        <v>30</v>
      </c>
      <c r="D318" s="5">
        <f>+C318*0.9-11.4-15.6</f>
        <v>0</v>
      </c>
    </row>
    <row r="319" spans="1:7">
      <c r="B319" s="5" t="s">
        <v>600</v>
      </c>
      <c r="C319" s="5">
        <v>7.5</v>
      </c>
      <c r="D319" s="5" t="s">
        <v>593</v>
      </c>
    </row>
    <row r="320" spans="1:7">
      <c r="B320" s="5" t="s">
        <v>601</v>
      </c>
      <c r="C320" s="5">
        <v>7.5</v>
      </c>
      <c r="D320" s="5" t="s">
        <v>612</v>
      </c>
    </row>
    <row r="321" spans="2:4">
      <c r="B321" s="5" t="s">
        <v>602</v>
      </c>
      <c r="C321" s="5">
        <v>7.5</v>
      </c>
      <c r="D321" s="5" t="s">
        <v>612</v>
      </c>
    </row>
    <row r="322" spans="2:4">
      <c r="B322" s="5" t="s">
        <v>608</v>
      </c>
      <c r="C322" s="5">
        <v>7.5</v>
      </c>
      <c r="D322" s="5" t="s">
        <v>593</v>
      </c>
    </row>
    <row r="323" spans="2:4">
      <c r="B323" s="5" t="s">
        <v>609</v>
      </c>
      <c r="C323" s="5">
        <v>7.5</v>
      </c>
      <c r="D323" s="5" t="s">
        <v>614</v>
      </c>
    </row>
    <row r="324" spans="2:4">
      <c r="B324" s="5" t="s">
        <v>610</v>
      </c>
      <c r="C324" s="5">
        <v>7.5</v>
      </c>
      <c r="D324" s="5" t="s">
        <v>612</v>
      </c>
    </row>
    <row r="325" spans="2:4">
      <c r="B325" s="5" t="s">
        <v>611</v>
      </c>
      <c r="C325" s="5">
        <v>7.5</v>
      </c>
      <c r="D325" s="5" t="s">
        <v>593</v>
      </c>
    </row>
    <row r="326" spans="2:4">
      <c r="B326" s="5" t="s">
        <v>620</v>
      </c>
      <c r="C326" s="5">
        <v>7.5</v>
      </c>
      <c r="D326" s="5" t="s">
        <v>96</v>
      </c>
    </row>
    <row r="327" spans="2:4">
      <c r="B327" s="5" t="s">
        <v>621</v>
      </c>
      <c r="C327" s="5">
        <v>7.5</v>
      </c>
      <c r="D327" s="5" t="s">
        <v>629</v>
      </c>
    </row>
    <row r="328" spans="2:4">
      <c r="B328" s="5" t="s">
        <v>622</v>
      </c>
      <c r="C328" s="5">
        <v>7.5</v>
      </c>
      <c r="D328" s="57" t="s">
        <v>649</v>
      </c>
    </row>
    <row r="329" spans="2:4">
      <c r="B329" s="5" t="s">
        <v>623</v>
      </c>
      <c r="C329" s="5">
        <v>7.5</v>
      </c>
      <c r="D329" s="5" t="s">
        <v>633</v>
      </c>
    </row>
    <row r="330" spans="2:4">
      <c r="B330" s="5" t="s">
        <v>624</v>
      </c>
      <c r="C330" s="5">
        <v>7.5</v>
      </c>
      <c r="D330" s="5" t="s">
        <v>96</v>
      </c>
    </row>
    <row r="331" spans="2:4">
      <c r="B331" s="5" t="s">
        <v>625</v>
      </c>
      <c r="C331" s="5">
        <v>7.5</v>
      </c>
      <c r="D331" s="5" t="s">
        <v>628</v>
      </c>
    </row>
    <row r="332" spans="2:4">
      <c r="B332" s="5" t="s">
        <v>626</v>
      </c>
      <c r="C332" s="5">
        <v>7.5</v>
      </c>
      <c r="D332" s="5" t="s">
        <v>627</v>
      </c>
    </row>
    <row r="333" spans="2:4">
      <c r="B333" s="5" t="s">
        <v>664</v>
      </c>
      <c r="C333" s="5">
        <v>7.5</v>
      </c>
      <c r="D333" s="5" t="s">
        <v>732</v>
      </c>
    </row>
    <row r="334" spans="2:4">
      <c r="B334" s="5" t="s">
        <v>634</v>
      </c>
      <c r="C334" s="5">
        <v>7.5</v>
      </c>
      <c r="D334" s="5" t="s">
        <v>732</v>
      </c>
    </row>
    <row r="335" spans="2:4">
      <c r="B335" s="5" t="s">
        <v>635</v>
      </c>
      <c r="C335" s="5">
        <v>7.5</v>
      </c>
      <c r="D335" s="5" t="s">
        <v>636</v>
      </c>
    </row>
    <row r="336" spans="2:4">
      <c r="B336" s="5" t="s">
        <v>639</v>
      </c>
      <c r="C336" s="5">
        <v>7.5</v>
      </c>
      <c r="D336" s="5" t="s">
        <v>648</v>
      </c>
    </row>
    <row r="337" spans="2:6">
      <c r="B337" s="5" t="s">
        <v>640</v>
      </c>
      <c r="C337" s="5">
        <v>7.5</v>
      </c>
      <c r="D337" s="5" t="s">
        <v>658</v>
      </c>
    </row>
    <row r="338" spans="2:6">
      <c r="B338" s="5" t="s">
        <v>641</v>
      </c>
      <c r="C338" s="5">
        <v>7.5</v>
      </c>
      <c r="D338" s="5" t="s">
        <v>658</v>
      </c>
      <c r="F338" s="58"/>
    </row>
    <row r="339" spans="2:6">
      <c r="B339" s="5" t="s">
        <v>642</v>
      </c>
      <c r="C339" s="5">
        <v>7.5</v>
      </c>
      <c r="D339" s="5" t="s">
        <v>658</v>
      </c>
    </row>
    <row r="340" spans="2:6">
      <c r="B340" s="5" t="s">
        <v>646</v>
      </c>
      <c r="C340" s="5">
        <v>7.5</v>
      </c>
      <c r="D340" s="5" t="s">
        <v>659</v>
      </c>
    </row>
    <row r="341" spans="2:6">
      <c r="B341" s="5" t="s">
        <v>647</v>
      </c>
      <c r="C341" s="5">
        <v>7.5</v>
      </c>
      <c r="D341" s="57" t="s">
        <v>619</v>
      </c>
    </row>
    <row r="342" spans="2:6">
      <c r="B342" s="57" t="s">
        <v>650</v>
      </c>
      <c r="C342" s="5">
        <v>7.5</v>
      </c>
      <c r="D342" s="5" t="s">
        <v>657</v>
      </c>
    </row>
    <row r="343" spans="2:6">
      <c r="B343" s="57" t="s">
        <v>651</v>
      </c>
      <c r="C343" s="5">
        <v>7.5</v>
      </c>
      <c r="D343" s="57" t="s">
        <v>655</v>
      </c>
    </row>
    <row r="344" spans="2:6">
      <c r="B344" s="57" t="s">
        <v>652</v>
      </c>
      <c r="C344" s="5">
        <v>7.5</v>
      </c>
      <c r="D344" s="57" t="s">
        <v>655</v>
      </c>
    </row>
    <row r="345" spans="2:6">
      <c r="B345" s="57" t="s">
        <v>653</v>
      </c>
      <c r="C345" s="5">
        <v>7.5</v>
      </c>
      <c r="D345" s="5" t="s">
        <v>656</v>
      </c>
    </row>
    <row r="346" spans="2:6">
      <c r="B346" s="57" t="s">
        <v>654</v>
      </c>
      <c r="C346" s="5">
        <v>7.5</v>
      </c>
      <c r="D346" s="5" t="s">
        <v>735</v>
      </c>
    </row>
    <row r="347" spans="2:6">
      <c r="B347" s="67" t="s">
        <v>667</v>
      </c>
      <c r="C347" s="5">
        <v>7.5</v>
      </c>
      <c r="D347" s="5" t="s">
        <v>670</v>
      </c>
    </row>
    <row r="348" spans="2:6">
      <c r="B348" s="67" t="s">
        <v>668</v>
      </c>
      <c r="C348" s="5">
        <v>7.5</v>
      </c>
      <c r="D348" s="5" t="s">
        <v>694</v>
      </c>
    </row>
    <row r="349" spans="2:6">
      <c r="B349" s="67" t="s">
        <v>669</v>
      </c>
      <c r="C349" s="5">
        <v>7.5</v>
      </c>
      <c r="D349" s="5" t="s">
        <v>702</v>
      </c>
    </row>
    <row r="350" spans="2:6">
      <c r="B350" s="69" t="s">
        <v>677</v>
      </c>
      <c r="C350" s="5">
        <v>7.5</v>
      </c>
      <c r="D350" s="5" t="s">
        <v>692</v>
      </c>
    </row>
    <row r="351" spans="2:6">
      <c r="B351" s="69" t="s">
        <v>678</v>
      </c>
      <c r="C351" s="5">
        <v>7.5</v>
      </c>
      <c r="D351" s="5" t="s">
        <v>615</v>
      </c>
    </row>
    <row r="352" spans="2:6">
      <c r="B352" s="69" t="s">
        <v>679</v>
      </c>
      <c r="C352" s="5">
        <v>7.5</v>
      </c>
      <c r="D352" s="5" t="s">
        <v>695</v>
      </c>
    </row>
    <row r="353" spans="2:4">
      <c r="B353" s="70" t="s">
        <v>701</v>
      </c>
      <c r="C353" s="5">
        <v>7.5</v>
      </c>
      <c r="D353" s="5" t="s">
        <v>615</v>
      </c>
    </row>
    <row r="354" spans="2:4">
      <c r="B354" s="71" t="s">
        <v>703</v>
      </c>
      <c r="C354" s="5">
        <v>7.5</v>
      </c>
      <c r="D354" s="5" t="s">
        <v>705</v>
      </c>
    </row>
    <row r="355" spans="2:4">
      <c r="B355" s="71" t="s">
        <v>704</v>
      </c>
      <c r="C355" s="5">
        <v>6.4</v>
      </c>
      <c r="D355" s="5" t="s">
        <v>707</v>
      </c>
    </row>
    <row r="356" spans="2:4">
      <c r="B356" s="73" t="s">
        <v>709</v>
      </c>
      <c r="C356" s="5">
        <v>7.5</v>
      </c>
      <c r="D356" s="5" t="s">
        <v>785</v>
      </c>
    </row>
    <row r="357" spans="2:4">
      <c r="B357" s="73" t="s">
        <v>710</v>
      </c>
      <c r="C357" s="5">
        <v>7</v>
      </c>
      <c r="D357" s="5" t="s">
        <v>96</v>
      </c>
    </row>
    <row r="358" spans="2:4">
      <c r="B358" s="73" t="s">
        <v>711</v>
      </c>
      <c r="C358" s="5">
        <v>7.5</v>
      </c>
      <c r="D358" s="5" t="s">
        <v>96</v>
      </c>
    </row>
    <row r="359" spans="2:4">
      <c r="B359" s="73" t="s">
        <v>712</v>
      </c>
      <c r="C359" s="5">
        <v>7</v>
      </c>
      <c r="D359" s="5" t="s">
        <v>96</v>
      </c>
    </row>
    <row r="360" spans="2:4">
      <c r="B360" s="73" t="s">
        <v>713</v>
      </c>
      <c r="C360" s="5">
        <v>7.5</v>
      </c>
      <c r="D360" s="5" t="s">
        <v>734</v>
      </c>
    </row>
    <row r="361" spans="2:4">
      <c r="B361" s="73" t="s">
        <v>714</v>
      </c>
      <c r="C361" s="5">
        <v>7.5</v>
      </c>
      <c r="D361" s="5" t="s">
        <v>734</v>
      </c>
    </row>
    <row r="362" spans="2:4">
      <c r="B362" s="81" t="s">
        <v>725</v>
      </c>
      <c r="C362" s="5">
        <v>7.5</v>
      </c>
      <c r="D362" s="5" t="s">
        <v>729</v>
      </c>
    </row>
    <row r="363" spans="2:4">
      <c r="B363" s="81" t="s">
        <v>726</v>
      </c>
      <c r="C363" s="5">
        <v>7.5</v>
      </c>
      <c r="D363" s="5" t="s">
        <v>733</v>
      </c>
    </row>
    <row r="364" spans="2:4">
      <c r="B364" s="81" t="s">
        <v>727</v>
      </c>
      <c r="C364" s="5">
        <v>7.5</v>
      </c>
      <c r="D364" s="5" t="s">
        <v>783</v>
      </c>
    </row>
    <row r="365" spans="2:4">
      <c r="B365" s="81" t="s">
        <v>728</v>
      </c>
      <c r="C365" s="5">
        <v>7.5</v>
      </c>
      <c r="D365" s="5" t="s">
        <v>96</v>
      </c>
    </row>
    <row r="366" spans="2:4">
      <c r="B366" s="83" t="s">
        <v>736</v>
      </c>
      <c r="C366" s="5">
        <v>7.5</v>
      </c>
      <c r="D366" s="5" t="s">
        <v>799</v>
      </c>
    </row>
    <row r="367" spans="2:4">
      <c r="B367" s="85" t="s">
        <v>752</v>
      </c>
      <c r="C367" s="5">
        <v>7.5</v>
      </c>
      <c r="D367" s="5" t="s">
        <v>758</v>
      </c>
    </row>
    <row r="368" spans="2:4">
      <c r="B368" s="85" t="s">
        <v>753</v>
      </c>
      <c r="C368" s="5">
        <v>7.5</v>
      </c>
      <c r="D368" s="5" t="s">
        <v>760</v>
      </c>
    </row>
    <row r="369" spans="1:4">
      <c r="B369" s="85" t="s">
        <v>755</v>
      </c>
      <c r="C369" s="5">
        <v>7.5</v>
      </c>
      <c r="D369" s="5" t="s">
        <v>756</v>
      </c>
    </row>
    <row r="370" spans="1:4">
      <c r="B370" s="87" t="s">
        <v>772</v>
      </c>
      <c r="C370" s="5">
        <v>7.5</v>
      </c>
      <c r="D370" s="5" t="s">
        <v>593</v>
      </c>
    </row>
    <row r="371" spans="1:4" s="6" customFormat="1">
      <c r="B371" s="87" t="s">
        <v>771</v>
      </c>
      <c r="C371" s="5">
        <v>7.5</v>
      </c>
      <c r="D371" s="5" t="s">
        <v>593</v>
      </c>
    </row>
    <row r="372" spans="1:4">
      <c r="A372" t="s">
        <v>759</v>
      </c>
      <c r="B372" s="87" t="s">
        <v>761</v>
      </c>
      <c r="C372" s="5">
        <v>7.5</v>
      </c>
      <c r="D372" s="5" t="s">
        <v>762</v>
      </c>
    </row>
    <row r="373" spans="1:4">
      <c r="B373" s="87" t="s">
        <v>763</v>
      </c>
      <c r="C373" s="5">
        <v>7.5</v>
      </c>
      <c r="D373" s="5" t="s">
        <v>776</v>
      </c>
    </row>
    <row r="374" spans="1:4">
      <c r="B374" s="87" t="s">
        <v>764</v>
      </c>
      <c r="C374" s="5">
        <v>7.5</v>
      </c>
      <c r="D374" s="5" t="s">
        <v>776</v>
      </c>
    </row>
    <row r="375" spans="1:4">
      <c r="B375" s="87" t="s">
        <v>765</v>
      </c>
      <c r="C375" s="5">
        <v>7.5</v>
      </c>
      <c r="D375" s="5" t="s">
        <v>784</v>
      </c>
    </row>
    <row r="376" spans="1:4">
      <c r="B376" s="87" t="s">
        <v>766</v>
      </c>
      <c r="C376" s="5">
        <v>7.5</v>
      </c>
      <c r="D376" s="5" t="s">
        <v>815</v>
      </c>
    </row>
    <row r="377" spans="1:4">
      <c r="B377" s="87" t="s">
        <v>767</v>
      </c>
      <c r="C377" s="5">
        <v>7.5</v>
      </c>
      <c r="D377" s="5" t="s">
        <v>815</v>
      </c>
    </row>
    <row r="378" spans="1:4">
      <c r="B378" s="87" t="s">
        <v>768</v>
      </c>
      <c r="C378" s="5">
        <v>7.5</v>
      </c>
      <c r="D378" s="5" t="s">
        <v>776</v>
      </c>
    </row>
    <row r="379" spans="1:4">
      <c r="B379" s="87" t="s">
        <v>769</v>
      </c>
      <c r="C379" s="5">
        <v>7.5</v>
      </c>
      <c r="D379" s="5" t="s">
        <v>756</v>
      </c>
    </row>
    <row r="380" spans="1:4">
      <c r="B380" s="87" t="s">
        <v>770</v>
      </c>
      <c r="C380" s="5">
        <v>7.5</v>
      </c>
      <c r="D380" s="5" t="s">
        <v>775</v>
      </c>
    </row>
    <row r="381" spans="1:4">
      <c r="B381" s="87" t="s">
        <v>773</v>
      </c>
      <c r="C381" s="5">
        <v>7.5</v>
      </c>
      <c r="D381" s="5" t="s">
        <v>774</v>
      </c>
    </row>
    <row r="382" spans="1:4">
      <c r="B382" s="95" t="s">
        <v>777</v>
      </c>
      <c r="C382" s="5">
        <v>7.5</v>
      </c>
      <c r="D382" s="5" t="s">
        <v>779</v>
      </c>
    </row>
    <row r="383" spans="1:4">
      <c r="B383" s="96" t="s">
        <v>778</v>
      </c>
      <c r="C383" s="97">
        <v>45</v>
      </c>
      <c r="D383" s="5" t="s">
        <v>756</v>
      </c>
    </row>
    <row r="384" spans="1:4">
      <c r="B384" s="98" t="s">
        <v>800</v>
      </c>
      <c r="C384" s="97">
        <v>7.5</v>
      </c>
      <c r="D384" s="5" t="s">
        <v>756</v>
      </c>
    </row>
    <row r="385" spans="1:5">
      <c r="B385" s="96" t="s">
        <v>786</v>
      </c>
      <c r="C385" s="97">
        <v>7.5</v>
      </c>
      <c r="D385" s="5" t="s">
        <v>909</v>
      </c>
    </row>
    <row r="386" spans="1:5">
      <c r="B386" s="98" t="s">
        <v>787</v>
      </c>
      <c r="C386" s="97">
        <v>7.5</v>
      </c>
      <c r="D386" s="5" t="s">
        <v>779</v>
      </c>
    </row>
    <row r="387" spans="1:5">
      <c r="B387" s="5" t="s">
        <v>788</v>
      </c>
      <c r="C387" s="5">
        <v>7.5</v>
      </c>
      <c r="D387" s="113" t="s">
        <v>838</v>
      </c>
      <c r="E387" t="s">
        <v>817</v>
      </c>
    </row>
    <row r="388" spans="1:5">
      <c r="B388" s="5" t="s">
        <v>789</v>
      </c>
      <c r="C388" s="5">
        <v>7.5</v>
      </c>
      <c r="D388" s="5" t="s">
        <v>816</v>
      </c>
    </row>
    <row r="389" spans="1:5">
      <c r="B389" s="5" t="s">
        <v>790</v>
      </c>
      <c r="C389" s="5">
        <v>7.5</v>
      </c>
      <c r="D389" s="5" t="s">
        <v>756</v>
      </c>
    </row>
    <row r="390" spans="1:5">
      <c r="A390" t="s">
        <v>808</v>
      </c>
      <c r="B390" s="5" t="s">
        <v>809</v>
      </c>
      <c r="C390" s="5">
        <v>7.5</v>
      </c>
      <c r="D390" s="5" t="s">
        <v>1129</v>
      </c>
    </row>
    <row r="391" spans="1:5">
      <c r="B391" s="5" t="s">
        <v>810</v>
      </c>
      <c r="C391" s="5">
        <v>7.5</v>
      </c>
      <c r="D391" s="5" t="s">
        <v>866</v>
      </c>
    </row>
    <row r="392" spans="1:5">
      <c r="B392" s="5" t="s">
        <v>811</v>
      </c>
      <c r="C392" s="5">
        <v>7.5</v>
      </c>
      <c r="D392" s="5" t="s">
        <v>866</v>
      </c>
    </row>
    <row r="393" spans="1:5">
      <c r="B393" s="5" t="s">
        <v>826</v>
      </c>
      <c r="C393" s="5">
        <v>7.5</v>
      </c>
      <c r="D393" s="5" t="s">
        <v>827</v>
      </c>
    </row>
    <row r="394" spans="1:5">
      <c r="B394" s="5" t="s">
        <v>848</v>
      </c>
      <c r="C394" s="5">
        <v>7.5</v>
      </c>
      <c r="D394" s="5" t="s">
        <v>849</v>
      </c>
    </row>
    <row r="395" spans="1:5">
      <c r="B395" s="5" t="s">
        <v>854</v>
      </c>
      <c r="C395" s="5">
        <v>7.5</v>
      </c>
      <c r="D395" s="5" t="s">
        <v>875</v>
      </c>
    </row>
    <row r="396" spans="1:5">
      <c r="B396" s="5" t="s">
        <v>855</v>
      </c>
      <c r="C396" s="5">
        <v>7.5</v>
      </c>
      <c r="D396" s="5" t="s">
        <v>859</v>
      </c>
    </row>
    <row r="397" spans="1:5">
      <c r="B397" s="5" t="s">
        <v>856</v>
      </c>
      <c r="C397" s="5">
        <v>33.5</v>
      </c>
      <c r="D397" s="5" t="s">
        <v>883</v>
      </c>
    </row>
    <row r="398" spans="1:5">
      <c r="B398" s="5" t="s">
        <v>886</v>
      </c>
      <c r="C398" s="5">
        <v>7.5</v>
      </c>
      <c r="D398" s="5" t="s">
        <v>612</v>
      </c>
    </row>
    <row r="399" spans="1:5">
      <c r="B399" s="5" t="s">
        <v>887</v>
      </c>
      <c r="C399" s="5">
        <v>7.5</v>
      </c>
      <c r="D399" s="5" t="s">
        <v>890</v>
      </c>
    </row>
    <row r="400" spans="1:5">
      <c r="B400" s="5" t="s">
        <v>903</v>
      </c>
      <c r="C400" s="5">
        <v>7.5</v>
      </c>
      <c r="D400" s="5" t="s">
        <v>890</v>
      </c>
    </row>
    <row r="401" spans="2:4">
      <c r="B401" s="5" t="s">
        <v>929</v>
      </c>
      <c r="C401" s="5">
        <v>7.5</v>
      </c>
      <c r="D401" s="5" t="s">
        <v>890</v>
      </c>
    </row>
    <row r="402" spans="2:4">
      <c r="B402" s="5" t="s">
        <v>930</v>
      </c>
      <c r="C402" s="5">
        <v>7.5</v>
      </c>
      <c r="D402" s="5" t="s">
        <v>890</v>
      </c>
    </row>
    <row r="403" spans="2:4">
      <c r="B403" s="5" t="s">
        <v>932</v>
      </c>
      <c r="C403" s="5">
        <v>7.5</v>
      </c>
      <c r="D403" s="5" t="s">
        <v>612</v>
      </c>
    </row>
    <row r="404" spans="2:4">
      <c r="B404" s="5" t="s">
        <v>933</v>
      </c>
      <c r="C404" s="5">
        <v>7.5</v>
      </c>
      <c r="D404" s="5" t="s">
        <v>964</v>
      </c>
    </row>
    <row r="405" spans="2:4">
      <c r="B405" s="5" t="s">
        <v>942</v>
      </c>
      <c r="C405" s="5">
        <v>7.5</v>
      </c>
      <c r="D405" s="5" t="s">
        <v>890</v>
      </c>
    </row>
    <row r="406" spans="2:4">
      <c r="B406" s="5" t="s">
        <v>953</v>
      </c>
      <c r="C406" s="5">
        <v>7.5</v>
      </c>
      <c r="D406" s="5" t="s">
        <v>955</v>
      </c>
    </row>
    <row r="407" spans="2:4">
      <c r="B407" s="5" t="s">
        <v>954</v>
      </c>
      <c r="C407" s="5">
        <v>7.5</v>
      </c>
      <c r="D407" s="5" t="s">
        <v>955</v>
      </c>
    </row>
    <row r="408" spans="2:4">
      <c r="B408" s="5" t="s">
        <v>969</v>
      </c>
      <c r="C408" s="5">
        <v>7.5</v>
      </c>
      <c r="D408" s="5" t="s">
        <v>1129</v>
      </c>
    </row>
    <row r="409" spans="2:4">
      <c r="B409" s="5" t="s">
        <v>1030</v>
      </c>
      <c r="C409" s="5">
        <v>7.5</v>
      </c>
      <c r="D409" s="5" t="s">
        <v>1032</v>
      </c>
    </row>
    <row r="410" spans="2:4">
      <c r="B410" s="5" t="s">
        <v>1031</v>
      </c>
      <c r="C410" s="5">
        <v>7.5</v>
      </c>
      <c r="D410" s="5" t="s">
        <v>1032</v>
      </c>
    </row>
    <row r="411" spans="2:4">
      <c r="B411" s="5" t="s">
        <v>1125</v>
      </c>
      <c r="C411" s="5">
        <v>7.5</v>
      </c>
      <c r="D411" s="5" t="s">
        <v>1132</v>
      </c>
    </row>
    <row r="412" spans="2:4">
      <c r="B412" s="5" t="s">
        <v>1126</v>
      </c>
      <c r="C412" s="5">
        <v>7.5</v>
      </c>
      <c r="D412" s="5" t="s">
        <v>1128</v>
      </c>
    </row>
    <row r="413" spans="2:4">
      <c r="B413" s="5" t="s">
        <v>1127</v>
      </c>
      <c r="C413" s="5">
        <v>7.5</v>
      </c>
      <c r="D413" s="5" t="s">
        <v>1130</v>
      </c>
    </row>
    <row r="414" spans="2:4">
      <c r="B414" s="5" t="s">
        <v>1146</v>
      </c>
      <c r="C414" s="5">
        <v>7.5</v>
      </c>
      <c r="D414" s="5" t="s">
        <v>1150</v>
      </c>
    </row>
    <row r="415" spans="2:4">
      <c r="B415" s="5" t="s">
        <v>1147</v>
      </c>
      <c r="C415" s="5">
        <v>7.5</v>
      </c>
      <c r="D415" s="169" t="s">
        <v>1159</v>
      </c>
    </row>
    <row r="416" spans="2:4">
      <c r="B416" s="5" t="s">
        <v>1148</v>
      </c>
      <c r="C416" s="5">
        <v>7.5</v>
      </c>
      <c r="D416" s="5" t="s">
        <v>1151</v>
      </c>
    </row>
    <row r="417" spans="1:9">
      <c r="B417" s="5" t="s">
        <v>1149</v>
      </c>
      <c r="C417" s="5">
        <v>7.5</v>
      </c>
      <c r="D417" s="5" t="s">
        <v>1151</v>
      </c>
    </row>
    <row r="418" spans="1:9">
      <c r="B418" s="169" t="s">
        <v>1158</v>
      </c>
      <c r="C418" s="5">
        <v>7.5</v>
      </c>
      <c r="D418" s="169" t="s">
        <v>1159</v>
      </c>
    </row>
    <row r="419" spans="1:9">
      <c r="B419" s="169" t="s">
        <v>1160</v>
      </c>
      <c r="C419" s="5">
        <v>7.5</v>
      </c>
      <c r="D419" s="169" t="s">
        <v>1161</v>
      </c>
    </row>
    <row r="420" spans="1:9">
      <c r="B420" s="5" t="s">
        <v>1166</v>
      </c>
      <c r="C420" s="5">
        <v>7.5</v>
      </c>
      <c r="D420" s="5" t="s">
        <v>1198</v>
      </c>
    </row>
    <row r="421" spans="1:9">
      <c r="B421" s="5" t="s">
        <v>1167</v>
      </c>
      <c r="C421" s="5">
        <v>7.5</v>
      </c>
      <c r="D421" s="5" t="s">
        <v>1204</v>
      </c>
    </row>
    <row r="422" spans="1:9">
      <c r="B422" s="5" t="s">
        <v>1168</v>
      </c>
      <c r="C422" s="5">
        <v>7.5</v>
      </c>
      <c r="D422" s="5" t="s">
        <v>849</v>
      </c>
    </row>
    <row r="423" spans="1:9">
      <c r="B423" s="5" t="s">
        <v>1190</v>
      </c>
      <c r="C423" s="5">
        <v>7.5</v>
      </c>
      <c r="D423" s="5" t="s">
        <v>1205</v>
      </c>
    </row>
    <row r="424" spans="1:9">
      <c r="B424" s="5" t="s">
        <v>1191</v>
      </c>
      <c r="C424" s="5">
        <v>7.5</v>
      </c>
      <c r="D424" s="5" t="s">
        <v>1201</v>
      </c>
    </row>
    <row r="425" spans="1:9">
      <c r="B425" s="5" t="s">
        <v>1192</v>
      </c>
      <c r="C425" s="5">
        <v>7.5</v>
      </c>
      <c r="D425" s="5" t="s">
        <v>1204</v>
      </c>
    </row>
    <row r="426" spans="1:9">
      <c r="B426" s="5" t="s">
        <v>1193</v>
      </c>
      <c r="C426" s="5">
        <v>7.5</v>
      </c>
      <c r="D426" s="5" t="s">
        <v>1197</v>
      </c>
    </row>
    <row r="427" spans="1:9">
      <c r="B427" s="177" t="s">
        <v>1246</v>
      </c>
      <c r="C427" s="5">
        <v>7.5</v>
      </c>
      <c r="D427" s="177" t="s">
        <v>1247</v>
      </c>
    </row>
    <row r="428" spans="1:9">
      <c r="B428" s="5" t="s">
        <v>1285</v>
      </c>
      <c r="C428" s="5">
        <v>6.5</v>
      </c>
      <c r="D428" s="5" t="s">
        <v>1286</v>
      </c>
    </row>
    <row r="429" spans="1:9">
      <c r="B429" s="5" t="s">
        <v>1287</v>
      </c>
      <c r="C429" s="5">
        <v>7.5</v>
      </c>
      <c r="D429" s="5" t="s">
        <v>1288</v>
      </c>
    </row>
    <row r="430" spans="1:9">
      <c r="B430" s="182" t="s">
        <v>1307</v>
      </c>
      <c r="C430" s="5">
        <v>7.5</v>
      </c>
      <c r="D430" s="5" t="s">
        <v>96</v>
      </c>
    </row>
    <row r="431" spans="1:9">
      <c r="A431" s="195" t="s">
        <v>1346</v>
      </c>
      <c r="B431" s="194" t="s">
        <v>1352</v>
      </c>
      <c r="C431" s="194">
        <v>7.5</v>
      </c>
      <c r="D431" s="194" t="s">
        <v>1354</v>
      </c>
    </row>
    <row r="432" spans="1:9">
      <c r="B432" s="194" t="s">
        <v>1353</v>
      </c>
      <c r="C432" s="194">
        <v>7.5</v>
      </c>
      <c r="D432" s="194" t="s">
        <v>1354</v>
      </c>
      <c r="I432">
        <f>2600*11400</f>
        <v>29640000</v>
      </c>
    </row>
    <row r="433" spans="1:5">
      <c r="B433" s="194" t="s">
        <v>1360</v>
      </c>
      <c r="C433" s="5">
        <v>6.5</v>
      </c>
      <c r="D433" s="194" t="s">
        <v>1362</v>
      </c>
    </row>
    <row r="434" spans="1:5">
      <c r="B434" s="194" t="s">
        <v>1361</v>
      </c>
      <c r="C434" s="5">
        <v>6.5</v>
      </c>
      <c r="D434" s="194" t="s">
        <v>1362</v>
      </c>
    </row>
    <row r="435" spans="1:5">
      <c r="B435" s="194" t="s">
        <v>1364</v>
      </c>
      <c r="C435" s="5">
        <v>7.5</v>
      </c>
      <c r="D435" s="194" t="s">
        <v>1366</v>
      </c>
    </row>
    <row r="436" spans="1:5">
      <c r="B436" s="194" t="s">
        <v>1365</v>
      </c>
      <c r="C436" s="5">
        <v>7.5</v>
      </c>
      <c r="D436" s="194" t="s">
        <v>1366</v>
      </c>
    </row>
    <row r="437" spans="1:5">
      <c r="A437" t="s">
        <v>1382</v>
      </c>
      <c r="B437" s="198" t="s">
        <v>1389</v>
      </c>
      <c r="C437" s="5">
        <v>7.5</v>
      </c>
      <c r="D437" s="5" t="s">
        <v>1421</v>
      </c>
    </row>
    <row r="438" spans="1:5">
      <c r="B438" s="198" t="s">
        <v>1390</v>
      </c>
      <c r="C438" s="5">
        <v>7.5</v>
      </c>
      <c r="D438" s="5" t="s">
        <v>1411</v>
      </c>
    </row>
    <row r="439" spans="1:5">
      <c r="B439" s="198" t="s">
        <v>1391</v>
      </c>
      <c r="C439" s="5">
        <v>7.5</v>
      </c>
      <c r="D439" s="5" t="s">
        <v>1413</v>
      </c>
    </row>
    <row r="440" spans="1:5">
      <c r="B440" s="201" t="s">
        <v>1407</v>
      </c>
      <c r="C440" s="5">
        <v>7.5</v>
      </c>
      <c r="D440" s="5" t="s">
        <v>1408</v>
      </c>
    </row>
    <row r="441" spans="1:5">
      <c r="A441" t="s">
        <v>1440</v>
      </c>
      <c r="B441" s="205" t="s">
        <v>1441</v>
      </c>
      <c r="C441" s="5">
        <v>7.5</v>
      </c>
      <c r="D441" s="207" t="s">
        <v>1462</v>
      </c>
    </row>
    <row r="442" spans="1:5">
      <c r="B442" s="205" t="s">
        <v>1442</v>
      </c>
      <c r="C442" s="5">
        <v>7.5</v>
      </c>
      <c r="D442" s="5" t="s">
        <v>1452</v>
      </c>
    </row>
    <row r="443" spans="1:5">
      <c r="B443" s="211" t="s">
        <v>1506</v>
      </c>
      <c r="C443" s="5">
        <v>8.25</v>
      </c>
      <c r="D443" s="228" t="s">
        <v>1132</v>
      </c>
    </row>
    <row r="444" spans="1:5">
      <c r="B444" s="224" t="s">
        <v>1587</v>
      </c>
      <c r="C444" s="5">
        <v>8.25</v>
      </c>
      <c r="D444" s="5" t="s">
        <v>1588</v>
      </c>
    </row>
    <row r="445" spans="1:5">
      <c r="B445" s="228" t="s">
        <v>1614</v>
      </c>
      <c r="C445" s="5">
        <v>8.25</v>
      </c>
      <c r="D445" s="228" t="s">
        <v>890</v>
      </c>
    </row>
    <row r="446" spans="1:5">
      <c r="B446" s="236" t="s">
        <v>1665</v>
      </c>
      <c r="C446" s="5">
        <v>7.5</v>
      </c>
      <c r="D446" s="5" t="s">
        <v>1666</v>
      </c>
    </row>
    <row r="447" spans="1:5">
      <c r="B447" s="236" t="s">
        <v>1667</v>
      </c>
      <c r="C447" s="5">
        <v>7.5</v>
      </c>
      <c r="D447" s="5" t="s">
        <v>1709</v>
      </c>
      <c r="E447">
        <v>1</v>
      </c>
    </row>
    <row r="448" spans="1:5">
      <c r="B448" s="236" t="s">
        <v>1668</v>
      </c>
      <c r="C448" s="5">
        <v>8.25</v>
      </c>
      <c r="D448" s="5" t="s">
        <v>1669</v>
      </c>
    </row>
    <row r="449" spans="1:5">
      <c r="B449" s="236" t="s">
        <v>1670</v>
      </c>
      <c r="C449" s="5">
        <v>7.5</v>
      </c>
      <c r="D449" s="5" t="s">
        <v>1735</v>
      </c>
    </row>
    <row r="450" spans="1:5">
      <c r="B450" s="236" t="s">
        <v>1671</v>
      </c>
      <c r="C450" s="5">
        <v>7.5</v>
      </c>
      <c r="D450" s="5" t="s">
        <v>890</v>
      </c>
    </row>
    <row r="451" spans="1:5">
      <c r="B451" s="236" t="s">
        <v>1672</v>
      </c>
      <c r="C451" s="5">
        <v>7.5</v>
      </c>
      <c r="D451" s="5" t="s">
        <v>890</v>
      </c>
    </row>
    <row r="452" spans="1:5">
      <c r="B452" s="236" t="s">
        <v>1673</v>
      </c>
      <c r="C452" s="5">
        <v>7.5</v>
      </c>
      <c r="D452" s="5" t="s">
        <v>890</v>
      </c>
    </row>
    <row r="453" spans="1:5">
      <c r="B453" s="236" t="s">
        <v>1674</v>
      </c>
      <c r="C453" s="5">
        <v>7.5</v>
      </c>
      <c r="D453" s="5" t="s">
        <v>890</v>
      </c>
    </row>
    <row r="454" spans="1:5">
      <c r="B454" s="236" t="s">
        <v>1675</v>
      </c>
      <c r="C454" s="5">
        <v>7.5</v>
      </c>
      <c r="D454" s="5" t="s">
        <v>890</v>
      </c>
    </row>
    <row r="455" spans="1:5">
      <c r="B455" s="236" t="s">
        <v>1676</v>
      </c>
      <c r="C455" s="5">
        <v>7.5</v>
      </c>
      <c r="D455" s="5" t="s">
        <v>890</v>
      </c>
    </row>
    <row r="456" spans="1:5">
      <c r="A456" t="s">
        <v>1685</v>
      </c>
      <c r="B456" s="242" t="s">
        <v>1697</v>
      </c>
      <c r="C456" s="5">
        <v>7.5</v>
      </c>
      <c r="D456" s="5" t="s">
        <v>890</v>
      </c>
    </row>
    <row r="457" spans="1:5">
      <c r="B457" s="242" t="s">
        <v>1701</v>
      </c>
      <c r="C457" s="5">
        <v>7.5</v>
      </c>
      <c r="D457" s="5" t="s">
        <v>1709</v>
      </c>
      <c r="E457">
        <v>1</v>
      </c>
    </row>
    <row r="458" spans="1:5">
      <c r="B458" s="242" t="s">
        <v>1702</v>
      </c>
      <c r="C458" s="5">
        <v>7.5</v>
      </c>
      <c r="D458" s="5" t="s">
        <v>1711</v>
      </c>
    </row>
    <row r="459" spans="1:5">
      <c r="B459" s="242" t="s">
        <v>1703</v>
      </c>
      <c r="C459" s="5">
        <v>7.5</v>
      </c>
      <c r="D459" s="5" t="s">
        <v>1366</v>
      </c>
    </row>
    <row r="460" spans="1:5">
      <c r="B460" s="242" t="s">
        <v>1704</v>
      </c>
      <c r="C460" s="5">
        <v>7.5</v>
      </c>
      <c r="D460" s="5" t="s">
        <v>1366</v>
      </c>
    </row>
    <row r="461" spans="1:5">
      <c r="B461" s="242" t="s">
        <v>1705</v>
      </c>
      <c r="C461" s="5">
        <v>7.5</v>
      </c>
      <c r="D461" s="5" t="s">
        <v>1710</v>
      </c>
    </row>
    <row r="462" spans="1:5">
      <c r="B462" s="242" t="s">
        <v>1706</v>
      </c>
      <c r="C462" s="5">
        <v>7.5</v>
      </c>
      <c r="D462" s="5" t="s">
        <v>1709</v>
      </c>
      <c r="E462">
        <v>1</v>
      </c>
    </row>
    <row r="463" spans="1:5">
      <c r="A463" t="s">
        <v>1718</v>
      </c>
      <c r="B463" s="247" t="s">
        <v>1741</v>
      </c>
      <c r="C463" s="5">
        <v>8.25</v>
      </c>
      <c r="D463" s="5" t="s">
        <v>1756</v>
      </c>
    </row>
    <row r="464" spans="1:5">
      <c r="B464" s="247" t="s">
        <v>1742</v>
      </c>
      <c r="C464" s="5">
        <v>7.5</v>
      </c>
      <c r="D464" s="5" t="s">
        <v>1776</v>
      </c>
    </row>
    <row r="465" spans="1:9">
      <c r="B465" s="247" t="s">
        <v>1743</v>
      </c>
      <c r="C465" s="5">
        <v>8.25</v>
      </c>
      <c r="D465" s="5" t="s">
        <v>1745</v>
      </c>
    </row>
    <row r="466" spans="1:9">
      <c r="B466" s="247" t="s">
        <v>1744</v>
      </c>
      <c r="C466" s="5">
        <v>8.25</v>
      </c>
      <c r="D466" s="5" t="s">
        <v>1745</v>
      </c>
    </row>
    <row r="467" spans="1:9">
      <c r="B467" s="247" t="s">
        <v>1746</v>
      </c>
      <c r="C467" s="5">
        <v>7.5</v>
      </c>
      <c r="D467" s="5" t="s">
        <v>1806</v>
      </c>
    </row>
    <row r="468" spans="1:9">
      <c r="B468" s="247" t="s">
        <v>1747</v>
      </c>
      <c r="C468" s="5">
        <v>7.5</v>
      </c>
      <c r="D468" s="5" t="s">
        <v>1806</v>
      </c>
    </row>
    <row r="469" spans="1:9">
      <c r="A469" t="s">
        <v>1826</v>
      </c>
      <c r="B469" s="262" t="s">
        <v>1849</v>
      </c>
      <c r="C469" s="5">
        <v>8.25</v>
      </c>
      <c r="D469" s="5" t="s">
        <v>157</v>
      </c>
    </row>
    <row r="470" spans="1:9">
      <c r="A470" t="s">
        <v>1855</v>
      </c>
      <c r="B470" s="270" t="s">
        <v>1866</v>
      </c>
      <c r="C470" s="6">
        <v>7.5</v>
      </c>
      <c r="D470" s="6"/>
      <c r="I470">
        <v>3.8</v>
      </c>
    </row>
    <row r="471" spans="1:9">
      <c r="B471" s="273" t="s">
        <v>1867</v>
      </c>
      <c r="C471" s="5">
        <v>8.25</v>
      </c>
      <c r="D471" s="5" t="s">
        <v>1868</v>
      </c>
      <c r="I471">
        <v>0.84</v>
      </c>
    </row>
    <row r="472" spans="1:9">
      <c r="A472" t="s">
        <v>1992</v>
      </c>
      <c r="B472" s="286" t="s">
        <v>1993</v>
      </c>
      <c r="C472" s="5">
        <v>7.5</v>
      </c>
      <c r="D472" s="5" t="s">
        <v>1997</v>
      </c>
      <c r="I472">
        <v>30.7</v>
      </c>
    </row>
    <row r="473" spans="1:9">
      <c r="B473" s="286" t="s">
        <v>1994</v>
      </c>
      <c r="C473" s="5">
        <v>8.25</v>
      </c>
      <c r="D473" s="5" t="s">
        <v>890</v>
      </c>
    </row>
    <row r="474" spans="1:9">
      <c r="B474" s="286" t="s">
        <v>1995</v>
      </c>
      <c r="C474" s="5">
        <v>8.25</v>
      </c>
      <c r="D474" s="320" t="s">
        <v>2185</v>
      </c>
    </row>
    <row r="475" spans="1:9">
      <c r="B475" s="286" t="s">
        <v>1996</v>
      </c>
      <c r="C475" s="5">
        <v>8.25</v>
      </c>
      <c r="D475" s="287" t="s">
        <v>2016</v>
      </c>
      <c r="G475" s="50"/>
    </row>
    <row r="476" spans="1:9">
      <c r="A476" t="s">
        <v>2047</v>
      </c>
      <c r="B476" s="298" t="s">
        <v>2061</v>
      </c>
      <c r="C476" s="5">
        <v>8.25</v>
      </c>
      <c r="D476" s="5" t="s">
        <v>1129</v>
      </c>
    </row>
    <row r="477" spans="1:9">
      <c r="B477" s="298" t="s">
        <v>2062</v>
      </c>
      <c r="C477" s="5">
        <v>8.25</v>
      </c>
      <c r="D477" s="5" t="s">
        <v>1161</v>
      </c>
    </row>
    <row r="478" spans="1:9">
      <c r="A478" t="s">
        <v>2063</v>
      </c>
      <c r="B478" s="302" t="s">
        <v>2080</v>
      </c>
      <c r="C478" s="5">
        <v>8.25</v>
      </c>
      <c r="D478" s="5" t="s">
        <v>2081</v>
      </c>
    </row>
    <row r="479" spans="1:9">
      <c r="B479" s="302" t="s">
        <v>2082</v>
      </c>
      <c r="C479" s="5">
        <v>8.25</v>
      </c>
      <c r="D479" s="5" t="s">
        <v>827</v>
      </c>
    </row>
    <row r="480" spans="1:9">
      <c r="B480" s="302" t="s">
        <v>2088</v>
      </c>
      <c r="C480" s="5">
        <v>8.25</v>
      </c>
      <c r="D480" s="5" t="s">
        <v>827</v>
      </c>
    </row>
    <row r="481" spans="1:4">
      <c r="A481" t="s">
        <v>2090</v>
      </c>
      <c r="B481" s="309" t="s">
        <v>2110</v>
      </c>
      <c r="C481" s="5">
        <v>7.5</v>
      </c>
      <c r="D481" s="5" t="s">
        <v>2129</v>
      </c>
    </row>
    <row r="482" spans="1:4">
      <c r="B482" s="309" t="s">
        <v>2111</v>
      </c>
      <c r="C482" s="5">
        <v>8.25</v>
      </c>
      <c r="D482" s="5" t="s">
        <v>2120</v>
      </c>
    </row>
    <row r="483" spans="1:4">
      <c r="A483" s="322" t="s">
        <v>2165</v>
      </c>
      <c r="B483" s="320" t="s">
        <v>2179</v>
      </c>
      <c r="C483" s="5">
        <v>8.25</v>
      </c>
      <c r="D483" s="5" t="s">
        <v>2262</v>
      </c>
    </row>
    <row r="484" spans="1:4">
      <c r="B484" s="320" t="s">
        <v>2180</v>
      </c>
      <c r="C484" s="5">
        <v>8.25</v>
      </c>
      <c r="D484" s="320" t="s">
        <v>2081</v>
      </c>
    </row>
    <row r="485" spans="1:4">
      <c r="B485" s="320" t="s">
        <v>2183</v>
      </c>
      <c r="C485" s="5">
        <v>8.25</v>
      </c>
      <c r="D485" s="320" t="s">
        <v>2185</v>
      </c>
    </row>
    <row r="486" spans="1:4">
      <c r="A486" t="s">
        <v>2187</v>
      </c>
      <c r="B486" s="325" t="s">
        <v>2197</v>
      </c>
      <c r="C486" s="5">
        <v>8.25</v>
      </c>
      <c r="D486" s="5" t="s">
        <v>2262</v>
      </c>
    </row>
    <row r="487" spans="1:4">
      <c r="B487" s="325" t="s">
        <v>2198</v>
      </c>
      <c r="C487" s="5">
        <v>8.25</v>
      </c>
      <c r="D487" s="5" t="s">
        <v>96</v>
      </c>
    </row>
    <row r="488" spans="1:4">
      <c r="B488" s="325" t="s">
        <v>2199</v>
      </c>
      <c r="C488" s="5">
        <v>8.25</v>
      </c>
      <c r="D488" s="5" t="s">
        <v>2219</v>
      </c>
    </row>
    <row r="489" spans="1:4">
      <c r="B489" s="325" t="s">
        <v>2200</v>
      </c>
      <c r="C489" s="5">
        <v>8.25</v>
      </c>
      <c r="D489" s="5" t="s">
        <v>890</v>
      </c>
    </row>
    <row r="490" spans="1:4">
      <c r="B490" s="325" t="s">
        <v>2201</v>
      </c>
      <c r="C490" s="5">
        <v>8.25</v>
      </c>
      <c r="D490" s="5" t="s">
        <v>1159</v>
      </c>
    </row>
    <row r="491" spans="1:4">
      <c r="A491" t="s">
        <v>2210</v>
      </c>
      <c r="B491" s="329" t="s">
        <v>2220</v>
      </c>
      <c r="C491" s="5">
        <v>8.25</v>
      </c>
      <c r="D491" s="5" t="s">
        <v>2185</v>
      </c>
    </row>
    <row r="492" spans="1:4">
      <c r="B492" s="329" t="s">
        <v>2229</v>
      </c>
      <c r="C492" s="5">
        <v>8.25</v>
      </c>
      <c r="D492" s="5" t="s">
        <v>2235</v>
      </c>
    </row>
    <row r="493" spans="1:4">
      <c r="A493" t="s">
        <v>2238</v>
      </c>
      <c r="B493" s="332" t="s">
        <v>2269</v>
      </c>
      <c r="C493" s="5">
        <v>8.25</v>
      </c>
      <c r="D493" s="5" t="s">
        <v>2319</v>
      </c>
    </row>
    <row r="494" spans="1:4">
      <c r="B494" s="332" t="s">
        <v>2270</v>
      </c>
      <c r="C494" s="5">
        <v>8.25</v>
      </c>
      <c r="D494" s="5" t="s">
        <v>2319</v>
      </c>
    </row>
    <row r="495" spans="1:4">
      <c r="B495" s="332" t="s">
        <v>2271</v>
      </c>
      <c r="C495" s="5">
        <v>8.25</v>
      </c>
      <c r="D495" s="5" t="s">
        <v>1560</v>
      </c>
    </row>
    <row r="496" spans="1:4">
      <c r="B496" s="332" t="s">
        <v>2272</v>
      </c>
      <c r="C496" s="5">
        <v>8.25</v>
      </c>
      <c r="D496" s="5" t="s">
        <v>2081</v>
      </c>
    </row>
    <row r="497" spans="1:7">
      <c r="B497" s="332" t="s">
        <v>2273</v>
      </c>
      <c r="C497" s="5">
        <v>8.25</v>
      </c>
      <c r="D497" s="5" t="s">
        <v>2299</v>
      </c>
    </row>
    <row r="498" spans="1:7">
      <c r="B498" s="332" t="s">
        <v>2274</v>
      </c>
      <c r="C498" s="5">
        <v>7.5</v>
      </c>
      <c r="D498" s="5" t="s">
        <v>2299</v>
      </c>
    </row>
    <row r="499" spans="1:7">
      <c r="A499" t="s">
        <v>2279</v>
      </c>
      <c r="B499" s="334" t="s">
        <v>2295</v>
      </c>
      <c r="C499" s="5">
        <v>7.5</v>
      </c>
      <c r="D499" s="5" t="s">
        <v>2299</v>
      </c>
    </row>
    <row r="500" spans="1:7">
      <c r="B500" s="334" t="s">
        <v>2296</v>
      </c>
      <c r="C500" s="5">
        <v>8.25</v>
      </c>
      <c r="D500" s="5" t="s">
        <v>2319</v>
      </c>
    </row>
    <row r="501" spans="1:7">
      <c r="B501" s="334" t="s">
        <v>2297</v>
      </c>
      <c r="C501" s="5">
        <v>8.25</v>
      </c>
      <c r="D501" s="5" t="s">
        <v>2299</v>
      </c>
    </row>
    <row r="502" spans="1:7">
      <c r="A502" t="s">
        <v>2330</v>
      </c>
      <c r="B502" s="343" t="s">
        <v>2343</v>
      </c>
      <c r="C502" s="5">
        <v>8.25</v>
      </c>
      <c r="D502" s="5" t="s">
        <v>2359</v>
      </c>
    </row>
    <row r="503" spans="1:7">
      <c r="B503" s="343" t="s">
        <v>2344</v>
      </c>
      <c r="C503" s="5">
        <v>8.25</v>
      </c>
      <c r="D503" s="5" t="s">
        <v>890</v>
      </c>
    </row>
    <row r="504" spans="1:7">
      <c r="B504" s="343" t="s">
        <v>2345</v>
      </c>
      <c r="C504" s="5">
        <v>8.25</v>
      </c>
      <c r="D504" s="5" t="s">
        <v>2346</v>
      </c>
    </row>
    <row r="505" spans="1:7">
      <c r="A505" t="s">
        <v>2374</v>
      </c>
      <c r="B505" s="351" t="s">
        <v>2387</v>
      </c>
      <c r="C505" s="5">
        <v>8.25</v>
      </c>
      <c r="D505" s="5" t="s">
        <v>2428</v>
      </c>
    </row>
    <row r="506" spans="1:7">
      <c r="B506" s="351" t="s">
        <v>2388</v>
      </c>
      <c r="C506" s="5">
        <v>8.25</v>
      </c>
      <c r="D506" s="5" t="s">
        <v>2536</v>
      </c>
      <c r="E506" t="s">
        <v>2533</v>
      </c>
      <c r="F506" t="s">
        <v>2534</v>
      </c>
      <c r="G506" s="366" t="s">
        <v>2535</v>
      </c>
    </row>
    <row r="507" spans="1:7">
      <c r="B507" s="351" t="s">
        <v>2398</v>
      </c>
      <c r="C507" s="5">
        <v>8.25</v>
      </c>
      <c r="D507" s="5" t="s">
        <v>2536</v>
      </c>
      <c r="E507" t="s">
        <v>2530</v>
      </c>
      <c r="F507" t="s">
        <v>2531</v>
      </c>
      <c r="G507" s="366" t="s">
        <v>2532</v>
      </c>
    </row>
    <row r="508" spans="1:7">
      <c r="B508" s="351" t="s">
        <v>2399</v>
      </c>
      <c r="C508" s="5">
        <v>8.25</v>
      </c>
      <c r="D508" s="5" t="s">
        <v>2420</v>
      </c>
    </row>
    <row r="509" spans="1:7">
      <c r="A509" t="s">
        <v>1649</v>
      </c>
      <c r="B509" s="355" t="s">
        <v>2408</v>
      </c>
      <c r="C509" s="5">
        <v>8.25</v>
      </c>
      <c r="D509" s="5" t="s">
        <v>2415</v>
      </c>
    </row>
    <row r="510" spans="1:7">
      <c r="B510" s="355" t="s">
        <v>2409</v>
      </c>
      <c r="C510" s="5">
        <v>8.25</v>
      </c>
      <c r="D510" s="5" t="s">
        <v>2415</v>
      </c>
    </row>
    <row r="511" spans="1:7">
      <c r="B511" s="355" t="s">
        <v>2410</v>
      </c>
      <c r="C511" s="5">
        <v>8.25</v>
      </c>
      <c r="D511" s="5" t="s">
        <v>2425</v>
      </c>
    </row>
    <row r="512" spans="1:7">
      <c r="B512" s="355" t="s">
        <v>2411</v>
      </c>
      <c r="C512" s="5">
        <v>8.25</v>
      </c>
      <c r="D512" s="5" t="s">
        <v>2425</v>
      </c>
    </row>
    <row r="513" spans="1:7">
      <c r="B513" s="355" t="s">
        <v>2412</v>
      </c>
      <c r="C513" s="5">
        <v>8.25</v>
      </c>
      <c r="D513" s="5" t="s">
        <v>890</v>
      </c>
    </row>
    <row r="514" spans="1:7">
      <c r="B514" s="355" t="s">
        <v>2413</v>
      </c>
      <c r="C514" s="5">
        <v>8.25</v>
      </c>
      <c r="D514" s="5" t="s">
        <v>890</v>
      </c>
    </row>
    <row r="515" spans="1:7">
      <c r="B515" s="355" t="s">
        <v>2414</v>
      </c>
      <c r="C515" s="5">
        <v>8.25</v>
      </c>
      <c r="D515" s="5" t="s">
        <v>2438</v>
      </c>
    </row>
    <row r="516" spans="1:7">
      <c r="A516" t="s">
        <v>2431</v>
      </c>
      <c r="B516" s="357" t="s">
        <v>2450</v>
      </c>
      <c r="C516" s="5">
        <v>8.25</v>
      </c>
      <c r="D516" s="5" t="s">
        <v>2510</v>
      </c>
      <c r="E516" t="s">
        <v>2511</v>
      </c>
      <c r="F516" t="s">
        <v>2512</v>
      </c>
      <c r="G516" s="366" t="s">
        <v>2513</v>
      </c>
    </row>
    <row r="517" spans="1:7">
      <c r="B517" s="357" t="s">
        <v>2451</v>
      </c>
      <c r="C517" s="5">
        <v>8.25</v>
      </c>
      <c r="D517" s="5" t="s">
        <v>2526</v>
      </c>
      <c r="E517" t="s">
        <v>2523</v>
      </c>
      <c r="F517" t="s">
        <v>2524</v>
      </c>
      <c r="G517" s="366" t="s">
        <v>2525</v>
      </c>
    </row>
    <row r="518" spans="1:7">
      <c r="B518" s="357" t="s">
        <v>2452</v>
      </c>
      <c r="C518" s="5">
        <v>8.25</v>
      </c>
      <c r="D518" s="5" t="s">
        <v>2455</v>
      </c>
    </row>
    <row r="519" spans="1:7">
      <c r="B519" s="357" t="s">
        <v>2453</v>
      </c>
      <c r="C519" s="5">
        <v>8.25</v>
      </c>
      <c r="D519" s="5" t="s">
        <v>2455</v>
      </c>
    </row>
    <row r="520" spans="1:7">
      <c r="B520" s="357" t="s">
        <v>2454</v>
      </c>
      <c r="C520" s="5">
        <v>8.25</v>
      </c>
      <c r="D520" s="5" t="s">
        <v>1161</v>
      </c>
      <c r="E520" t="s">
        <v>2528</v>
      </c>
      <c r="F520" t="s">
        <v>2529</v>
      </c>
      <c r="G520" s="366" t="s">
        <v>2527</v>
      </c>
    </row>
    <row r="521" spans="1:7">
      <c r="A521" t="s">
        <v>2498</v>
      </c>
      <c r="B521" s="365" t="s">
        <v>2499</v>
      </c>
      <c r="C521" s="5">
        <v>8.25</v>
      </c>
      <c r="D521" s="5" t="s">
        <v>2686</v>
      </c>
      <c r="E521" t="s">
        <v>2683</v>
      </c>
      <c r="F521" t="s">
        <v>2684</v>
      </c>
      <c r="G521" s="366" t="s">
        <v>2685</v>
      </c>
    </row>
    <row r="522" spans="1:7">
      <c r="A522" t="s">
        <v>2537</v>
      </c>
      <c r="B522" s="372" t="s">
        <v>2556</v>
      </c>
      <c r="C522" s="5">
        <v>7.5</v>
      </c>
      <c r="D522" s="5" t="s">
        <v>2566</v>
      </c>
      <c r="E522" t="s">
        <v>2563</v>
      </c>
      <c r="F522" t="s">
        <v>2564</v>
      </c>
      <c r="G522" s="366" t="s">
        <v>2565</v>
      </c>
    </row>
    <row r="523" spans="1:7">
      <c r="B523" s="372" t="s">
        <v>2557</v>
      </c>
      <c r="C523" s="5">
        <v>8.25</v>
      </c>
      <c r="D523" s="5" t="s">
        <v>2558</v>
      </c>
      <c r="E523" t="s">
        <v>2559</v>
      </c>
      <c r="F523" t="s">
        <v>2560</v>
      </c>
      <c r="G523" s="366" t="s">
        <v>2561</v>
      </c>
    </row>
    <row r="524" spans="1:7">
      <c r="A524" t="s">
        <v>2562</v>
      </c>
      <c r="B524" s="381" t="s">
        <v>2574</v>
      </c>
      <c r="C524" s="5">
        <v>7.5</v>
      </c>
      <c r="D524" s="5" t="s">
        <v>2697</v>
      </c>
      <c r="E524" t="s">
        <v>2694</v>
      </c>
      <c r="F524" t="s">
        <v>2695</v>
      </c>
      <c r="G524" s="366" t="s">
        <v>2696</v>
      </c>
    </row>
    <row r="525" spans="1:7">
      <c r="B525" s="381" t="s">
        <v>2575</v>
      </c>
      <c r="C525" s="5">
        <v>8.25</v>
      </c>
      <c r="D525" s="5" t="s">
        <v>890</v>
      </c>
      <c r="E525" t="s">
        <v>2576</v>
      </c>
      <c r="F525" t="s">
        <v>2577</v>
      </c>
      <c r="G525" s="366" t="s">
        <v>2578</v>
      </c>
    </row>
    <row r="526" spans="1:7">
      <c r="A526" t="s">
        <v>2581</v>
      </c>
      <c r="B526" s="390" t="s">
        <v>2598</v>
      </c>
      <c r="C526" s="5">
        <v>8.25</v>
      </c>
      <c r="D526" s="5" t="s">
        <v>2599</v>
      </c>
    </row>
    <row r="527" spans="1:7">
      <c r="B527" s="390" t="s">
        <v>2608</v>
      </c>
      <c r="C527" s="5">
        <v>8.25</v>
      </c>
      <c r="D527" s="5" t="s">
        <v>2558</v>
      </c>
      <c r="E527" t="s">
        <v>2609</v>
      </c>
      <c r="F527" t="s">
        <v>2610</v>
      </c>
      <c r="G527" s="366" t="s">
        <v>2611</v>
      </c>
    </row>
    <row r="528" spans="1:7">
      <c r="A528" t="s">
        <v>2612</v>
      </c>
      <c r="B528" s="395" t="s">
        <v>2622</v>
      </c>
      <c r="C528" s="5">
        <v>8.25</v>
      </c>
      <c r="D528" s="5" t="s">
        <v>2626</v>
      </c>
      <c r="E528" t="s">
        <v>2623</v>
      </c>
      <c r="F528" t="s">
        <v>2624</v>
      </c>
      <c r="G528" s="366" t="s">
        <v>2625</v>
      </c>
    </row>
    <row r="529" spans="1:7">
      <c r="B529" s="395" t="s">
        <v>2635</v>
      </c>
      <c r="C529" s="5">
        <v>8.25</v>
      </c>
      <c r="D529" s="400" t="s">
        <v>2657</v>
      </c>
      <c r="E529" s="401" t="s">
        <v>2654</v>
      </c>
      <c r="F529" s="401" t="s">
        <v>2655</v>
      </c>
      <c r="G529" s="402" t="s">
        <v>2656</v>
      </c>
    </row>
    <row r="530" spans="1:7">
      <c r="A530" t="s">
        <v>2662</v>
      </c>
      <c r="B530" s="411" t="s">
        <v>2673</v>
      </c>
      <c r="C530" s="5">
        <v>8.25</v>
      </c>
      <c r="D530" s="5" t="s">
        <v>760</v>
      </c>
      <c r="E530" t="s">
        <v>2679</v>
      </c>
      <c r="F530" t="s">
        <v>2680</v>
      </c>
      <c r="G530" s="366" t="s">
        <v>2681</v>
      </c>
    </row>
    <row r="531" spans="1:7">
      <c r="A531" t="s">
        <v>2743</v>
      </c>
      <c r="B531" s="441" t="s">
        <v>2788</v>
      </c>
      <c r="C531" s="5">
        <v>8.25</v>
      </c>
      <c r="D531" s="5" t="s">
        <v>2881</v>
      </c>
      <c r="E531" t="s">
        <v>2875</v>
      </c>
      <c r="F531" t="s">
        <v>2876</v>
      </c>
      <c r="G531" s="366" t="s">
        <v>2877</v>
      </c>
    </row>
    <row r="532" spans="1:7">
      <c r="B532" s="441" t="s">
        <v>2787</v>
      </c>
      <c r="C532" s="5">
        <v>8.25</v>
      </c>
      <c r="D532" s="5" t="s">
        <v>2881</v>
      </c>
      <c r="E532" t="s">
        <v>2878</v>
      </c>
      <c r="F532" t="s">
        <v>2879</v>
      </c>
      <c r="G532" s="366" t="s">
        <v>2880</v>
      </c>
    </row>
    <row r="533" spans="1:7">
      <c r="A533" t="s">
        <v>2894</v>
      </c>
      <c r="B533" s="448" t="s">
        <v>2896</v>
      </c>
      <c r="C533" s="5">
        <v>8.25</v>
      </c>
      <c r="D533" s="5" t="s">
        <v>2912</v>
      </c>
      <c r="E533" s="6" t="s">
        <v>2909</v>
      </c>
      <c r="F533" s="6" t="s">
        <v>2910</v>
      </c>
      <c r="G533" s="366" t="s">
        <v>2911</v>
      </c>
    </row>
    <row r="534" spans="1:7">
      <c r="A534" t="s">
        <v>2934</v>
      </c>
      <c r="B534" s="476" t="s">
        <v>2955</v>
      </c>
      <c r="C534" s="5">
        <v>7.5</v>
      </c>
      <c r="D534" s="5" t="s">
        <v>2971</v>
      </c>
      <c r="E534" s="6" t="s">
        <v>2968</v>
      </c>
      <c r="F534" s="6" t="s">
        <v>2969</v>
      </c>
      <c r="G534" s="366" t="s">
        <v>2970</v>
      </c>
    </row>
    <row r="535" spans="1:7">
      <c r="A535" s="481" t="s">
        <v>2959</v>
      </c>
      <c r="B535" s="479" t="s">
        <v>2961</v>
      </c>
      <c r="C535" s="5">
        <v>7.5</v>
      </c>
      <c r="D535" s="5" t="s">
        <v>2971</v>
      </c>
      <c r="E535" t="s">
        <v>2965</v>
      </c>
      <c r="F535" t="s">
        <v>2966</v>
      </c>
      <c r="G535" s="366" t="s">
        <v>2967</v>
      </c>
    </row>
    <row r="536" spans="1:7">
      <c r="B536" s="479" t="s">
        <v>2962</v>
      </c>
      <c r="C536" s="5">
        <v>8.25</v>
      </c>
      <c r="D536" s="5" t="s">
        <v>3029</v>
      </c>
      <c r="E536" t="s">
        <v>3026</v>
      </c>
      <c r="F536" t="s">
        <v>3027</v>
      </c>
      <c r="G536" s="366" t="s">
        <v>3028</v>
      </c>
    </row>
    <row r="537" spans="1:7">
      <c r="B537" s="479" t="s">
        <v>2963</v>
      </c>
      <c r="C537" s="5">
        <v>8.25</v>
      </c>
      <c r="D537" s="5" t="s">
        <v>2998</v>
      </c>
      <c r="E537" t="s">
        <v>2995</v>
      </c>
      <c r="F537" t="s">
        <v>2996</v>
      </c>
      <c r="G537" s="366" t="s">
        <v>2997</v>
      </c>
    </row>
    <row r="538" spans="1:7">
      <c r="B538" s="479" t="s">
        <v>2964</v>
      </c>
      <c r="C538" s="5">
        <v>8.25</v>
      </c>
      <c r="D538" s="479" t="s">
        <v>2991</v>
      </c>
      <c r="E538" s="481" t="s">
        <v>2992</v>
      </c>
      <c r="F538" s="481" t="s">
        <v>2993</v>
      </c>
      <c r="G538" s="482" t="s">
        <v>2994</v>
      </c>
    </row>
    <row r="539" spans="1:7">
      <c r="B539" s="479" t="s">
        <v>2987</v>
      </c>
      <c r="C539" s="5">
        <v>8.25</v>
      </c>
      <c r="D539" s="479" t="s">
        <v>2991</v>
      </c>
      <c r="E539" s="481" t="s">
        <v>2988</v>
      </c>
      <c r="F539" s="481" t="s">
        <v>2989</v>
      </c>
      <c r="G539" s="482" t="s">
        <v>2990</v>
      </c>
    </row>
    <row r="540" spans="1:7">
      <c r="A540" t="s">
        <v>2999</v>
      </c>
      <c r="B540" s="489" t="s">
        <v>3016</v>
      </c>
      <c r="C540" s="6">
        <v>8.25</v>
      </c>
    </row>
    <row r="541" spans="1:7">
      <c r="A541" t="s">
        <v>3064</v>
      </c>
      <c r="B541" s="517" t="s">
        <v>3086</v>
      </c>
      <c r="C541" s="6">
        <v>8.25</v>
      </c>
    </row>
  </sheetData>
  <mergeCells count="21">
    <mergeCell ref="D49:D50"/>
    <mergeCell ref="D60:D61"/>
    <mergeCell ref="D117:D119"/>
    <mergeCell ref="D127:D128"/>
    <mergeCell ref="D64:D65"/>
    <mergeCell ref="D138:D140"/>
    <mergeCell ref="D66:D67"/>
    <mergeCell ref="D75:D81"/>
    <mergeCell ref="D89:D90"/>
    <mergeCell ref="D99:D100"/>
    <mergeCell ref="D103:D104"/>
    <mergeCell ref="D108:D109"/>
    <mergeCell ref="D35:D37"/>
    <mergeCell ref="D41:D42"/>
    <mergeCell ref="D45:D46"/>
    <mergeCell ref="D47:D48"/>
    <mergeCell ref="D3:D6"/>
    <mergeCell ref="D10:D11"/>
    <mergeCell ref="D12:D13"/>
    <mergeCell ref="D14:D15"/>
    <mergeCell ref="D20:D2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4:FY162"/>
  <sheetViews>
    <sheetView topLeftCell="A22" workbookViewId="0">
      <selection activeCell="C30" sqref="C30"/>
    </sheetView>
  </sheetViews>
  <sheetFormatPr defaultRowHeight="14.4"/>
  <cols>
    <col min="2" max="2" width="20.44140625" customWidth="1"/>
    <col min="3" max="3" width="12.44140625" customWidth="1"/>
    <col min="4" max="4" width="10.77734375" customWidth="1"/>
    <col min="25" max="35" width="0" hidden="1" customWidth="1"/>
    <col min="43" max="80" width="0" hidden="1" customWidth="1"/>
    <col min="81" max="81" width="17.77734375" hidden="1" customWidth="1"/>
    <col min="82" max="82" width="0" hidden="1" customWidth="1"/>
    <col min="85" max="112" width="0" hidden="1" customWidth="1"/>
    <col min="114" max="126" width="0" hidden="1" customWidth="1"/>
    <col min="143" max="172" width="0" hidden="1" customWidth="1"/>
  </cols>
  <sheetData>
    <row r="4" spans="1:181">
      <c r="A4" s="155"/>
      <c r="B4" s="7" t="s">
        <v>1061</v>
      </c>
      <c r="C4" s="7" t="s">
        <v>1058</v>
      </c>
      <c r="D4" s="7" t="s">
        <v>1059</v>
      </c>
      <c r="E4" s="7" t="s">
        <v>1060</v>
      </c>
      <c r="F4" s="226"/>
      <c r="G4" s="226"/>
      <c r="H4" s="226"/>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c r="AZ4" s="226"/>
      <c r="BA4" s="226"/>
      <c r="BB4" s="226"/>
      <c r="BC4" s="226"/>
      <c r="BD4" s="226"/>
      <c r="BE4" s="226"/>
      <c r="BF4" s="226"/>
      <c r="BG4" s="226"/>
      <c r="BH4" s="226"/>
      <c r="BI4" s="226"/>
      <c r="BJ4" s="226"/>
      <c r="BK4" s="226"/>
      <c r="BL4" s="226"/>
      <c r="BM4" s="226"/>
      <c r="BN4" s="226"/>
      <c r="BO4" s="226"/>
      <c r="BP4" s="226"/>
      <c r="BQ4" s="226"/>
      <c r="BR4" s="226"/>
      <c r="BS4" s="226"/>
      <c r="BT4" s="226"/>
      <c r="BU4" s="226"/>
      <c r="BV4" s="226"/>
      <c r="BW4" s="226"/>
      <c r="BX4" s="226"/>
      <c r="BY4" s="226"/>
      <c r="BZ4" s="226"/>
      <c r="CA4" s="226"/>
    </row>
    <row r="5" spans="1:181">
      <c r="A5" s="51">
        <v>1</v>
      </c>
      <c r="B5" s="156" t="s">
        <v>1062</v>
      </c>
      <c r="C5" s="156" t="s">
        <v>1063</v>
      </c>
      <c r="D5" s="51">
        <v>310215446</v>
      </c>
      <c r="E5" s="51">
        <v>500676</v>
      </c>
      <c r="F5" s="264"/>
      <c r="G5" s="264"/>
      <c r="H5" s="264"/>
      <c r="I5" s="264"/>
      <c r="J5" s="264"/>
      <c r="K5" s="264"/>
      <c r="L5" s="264"/>
      <c r="M5" s="264"/>
      <c r="N5" s="264"/>
      <c r="O5" s="264"/>
      <c r="P5" s="264"/>
      <c r="Q5" s="264"/>
      <c r="R5" s="264"/>
      <c r="S5" s="264"/>
      <c r="T5" s="264"/>
      <c r="U5" s="264"/>
      <c r="V5" s="264"/>
      <c r="W5" s="264"/>
      <c r="X5" s="264"/>
      <c r="Y5" s="264"/>
      <c r="Z5" s="264"/>
      <c r="AA5" s="264"/>
      <c r="AB5" s="264"/>
      <c r="AC5" s="264"/>
      <c r="AD5" s="264"/>
      <c r="AE5" s="264"/>
      <c r="AF5" s="264"/>
      <c r="AG5" s="264"/>
      <c r="AH5" s="264"/>
      <c r="AI5" s="264"/>
      <c r="AJ5" s="264"/>
      <c r="AK5" s="264"/>
      <c r="AL5" s="264"/>
      <c r="AM5" s="264"/>
      <c r="AN5" s="264"/>
      <c r="AO5" s="264"/>
      <c r="AP5" s="264"/>
      <c r="AQ5" s="264"/>
      <c r="AR5" s="264"/>
      <c r="AS5" s="264"/>
      <c r="AT5" s="264"/>
      <c r="AU5" s="264"/>
      <c r="AV5" s="264"/>
      <c r="AW5" s="264"/>
      <c r="AX5" s="264"/>
      <c r="AY5" s="264"/>
      <c r="AZ5" s="264"/>
      <c r="BA5" s="264"/>
      <c r="BB5" s="264"/>
      <c r="BC5" s="264"/>
      <c r="BD5" s="264"/>
      <c r="BE5" s="264"/>
      <c r="BF5" s="264"/>
      <c r="BG5" s="264"/>
      <c r="BH5" s="264"/>
      <c r="BI5" s="264"/>
      <c r="BJ5" s="264"/>
      <c r="BK5" s="264"/>
      <c r="BL5" s="264"/>
      <c r="BM5" s="264"/>
      <c r="BN5" s="264"/>
      <c r="BO5" s="264"/>
      <c r="BP5" s="264"/>
      <c r="BQ5" s="264"/>
      <c r="BR5" s="264"/>
      <c r="BS5" s="264"/>
      <c r="BT5" s="264"/>
      <c r="BU5" s="264"/>
      <c r="BV5" s="264"/>
      <c r="BW5" s="264"/>
      <c r="BX5" s="264"/>
      <c r="BY5" s="264"/>
      <c r="BZ5" s="264"/>
      <c r="CA5" s="264"/>
      <c r="CG5">
        <v>25</v>
      </c>
    </row>
    <row r="6" spans="1:181">
      <c r="A6" s="51">
        <v>2</v>
      </c>
      <c r="B6" s="156" t="s">
        <v>1064</v>
      </c>
      <c r="C6" s="51">
        <v>310203</v>
      </c>
      <c r="D6" s="51">
        <v>310203571</v>
      </c>
      <c r="E6" s="51">
        <v>521114</v>
      </c>
      <c r="F6" s="264"/>
      <c r="G6" s="264"/>
      <c r="H6" s="264"/>
      <c r="I6" s="264"/>
      <c r="J6" s="264"/>
      <c r="K6" s="264"/>
      <c r="L6" s="264"/>
      <c r="M6" s="264"/>
      <c r="N6" s="264"/>
      <c r="O6" s="264"/>
      <c r="P6" s="264"/>
      <c r="Q6" s="264"/>
      <c r="R6" s="264"/>
      <c r="S6" s="264"/>
      <c r="T6" s="264"/>
      <c r="U6" s="264"/>
      <c r="V6" s="264"/>
      <c r="W6" s="264"/>
      <c r="X6" s="264"/>
      <c r="Y6" s="264"/>
      <c r="Z6" s="264"/>
      <c r="AA6" s="264"/>
      <c r="AB6" s="264"/>
      <c r="AC6" s="264"/>
      <c r="AD6" s="264"/>
      <c r="AE6" s="264"/>
      <c r="AF6" s="264"/>
      <c r="AG6" s="264"/>
      <c r="AH6" s="264"/>
      <c r="AI6" s="264"/>
      <c r="AJ6" s="264"/>
      <c r="AK6" s="264"/>
      <c r="AL6" s="264"/>
      <c r="AM6" s="264"/>
      <c r="AN6" s="264"/>
      <c r="AO6" s="264"/>
      <c r="AP6" s="264"/>
      <c r="AQ6" s="264"/>
      <c r="AR6" s="264"/>
      <c r="AS6" s="264"/>
      <c r="AT6" s="264"/>
      <c r="AU6" s="264"/>
      <c r="AV6" s="264"/>
      <c r="AW6" s="264"/>
      <c r="AX6" s="264"/>
      <c r="AY6" s="264"/>
      <c r="AZ6" s="264"/>
      <c r="BA6" s="264"/>
      <c r="BB6" s="264"/>
      <c r="BC6" s="264"/>
      <c r="BD6" s="264"/>
      <c r="BE6" s="264"/>
      <c r="BF6" s="264"/>
      <c r="BG6" s="264"/>
      <c r="BH6" s="264"/>
      <c r="BI6" s="264"/>
      <c r="BJ6" s="264"/>
      <c r="BK6" s="264"/>
      <c r="BL6" s="264"/>
      <c r="BM6" s="264"/>
      <c r="BN6" s="264"/>
      <c r="BO6" s="264"/>
      <c r="BP6" s="264"/>
      <c r="BQ6" s="264"/>
      <c r="BR6" s="264"/>
      <c r="BS6" s="264"/>
      <c r="BT6" s="264"/>
      <c r="BU6" s="264"/>
      <c r="BV6" s="264"/>
      <c r="BW6" s="264"/>
      <c r="BX6" s="264"/>
      <c r="BY6" s="264"/>
      <c r="BZ6" s="264"/>
      <c r="CA6" s="264"/>
      <c r="CG6">
        <v>33</v>
      </c>
    </row>
    <row r="7" spans="1:181">
      <c r="A7" s="51">
        <v>3</v>
      </c>
      <c r="B7" s="156" t="s">
        <v>1065</v>
      </c>
      <c r="C7" s="51">
        <v>310267</v>
      </c>
      <c r="D7" s="51">
        <v>310266415</v>
      </c>
      <c r="E7" s="51">
        <v>325679</v>
      </c>
      <c r="F7" s="264"/>
      <c r="G7" s="264"/>
      <c r="H7" s="264"/>
      <c r="I7" s="264"/>
      <c r="J7" s="264"/>
      <c r="K7" s="264"/>
      <c r="L7" s="264"/>
      <c r="M7" s="264"/>
      <c r="N7" s="264"/>
      <c r="O7" s="264"/>
      <c r="P7" s="264"/>
      <c r="Q7" s="264"/>
      <c r="R7" s="264"/>
      <c r="S7" s="264"/>
      <c r="T7" s="264"/>
      <c r="U7" s="264"/>
      <c r="V7" s="264"/>
      <c r="W7" s="264"/>
      <c r="X7" s="264"/>
      <c r="Y7" s="264"/>
      <c r="Z7" s="264"/>
      <c r="AA7" s="264"/>
      <c r="AB7" s="264"/>
      <c r="AC7" s="264"/>
      <c r="AD7" s="264"/>
      <c r="AE7" s="264"/>
      <c r="AF7" s="264"/>
      <c r="AG7" s="264"/>
      <c r="AH7" s="264"/>
      <c r="AI7" s="264"/>
      <c r="AJ7" s="264"/>
      <c r="AK7" s="264"/>
      <c r="AL7" s="264"/>
      <c r="AM7" s="264"/>
      <c r="AN7" s="264"/>
      <c r="AO7" s="264"/>
      <c r="AP7" s="264"/>
      <c r="AQ7" s="264"/>
      <c r="AR7" s="264"/>
      <c r="AS7" s="264"/>
      <c r="AT7" s="264"/>
      <c r="AU7" s="264"/>
      <c r="AV7" s="264"/>
      <c r="AW7" s="264"/>
      <c r="AX7" s="264"/>
      <c r="AY7" s="264"/>
      <c r="AZ7" s="264"/>
      <c r="BA7" s="264"/>
      <c r="BB7" s="264"/>
      <c r="BC7" s="264"/>
      <c r="BD7" s="264"/>
      <c r="BE7" s="264"/>
      <c r="BF7" s="264"/>
      <c r="BG7" s="264"/>
      <c r="BH7" s="264"/>
      <c r="BI7" s="264"/>
      <c r="BJ7" s="264"/>
      <c r="BK7" s="264"/>
      <c r="BL7" s="264"/>
      <c r="BM7" s="264"/>
      <c r="BN7" s="264"/>
      <c r="BO7" s="264"/>
      <c r="BP7" s="264"/>
      <c r="BQ7" s="264"/>
      <c r="BR7" s="264"/>
      <c r="BS7" s="264"/>
      <c r="BT7" s="264"/>
      <c r="BU7" s="264"/>
      <c r="BV7" s="264"/>
      <c r="BW7" s="264"/>
      <c r="BX7" s="264"/>
      <c r="BY7" s="264"/>
      <c r="BZ7" s="264"/>
      <c r="CA7" s="264"/>
      <c r="CG7">
        <v>24</v>
      </c>
    </row>
    <row r="8" spans="1:181">
      <c r="A8" s="51">
        <v>4</v>
      </c>
      <c r="B8" s="156" t="s">
        <v>1066</v>
      </c>
      <c r="C8" s="51">
        <v>310266</v>
      </c>
      <c r="D8" s="51">
        <v>310266423</v>
      </c>
      <c r="E8" s="51">
        <v>513395</v>
      </c>
      <c r="F8" s="264"/>
      <c r="G8" s="264"/>
      <c r="H8" s="264"/>
      <c r="I8" s="264"/>
      <c r="J8" s="264"/>
      <c r="K8" s="264"/>
      <c r="L8" s="264"/>
      <c r="M8" s="264"/>
      <c r="N8" s="264"/>
      <c r="O8" s="264"/>
      <c r="P8" s="264"/>
      <c r="Q8" s="264"/>
      <c r="R8" s="264"/>
      <c r="S8" s="264"/>
      <c r="T8" s="264"/>
      <c r="U8" s="264"/>
      <c r="V8" s="264"/>
      <c r="W8" s="264"/>
      <c r="X8" s="264"/>
      <c r="Y8" s="264"/>
      <c r="Z8" s="264"/>
      <c r="AA8" s="264"/>
      <c r="AB8" s="264"/>
      <c r="AC8" s="264"/>
      <c r="AD8" s="264"/>
      <c r="AE8" s="264"/>
      <c r="AF8" s="264"/>
      <c r="AG8" s="264"/>
      <c r="AH8" s="264"/>
      <c r="AI8" s="264"/>
      <c r="AJ8" s="264"/>
      <c r="AK8" s="264"/>
      <c r="AL8" s="264"/>
      <c r="AM8" s="264"/>
      <c r="AN8" s="264"/>
      <c r="AO8" s="264"/>
      <c r="AP8" s="264"/>
      <c r="AQ8" s="264"/>
      <c r="AR8" s="264"/>
      <c r="AS8" s="264"/>
      <c r="AT8" s="264"/>
      <c r="AU8" s="264"/>
      <c r="AV8" s="264"/>
      <c r="AW8" s="264"/>
      <c r="AX8" s="264"/>
      <c r="AY8" s="264"/>
      <c r="AZ8" s="264"/>
      <c r="BA8" s="264"/>
      <c r="BB8" s="264"/>
      <c r="BC8" s="264"/>
      <c r="BD8" s="264"/>
      <c r="BE8" s="264"/>
      <c r="BF8" s="264"/>
      <c r="BG8" s="264"/>
      <c r="BH8" s="264"/>
      <c r="BI8" s="264"/>
      <c r="BJ8" s="264"/>
      <c r="BK8" s="264"/>
      <c r="BL8" s="264"/>
      <c r="BM8" s="264"/>
      <c r="BN8" s="264"/>
      <c r="BO8" s="264"/>
      <c r="BP8" s="264"/>
      <c r="BQ8" s="264"/>
      <c r="BR8" s="264"/>
      <c r="BS8" s="264"/>
      <c r="BT8" s="264"/>
      <c r="BU8" s="264"/>
      <c r="BV8" s="264"/>
      <c r="BW8" s="264"/>
      <c r="BX8" s="264"/>
      <c r="BY8" s="264"/>
      <c r="BZ8" s="264"/>
      <c r="CA8" s="264"/>
      <c r="CG8">
        <v>30</v>
      </c>
    </row>
    <row r="9" spans="1:181">
      <c r="A9" s="51">
        <v>5</v>
      </c>
      <c r="B9" s="156" t="s">
        <v>1067</v>
      </c>
      <c r="C9" s="51">
        <v>310062915</v>
      </c>
      <c r="D9" s="51">
        <v>310062915</v>
      </c>
      <c r="E9" s="51">
        <v>477339</v>
      </c>
      <c r="F9" s="264"/>
      <c r="G9" s="264"/>
      <c r="H9" s="264"/>
      <c r="I9" s="264"/>
      <c r="J9" s="264"/>
      <c r="K9" s="264"/>
      <c r="L9" s="264"/>
      <c r="M9" s="264"/>
      <c r="N9" s="264"/>
      <c r="O9" s="264"/>
      <c r="P9" s="264"/>
      <c r="Q9" s="264"/>
      <c r="R9" s="264"/>
      <c r="S9" s="264"/>
      <c r="T9" s="264"/>
      <c r="U9" s="264"/>
      <c r="V9" s="264"/>
      <c r="W9" s="264"/>
      <c r="X9" s="264"/>
      <c r="Y9" s="264"/>
      <c r="Z9" s="264"/>
      <c r="AA9" s="264"/>
      <c r="AB9" s="264"/>
      <c r="AC9" s="264"/>
      <c r="AD9" s="264"/>
      <c r="AE9" s="264"/>
      <c r="AF9" s="264"/>
      <c r="AG9" s="264"/>
      <c r="AH9" s="264"/>
      <c r="AI9" s="264"/>
      <c r="AJ9" s="264"/>
      <c r="AK9" s="264"/>
      <c r="AL9" s="264"/>
      <c r="AM9" s="264"/>
      <c r="AN9" s="264"/>
      <c r="AO9" s="264"/>
      <c r="AP9" s="264"/>
      <c r="AQ9" s="264"/>
      <c r="AR9" s="264"/>
      <c r="AS9" s="264"/>
      <c r="AT9" s="264"/>
      <c r="AU9" s="264"/>
      <c r="AV9" s="264"/>
      <c r="AW9" s="264"/>
      <c r="AX9" s="264"/>
      <c r="AY9" s="264"/>
      <c r="AZ9" s="264"/>
      <c r="BA9" s="264"/>
      <c r="BB9" s="264"/>
      <c r="BC9" s="264"/>
      <c r="BD9" s="264"/>
      <c r="BE9" s="264"/>
      <c r="BF9" s="264"/>
      <c r="BG9" s="264"/>
      <c r="BH9" s="264"/>
      <c r="BI9" s="264"/>
      <c r="BJ9" s="264"/>
      <c r="BK9" s="264"/>
      <c r="BL9" s="264"/>
      <c r="BM9" s="264"/>
      <c r="BN9" s="264"/>
      <c r="BO9" s="264"/>
      <c r="BP9" s="264"/>
      <c r="BQ9" s="264"/>
      <c r="BR9" s="264"/>
      <c r="BS9" s="264"/>
      <c r="BT9" s="264"/>
      <c r="BU9" s="264"/>
      <c r="BV9" s="264"/>
      <c r="BW9" s="264"/>
      <c r="BX9" s="264"/>
      <c r="BY9" s="264"/>
      <c r="BZ9" s="264"/>
      <c r="CA9" s="264"/>
      <c r="CG9">
        <v>22</v>
      </c>
    </row>
    <row r="10" spans="1:181">
      <c r="A10" s="51">
        <v>6</v>
      </c>
      <c r="B10" s="156" t="s">
        <v>1068</v>
      </c>
      <c r="C10" s="51">
        <v>310017637</v>
      </c>
      <c r="D10" s="51">
        <v>310017637</v>
      </c>
      <c r="E10" s="51">
        <v>142424</v>
      </c>
      <c r="F10" s="264"/>
      <c r="G10" s="264"/>
      <c r="H10" s="264"/>
      <c r="I10" s="264"/>
      <c r="J10" s="264"/>
      <c r="K10" s="264"/>
      <c r="L10" s="264"/>
      <c r="M10" s="264"/>
      <c r="N10" s="264"/>
      <c r="O10" s="264"/>
      <c r="P10" s="264"/>
      <c r="Q10" s="264"/>
      <c r="R10" s="264"/>
      <c r="S10" s="264"/>
      <c r="T10" s="264"/>
      <c r="U10" s="264"/>
      <c r="V10" s="264"/>
      <c r="W10" s="264"/>
      <c r="X10" s="264"/>
      <c r="Y10" s="264"/>
      <c r="Z10" s="264"/>
      <c r="AA10" s="264"/>
      <c r="AB10" s="264"/>
      <c r="AC10" s="264"/>
      <c r="AD10" s="264"/>
      <c r="AE10" s="264"/>
      <c r="AF10" s="264"/>
      <c r="AG10" s="264"/>
      <c r="AH10" s="264"/>
      <c r="AI10" s="264"/>
      <c r="AJ10" s="264"/>
      <c r="AK10" s="264"/>
      <c r="AL10" s="264"/>
      <c r="AM10" s="264"/>
      <c r="AN10" s="264"/>
      <c r="AO10" s="264"/>
      <c r="AP10" s="264"/>
      <c r="AQ10" s="264"/>
      <c r="AR10" s="264"/>
      <c r="AS10" s="264"/>
      <c r="AT10" s="264"/>
      <c r="AU10" s="264"/>
      <c r="AV10" s="264"/>
      <c r="AW10" s="264"/>
      <c r="AX10" s="264"/>
      <c r="AY10" s="264"/>
      <c r="AZ10" s="264"/>
      <c r="BA10" s="264"/>
      <c r="BB10" s="264"/>
      <c r="BC10" s="264"/>
      <c r="BD10" s="264"/>
      <c r="BE10" s="264"/>
      <c r="BF10" s="264"/>
      <c r="BG10" s="264"/>
      <c r="BH10" s="264"/>
      <c r="BI10" s="264"/>
      <c r="BJ10" s="264"/>
      <c r="BK10" s="264"/>
      <c r="BL10" s="264"/>
      <c r="BM10" s="264"/>
      <c r="BN10" s="264"/>
      <c r="BO10" s="264"/>
      <c r="BP10" s="264"/>
      <c r="BQ10" s="264"/>
      <c r="BR10" s="264"/>
      <c r="BS10" s="264"/>
      <c r="BT10" s="264"/>
      <c r="BU10" s="264"/>
      <c r="BV10" s="264"/>
      <c r="BW10" s="264"/>
      <c r="BX10" s="264"/>
      <c r="BY10" s="264"/>
      <c r="BZ10" s="264"/>
      <c r="CA10" s="264"/>
      <c r="CG10">
        <v>33</v>
      </c>
    </row>
    <row r="11" spans="1:181">
      <c r="A11" s="51">
        <v>7</v>
      </c>
      <c r="B11" s="156" t="s">
        <v>1069</v>
      </c>
      <c r="C11" s="51">
        <v>7659</v>
      </c>
      <c r="D11" s="51">
        <v>77777777</v>
      </c>
      <c r="E11" s="51">
        <v>374351</v>
      </c>
      <c r="F11" s="265">
        <v>0</v>
      </c>
      <c r="G11" s="265"/>
      <c r="H11" s="265">
        <v>0</v>
      </c>
      <c r="I11" s="265"/>
      <c r="J11" s="265"/>
      <c r="K11" s="265"/>
      <c r="L11" s="265">
        <v>0</v>
      </c>
      <c r="M11" s="265"/>
      <c r="N11" s="265">
        <v>0</v>
      </c>
      <c r="O11" s="265">
        <v>0</v>
      </c>
      <c r="P11" s="265"/>
      <c r="Q11" s="265"/>
      <c r="R11" s="265">
        <v>0</v>
      </c>
      <c r="S11" s="265"/>
      <c r="T11" s="265">
        <v>0</v>
      </c>
      <c r="U11" s="265"/>
      <c r="V11" s="265">
        <v>0</v>
      </c>
      <c r="W11" s="265"/>
      <c r="X11" s="265">
        <v>0</v>
      </c>
      <c r="Y11" s="265"/>
      <c r="Z11" s="265">
        <v>0</v>
      </c>
      <c r="AA11" s="265"/>
      <c r="AB11" s="265"/>
      <c r="AC11" s="265"/>
      <c r="AD11" s="265"/>
      <c r="AE11" s="265"/>
      <c r="AF11" s="265"/>
      <c r="AG11" s="265"/>
      <c r="AH11" s="265"/>
      <c r="AI11" s="265"/>
      <c r="AJ11" s="265"/>
      <c r="AK11" s="265"/>
      <c r="AL11" s="265"/>
      <c r="AM11" s="265"/>
      <c r="AN11" s="265"/>
      <c r="AO11" s="265"/>
      <c r="AP11" s="265"/>
      <c r="AQ11" s="265"/>
      <c r="AR11" s="265"/>
      <c r="AS11" s="265"/>
      <c r="AT11" s="265">
        <v>0</v>
      </c>
      <c r="AU11" s="265"/>
      <c r="AV11" s="265"/>
      <c r="AW11" s="265"/>
      <c r="AX11" s="265">
        <v>0</v>
      </c>
      <c r="AY11" s="265"/>
      <c r="AZ11" s="265"/>
      <c r="BA11" s="265"/>
      <c r="BB11" s="265"/>
      <c r="BC11" s="265"/>
      <c r="BD11" s="265"/>
      <c r="BE11" s="265"/>
      <c r="BF11" s="265"/>
      <c r="BG11" s="265"/>
      <c r="BH11" s="265"/>
      <c r="BI11" s="265"/>
      <c r="BJ11" s="265">
        <v>0</v>
      </c>
      <c r="BK11" s="265"/>
      <c r="BL11" s="265"/>
      <c r="BM11" s="265"/>
      <c r="BN11" s="265">
        <v>0</v>
      </c>
      <c r="BO11" s="265"/>
      <c r="BP11" s="265">
        <v>0</v>
      </c>
      <c r="BQ11" s="265"/>
      <c r="BR11" s="265">
        <v>0</v>
      </c>
      <c r="BS11" s="265"/>
      <c r="BT11" s="265">
        <v>0</v>
      </c>
      <c r="BU11" s="265"/>
      <c r="BV11" s="265">
        <v>0</v>
      </c>
      <c r="BW11" s="265"/>
      <c r="BX11" s="265">
        <v>0</v>
      </c>
      <c r="BY11" s="282">
        <v>53.6</v>
      </c>
      <c r="BZ11" s="265">
        <v>53.6</v>
      </c>
      <c r="CA11" s="265">
        <v>20.6</v>
      </c>
      <c r="CB11" s="238">
        <v>8.6</v>
      </c>
      <c r="CC11" s="271"/>
      <c r="CD11" s="271"/>
      <c r="CG11">
        <v>33</v>
      </c>
    </row>
    <row r="12" spans="1:181">
      <c r="A12" s="51">
        <v>8</v>
      </c>
      <c r="B12" s="156" t="s">
        <v>1070</v>
      </c>
      <c r="C12" s="51">
        <v>7674</v>
      </c>
      <c r="D12" s="51">
        <v>310337674</v>
      </c>
      <c r="E12" s="51">
        <v>365788</v>
      </c>
      <c r="F12" s="265">
        <v>44</v>
      </c>
      <c r="G12" s="265"/>
      <c r="H12" s="265">
        <v>44</v>
      </c>
      <c r="I12" s="265">
        <f>-42.3+22+22</f>
        <v>1.7000000000000028</v>
      </c>
      <c r="J12" s="265">
        <v>42.3</v>
      </c>
      <c r="K12" s="265">
        <v>22</v>
      </c>
      <c r="L12" s="265">
        <v>20.3</v>
      </c>
      <c r="M12" s="265"/>
      <c r="N12" s="265">
        <v>0</v>
      </c>
      <c r="O12" s="265">
        <v>0</v>
      </c>
      <c r="P12" s="265"/>
      <c r="Q12" s="265"/>
      <c r="R12" s="265">
        <v>0</v>
      </c>
      <c r="S12" s="265"/>
      <c r="T12" s="265">
        <v>0</v>
      </c>
      <c r="U12" s="265"/>
      <c r="V12" s="265">
        <v>0</v>
      </c>
      <c r="W12" s="265"/>
      <c r="X12" s="265">
        <v>0</v>
      </c>
      <c r="Y12" s="265"/>
      <c r="Z12" s="265">
        <v>0</v>
      </c>
      <c r="AA12" s="265"/>
      <c r="AB12" s="265"/>
      <c r="AC12" s="265"/>
      <c r="AD12" s="265"/>
      <c r="AE12" s="265"/>
      <c r="AF12" s="265"/>
      <c r="AG12" s="265"/>
      <c r="AH12" s="265"/>
      <c r="AI12" s="265"/>
      <c r="AJ12" s="265"/>
      <c r="AK12" s="265"/>
      <c r="AL12" s="265">
        <v>0</v>
      </c>
      <c r="AM12" s="265">
        <v>0</v>
      </c>
      <c r="AN12" s="265"/>
      <c r="AO12" s="265"/>
      <c r="AP12" s="265"/>
      <c r="AQ12" s="265"/>
      <c r="AR12" s="265"/>
      <c r="AS12" s="265"/>
      <c r="AT12" s="265">
        <v>0</v>
      </c>
      <c r="AU12" s="265"/>
      <c r="AV12" s="265"/>
      <c r="AW12" s="265"/>
      <c r="AX12" s="265">
        <v>0</v>
      </c>
      <c r="AY12" s="265"/>
      <c r="AZ12" s="265"/>
      <c r="BA12" s="265"/>
      <c r="BB12" s="265">
        <v>0</v>
      </c>
      <c r="BC12" s="265"/>
      <c r="BD12" s="265"/>
      <c r="BE12" s="265"/>
      <c r="BF12" s="265"/>
      <c r="BG12" s="265"/>
      <c r="BH12" s="265">
        <v>0</v>
      </c>
      <c r="BI12" s="265"/>
      <c r="BJ12" s="265">
        <v>0</v>
      </c>
      <c r="BK12" s="265"/>
      <c r="BL12" s="265">
        <v>0</v>
      </c>
      <c r="BM12" s="265"/>
      <c r="BN12" s="265">
        <v>0</v>
      </c>
      <c r="BO12" s="265"/>
      <c r="BP12" s="265">
        <v>0</v>
      </c>
      <c r="BQ12" s="265"/>
      <c r="BR12" s="265">
        <v>0</v>
      </c>
      <c r="BS12" s="265"/>
      <c r="BT12" s="265">
        <v>0</v>
      </c>
      <c r="BU12" s="265"/>
      <c r="BV12" s="265">
        <v>0</v>
      </c>
      <c r="BW12" s="265"/>
      <c r="BX12" s="265">
        <v>0</v>
      </c>
      <c r="BY12" s="282">
        <v>19.8</v>
      </c>
      <c r="BZ12" s="265">
        <v>19.8</v>
      </c>
      <c r="CA12" s="265">
        <v>19.8</v>
      </c>
      <c r="CB12" s="238">
        <v>19.8</v>
      </c>
      <c r="CC12" s="271"/>
      <c r="CD12" s="271"/>
      <c r="CG12">
        <v>33</v>
      </c>
    </row>
    <row r="13" spans="1:181">
      <c r="A13" s="51">
        <v>9</v>
      </c>
      <c r="B13" s="51" t="s">
        <v>1277</v>
      </c>
      <c r="C13" s="51">
        <v>310401800</v>
      </c>
      <c r="D13" s="51">
        <v>310401800</v>
      </c>
      <c r="E13" s="51">
        <v>199050</v>
      </c>
      <c r="F13" s="265">
        <v>3</v>
      </c>
      <c r="G13" s="265"/>
      <c r="H13" s="265">
        <v>3</v>
      </c>
      <c r="I13" s="265"/>
      <c r="J13" s="265">
        <v>3</v>
      </c>
      <c r="K13" s="265"/>
      <c r="L13" s="265">
        <v>3</v>
      </c>
      <c r="M13" s="265"/>
      <c r="N13" s="265">
        <v>3</v>
      </c>
      <c r="O13" s="265">
        <v>0</v>
      </c>
      <c r="P13" s="265">
        <v>3</v>
      </c>
      <c r="Q13" s="265"/>
      <c r="R13" s="265">
        <v>3</v>
      </c>
      <c r="S13" s="265"/>
      <c r="T13" s="265">
        <v>0</v>
      </c>
      <c r="U13" s="265"/>
      <c r="V13" s="265">
        <v>0</v>
      </c>
      <c r="W13" s="265"/>
      <c r="X13" s="265">
        <v>0</v>
      </c>
      <c r="Y13" s="265"/>
      <c r="Z13" s="265">
        <v>0</v>
      </c>
      <c r="AA13" s="265"/>
      <c r="AB13" s="265"/>
      <c r="AC13" s="265"/>
      <c r="AD13" s="265"/>
      <c r="AE13" s="265"/>
      <c r="AF13" s="265"/>
      <c r="AG13" s="265"/>
      <c r="AH13" s="265"/>
      <c r="AI13" s="265"/>
      <c r="AJ13" s="265"/>
      <c r="AK13" s="265"/>
      <c r="AL13" s="265">
        <v>0</v>
      </c>
      <c r="AM13" s="265">
        <v>0</v>
      </c>
      <c r="AN13" s="265"/>
      <c r="AO13" s="265"/>
      <c r="AP13" s="265"/>
      <c r="AQ13" s="265"/>
      <c r="AR13" s="265"/>
      <c r="AS13" s="265"/>
      <c r="AT13" s="265">
        <v>0</v>
      </c>
      <c r="AU13" s="265"/>
      <c r="AV13" s="265"/>
      <c r="AW13" s="265"/>
      <c r="AX13" s="265">
        <v>0</v>
      </c>
      <c r="AY13" s="265"/>
      <c r="AZ13" s="265"/>
      <c r="BA13" s="265"/>
      <c r="BB13" s="265">
        <v>0</v>
      </c>
      <c r="BC13" s="265"/>
      <c r="BD13" s="265"/>
      <c r="BE13" s="265"/>
      <c r="BF13" s="265"/>
      <c r="BG13" s="265"/>
      <c r="BH13" s="265">
        <v>0</v>
      </c>
      <c r="BI13" s="265"/>
      <c r="BJ13" s="265">
        <v>0</v>
      </c>
      <c r="BK13" s="265"/>
      <c r="BL13" s="265">
        <v>0</v>
      </c>
      <c r="BM13" s="265"/>
      <c r="BN13" s="265">
        <v>0</v>
      </c>
      <c r="BO13" s="265"/>
      <c r="BP13" s="265">
        <v>0</v>
      </c>
      <c r="BQ13" s="265"/>
      <c r="BR13" s="265">
        <v>0</v>
      </c>
      <c r="BS13" s="265"/>
      <c r="BT13" s="265">
        <v>0</v>
      </c>
      <c r="BU13" s="265"/>
      <c r="BV13" s="265">
        <v>0</v>
      </c>
      <c r="BW13" s="265"/>
      <c r="BX13" s="265">
        <v>0</v>
      </c>
      <c r="BY13" s="265"/>
      <c r="BZ13" s="265">
        <v>0</v>
      </c>
      <c r="CA13" s="265">
        <v>0</v>
      </c>
      <c r="CB13" s="238">
        <v>0</v>
      </c>
      <c r="CC13" s="271"/>
      <c r="CD13" s="271"/>
      <c r="CG13">
        <v>32</v>
      </c>
      <c r="CH13">
        <v>14</v>
      </c>
      <c r="CI13">
        <v>11</v>
      </c>
      <c r="CJ13">
        <f>324.8+8.8</f>
        <v>333.6</v>
      </c>
      <c r="CK13">
        <v>325</v>
      </c>
      <c r="CL13">
        <v>407</v>
      </c>
      <c r="CM13">
        <v>29.5</v>
      </c>
      <c r="CN13">
        <v>340</v>
      </c>
      <c r="CO13">
        <v>271.5</v>
      </c>
      <c r="CP13">
        <v>321.5</v>
      </c>
      <c r="CQ13">
        <v>5.5</v>
      </c>
      <c r="CR13">
        <v>5.5</v>
      </c>
      <c r="CS13">
        <v>5.5</v>
      </c>
      <c r="CT13">
        <v>5.5</v>
      </c>
      <c r="CU13">
        <v>5.5</v>
      </c>
      <c r="CV13">
        <v>364.5</v>
      </c>
      <c r="CW13">
        <v>23.4</v>
      </c>
      <c r="CX13">
        <v>173.4</v>
      </c>
      <c r="CY13">
        <v>163</v>
      </c>
      <c r="CZ13">
        <v>49.7</v>
      </c>
      <c r="DA13">
        <v>86.5</v>
      </c>
      <c r="DB13">
        <v>73.5</v>
      </c>
      <c r="DC13">
        <v>108.8</v>
      </c>
      <c r="DD13">
        <v>87.2</v>
      </c>
      <c r="DE13">
        <v>85.2</v>
      </c>
      <c r="DF13">
        <v>78</v>
      </c>
      <c r="DG13">
        <v>18</v>
      </c>
      <c r="DH13">
        <v>296</v>
      </c>
      <c r="DI13">
        <v>323.7</v>
      </c>
      <c r="DJ13">
        <v>620.6</v>
      </c>
      <c r="DK13">
        <v>7.3</v>
      </c>
      <c r="DL13">
        <v>8.1</v>
      </c>
      <c r="DM13">
        <v>34.299999999999997</v>
      </c>
      <c r="DN13">
        <v>241</v>
      </c>
      <c r="DO13">
        <v>100.4</v>
      </c>
      <c r="DP13">
        <v>132</v>
      </c>
      <c r="DQ13">
        <v>79.5</v>
      </c>
      <c r="DR13">
        <v>77.5</v>
      </c>
      <c r="DS13">
        <v>37.700000000000003</v>
      </c>
      <c r="DT13">
        <v>210</v>
      </c>
      <c r="DU13">
        <v>222.3</v>
      </c>
      <c r="DV13">
        <v>221.6</v>
      </c>
      <c r="DW13">
        <v>25.5</v>
      </c>
      <c r="DX13">
        <v>50.6</v>
      </c>
      <c r="DY13">
        <v>68.599999999999994</v>
      </c>
      <c r="DZ13">
        <v>142.69999999999999</v>
      </c>
      <c r="EA13">
        <v>224.4</v>
      </c>
      <c r="EB13">
        <v>11.8</v>
      </c>
      <c r="EC13">
        <v>9.1999999999999993</v>
      </c>
      <c r="ED13">
        <v>41.6</v>
      </c>
      <c r="EE13">
        <v>49</v>
      </c>
      <c r="EF13">
        <v>20.100000000000001</v>
      </c>
      <c r="EG13">
        <f>155.7+5.7+276.4</f>
        <v>437.79999999999995</v>
      </c>
      <c r="EH13">
        <f>4.2+5.1+276.4</f>
        <v>285.7</v>
      </c>
      <c r="EI13">
        <v>289.39999999999998</v>
      </c>
      <c r="EK13">
        <f>+EH13-EI13</f>
        <v>-3.6999999999999886</v>
      </c>
      <c r="EM13">
        <v>5.5</v>
      </c>
      <c r="EN13">
        <v>5.5</v>
      </c>
      <c r="EO13">
        <v>5.5</v>
      </c>
      <c r="EP13">
        <v>5.5</v>
      </c>
      <c r="EQ13">
        <v>5.5</v>
      </c>
      <c r="ER13">
        <v>5.5</v>
      </c>
      <c r="ES13">
        <v>5.5</v>
      </c>
      <c r="ET13">
        <v>5.5</v>
      </c>
      <c r="EU13">
        <v>5.5</v>
      </c>
      <c r="EV13">
        <v>5.5</v>
      </c>
      <c r="EW13">
        <v>5.5</v>
      </c>
      <c r="EX13">
        <v>5.5</v>
      </c>
      <c r="EY13">
        <v>5.5</v>
      </c>
      <c r="EZ13">
        <v>5.5</v>
      </c>
      <c r="FA13">
        <v>5.5</v>
      </c>
      <c r="FB13">
        <v>5.5</v>
      </c>
      <c r="FC13">
        <v>5.5</v>
      </c>
      <c r="FD13">
        <v>5.5</v>
      </c>
      <c r="FE13">
        <v>5.5</v>
      </c>
      <c r="FF13">
        <v>5.5</v>
      </c>
      <c r="FG13">
        <v>5.5</v>
      </c>
      <c r="FH13">
        <v>5.5</v>
      </c>
      <c r="FI13">
        <v>5.5</v>
      </c>
      <c r="FJ13">
        <v>5.5</v>
      </c>
      <c r="FK13">
        <v>5.5</v>
      </c>
      <c r="FL13">
        <v>5.5</v>
      </c>
      <c r="FM13">
        <v>5.5</v>
      </c>
      <c r="FN13">
        <v>5.5</v>
      </c>
      <c r="FO13">
        <v>5.5</v>
      </c>
      <c r="FP13">
        <v>5.5</v>
      </c>
      <c r="FQ13">
        <v>5.5</v>
      </c>
      <c r="FR13">
        <v>5.5</v>
      </c>
      <c r="FS13">
        <v>5.5</v>
      </c>
      <c r="FT13">
        <v>5.5</v>
      </c>
      <c r="FU13">
        <v>5.2</v>
      </c>
      <c r="FV13">
        <v>5.5</v>
      </c>
      <c r="FW13">
        <v>5.5</v>
      </c>
      <c r="FX13">
        <v>5.5</v>
      </c>
      <c r="FY13">
        <v>5.5</v>
      </c>
    </row>
    <row r="14" spans="1:181">
      <c r="A14" s="7">
        <v>10</v>
      </c>
      <c r="B14" s="48" t="s">
        <v>1140</v>
      </c>
      <c r="C14" s="48">
        <v>310401792</v>
      </c>
      <c r="D14" s="48">
        <v>310401792</v>
      </c>
      <c r="E14" s="48">
        <v>569470</v>
      </c>
      <c r="F14" s="266">
        <v>0</v>
      </c>
      <c r="G14" s="266"/>
      <c r="H14" s="266">
        <v>0</v>
      </c>
      <c r="I14" s="266">
        <v>-6.3</v>
      </c>
      <c r="J14" s="266">
        <v>6.3</v>
      </c>
      <c r="K14" s="266"/>
      <c r="L14" s="266">
        <v>0</v>
      </c>
      <c r="M14" s="266"/>
      <c r="N14" s="266">
        <v>0</v>
      </c>
      <c r="O14" s="266">
        <v>-4.7</v>
      </c>
      <c r="P14" s="266">
        <v>4.7</v>
      </c>
      <c r="Q14" s="266"/>
      <c r="R14" s="266">
        <v>4.7</v>
      </c>
      <c r="S14" s="266">
        <f>2.1+2.7</f>
        <v>4.8000000000000007</v>
      </c>
      <c r="T14" s="266">
        <v>22</v>
      </c>
      <c r="U14" s="266"/>
      <c r="V14" s="266">
        <v>22</v>
      </c>
      <c r="W14" s="266"/>
      <c r="X14" s="266">
        <v>22</v>
      </c>
      <c r="Y14" s="266">
        <v>22</v>
      </c>
      <c r="Z14" s="266">
        <v>0</v>
      </c>
      <c r="AA14" s="266"/>
      <c r="AB14" s="266"/>
      <c r="AC14" s="266"/>
      <c r="AD14" s="266"/>
      <c r="AE14" s="266"/>
      <c r="AF14" s="266">
        <v>0</v>
      </c>
      <c r="AG14" s="266">
        <f>22-41</f>
        <v>-19</v>
      </c>
      <c r="AH14" s="266">
        <v>19</v>
      </c>
      <c r="AI14" s="266"/>
      <c r="AJ14" s="266"/>
      <c r="AK14" s="266"/>
      <c r="AL14" s="266">
        <v>0</v>
      </c>
      <c r="AM14" s="266">
        <v>0</v>
      </c>
      <c r="AN14" s="266"/>
      <c r="AO14" s="266"/>
      <c r="AP14" s="266"/>
      <c r="AQ14" s="266"/>
      <c r="AR14" s="266"/>
      <c r="AS14" s="266"/>
      <c r="AT14" s="266">
        <v>22</v>
      </c>
      <c r="AU14" s="266"/>
      <c r="AV14" s="266"/>
      <c r="AW14" s="266"/>
      <c r="AX14" s="266">
        <v>0</v>
      </c>
      <c r="AY14" s="266"/>
      <c r="AZ14" s="266"/>
      <c r="BA14" s="266"/>
      <c r="BB14" s="266">
        <v>0</v>
      </c>
      <c r="BC14" s="266"/>
      <c r="BD14" s="266"/>
      <c r="BE14" s="266"/>
      <c r="BF14" s="266">
        <v>0</v>
      </c>
      <c r="BG14" s="266"/>
      <c r="BH14" s="266">
        <v>0</v>
      </c>
      <c r="BI14" s="266"/>
      <c r="BJ14" s="266">
        <v>0</v>
      </c>
      <c r="BK14" s="266"/>
      <c r="BL14" s="266">
        <v>0</v>
      </c>
      <c r="BM14" s="266"/>
      <c r="BN14" s="266">
        <v>0</v>
      </c>
      <c r="BO14" s="266"/>
      <c r="BP14" s="266">
        <v>0</v>
      </c>
      <c r="BQ14" s="266"/>
      <c r="BR14" s="266">
        <v>23</v>
      </c>
      <c r="BS14" s="266"/>
      <c r="BT14" s="266">
        <v>23</v>
      </c>
      <c r="BU14" s="266"/>
      <c r="BV14" s="266">
        <v>23</v>
      </c>
      <c r="BW14" s="266"/>
      <c r="BX14" s="266">
        <v>0</v>
      </c>
      <c r="BY14" s="283">
        <v>24</v>
      </c>
      <c r="BZ14" s="266">
        <v>24</v>
      </c>
      <c r="CA14" s="266">
        <v>24</v>
      </c>
      <c r="CB14" s="239">
        <v>24</v>
      </c>
      <c r="CC14" s="272"/>
      <c r="CD14" s="272"/>
      <c r="CG14">
        <v>32.9</v>
      </c>
      <c r="CH14">
        <v>3.1</v>
      </c>
      <c r="CI14">
        <v>2.1</v>
      </c>
      <c r="CJ14">
        <v>8.6</v>
      </c>
      <c r="CK14">
        <v>8.6</v>
      </c>
      <c r="CL14">
        <v>20.6</v>
      </c>
      <c r="CM14">
        <v>53.6</v>
      </c>
      <c r="CQ14">
        <v>7.2</v>
      </c>
      <c r="CR14">
        <v>7.2</v>
      </c>
      <c r="CS14">
        <v>7.2</v>
      </c>
      <c r="CT14">
        <v>7.2</v>
      </c>
      <c r="CU14">
        <v>7.2</v>
      </c>
      <c r="CY14">
        <v>6.2</v>
      </c>
      <c r="CZ14">
        <v>6.2</v>
      </c>
      <c r="DA14">
        <v>6.2</v>
      </c>
      <c r="DB14">
        <v>6.2</v>
      </c>
      <c r="DC14">
        <v>6.2</v>
      </c>
      <c r="DD14">
        <v>6.2</v>
      </c>
      <c r="DE14">
        <v>6.2</v>
      </c>
      <c r="DF14">
        <v>6.2</v>
      </c>
      <c r="DG14">
        <v>6.2</v>
      </c>
      <c r="DH14">
        <v>6.2</v>
      </c>
      <c r="DI14">
        <v>6.2</v>
      </c>
      <c r="DJ14">
        <v>6.2</v>
      </c>
      <c r="DK14">
        <v>6.2</v>
      </c>
      <c r="DL14">
        <v>6.2</v>
      </c>
      <c r="DM14">
        <v>6.2</v>
      </c>
      <c r="DN14">
        <v>6.2</v>
      </c>
      <c r="DO14">
        <v>6.2</v>
      </c>
      <c r="DP14">
        <v>6.2</v>
      </c>
      <c r="DQ14">
        <v>6.2</v>
      </c>
      <c r="DR14">
        <v>6.2</v>
      </c>
      <c r="DS14">
        <v>6.2</v>
      </c>
      <c r="DT14">
        <v>6.2</v>
      </c>
      <c r="DU14">
        <v>6.2</v>
      </c>
      <c r="DV14">
        <v>6.2</v>
      </c>
      <c r="DW14">
        <v>6.2</v>
      </c>
      <c r="DX14">
        <v>6.2</v>
      </c>
      <c r="DY14">
        <v>6.2</v>
      </c>
      <c r="DZ14">
        <v>6.2</v>
      </c>
      <c r="EA14">
        <v>6.2</v>
      </c>
      <c r="EB14">
        <v>6.2</v>
      </c>
      <c r="EC14">
        <v>6.2</v>
      </c>
      <c r="ED14">
        <v>6.2</v>
      </c>
      <c r="EE14">
        <v>6.2</v>
      </c>
      <c r="EF14">
        <v>6.2</v>
      </c>
      <c r="EG14">
        <v>6</v>
      </c>
      <c r="EH14">
        <v>6</v>
      </c>
      <c r="EI14">
        <v>6</v>
      </c>
      <c r="EK14">
        <f t="shared" ref="EK14:EK70" si="0">+EH14-EI14</f>
        <v>0</v>
      </c>
      <c r="EM14">
        <v>7.2</v>
      </c>
      <c r="EN14">
        <v>7.2</v>
      </c>
      <c r="EO14">
        <v>7.2</v>
      </c>
      <c r="EP14">
        <v>7.2</v>
      </c>
      <c r="EQ14">
        <v>7.2</v>
      </c>
      <c r="ER14">
        <v>7.2</v>
      </c>
      <c r="ES14">
        <v>7.2</v>
      </c>
      <c r="ET14">
        <v>7.2</v>
      </c>
      <c r="EU14">
        <v>7.2</v>
      </c>
      <c r="EV14">
        <v>7.2</v>
      </c>
      <c r="EW14">
        <v>7.2</v>
      </c>
      <c r="EX14">
        <v>7.2</v>
      </c>
      <c r="EY14">
        <v>7.2</v>
      </c>
      <c r="EZ14">
        <v>7.2</v>
      </c>
      <c r="FA14">
        <v>7.2</v>
      </c>
      <c r="FB14">
        <v>7.2</v>
      </c>
      <c r="FC14">
        <v>7.2</v>
      </c>
      <c r="FD14">
        <v>7.2</v>
      </c>
      <c r="FE14">
        <v>7.2</v>
      </c>
      <c r="FF14">
        <v>7.2</v>
      </c>
      <c r="FG14">
        <v>7.2</v>
      </c>
      <c r="FH14">
        <v>7.2</v>
      </c>
      <c r="FI14">
        <v>7.2</v>
      </c>
      <c r="FJ14">
        <v>7.2</v>
      </c>
      <c r="FK14">
        <v>7.2</v>
      </c>
      <c r="FL14">
        <v>7.2</v>
      </c>
      <c r="FM14">
        <v>7.2</v>
      </c>
      <c r="FN14">
        <v>7.2</v>
      </c>
      <c r="FO14">
        <v>7.2</v>
      </c>
      <c r="FP14">
        <v>7.2</v>
      </c>
      <c r="FQ14">
        <v>7.2</v>
      </c>
      <c r="FR14">
        <v>7.2</v>
      </c>
      <c r="FS14">
        <v>7.2</v>
      </c>
      <c r="FT14">
        <v>7.2</v>
      </c>
      <c r="FU14">
        <v>7.2</v>
      </c>
      <c r="FV14">
        <v>7.2</v>
      </c>
      <c r="FW14">
        <v>7.2</v>
      </c>
      <c r="FX14">
        <v>7.2</v>
      </c>
      <c r="FY14">
        <v>7.2</v>
      </c>
    </row>
    <row r="15" spans="1:181">
      <c r="A15" s="7">
        <v>11</v>
      </c>
      <c r="B15" s="48" t="s">
        <v>1310</v>
      </c>
      <c r="C15" s="48">
        <v>310423741</v>
      </c>
      <c r="D15" s="48">
        <v>310423741</v>
      </c>
      <c r="E15" s="48">
        <v>194459</v>
      </c>
      <c r="F15" s="266">
        <v>0</v>
      </c>
      <c r="G15" s="266"/>
      <c r="H15" s="266">
        <v>0</v>
      </c>
      <c r="I15" s="266"/>
      <c r="J15" s="266">
        <v>0</v>
      </c>
      <c r="K15" s="266"/>
      <c r="L15" s="266">
        <v>0</v>
      </c>
      <c r="M15" s="266"/>
      <c r="N15" s="266">
        <v>0</v>
      </c>
      <c r="O15" s="266">
        <v>-3.8</v>
      </c>
      <c r="P15" s="266">
        <v>3.85</v>
      </c>
      <c r="Q15" s="266"/>
      <c r="R15" s="266">
        <v>3.85</v>
      </c>
      <c r="S15" s="266"/>
      <c r="T15" s="266">
        <v>0</v>
      </c>
      <c r="U15" s="266"/>
      <c r="V15" s="266">
        <v>0</v>
      </c>
      <c r="W15" s="266"/>
      <c r="X15" s="266">
        <v>0</v>
      </c>
      <c r="Y15" s="266"/>
      <c r="Z15" s="266">
        <v>0</v>
      </c>
      <c r="AA15" s="266">
        <f>20.4+5-25.2</f>
        <v>0.19999999999999929</v>
      </c>
      <c r="AB15" s="266"/>
      <c r="AC15" s="266"/>
      <c r="AD15" s="266"/>
      <c r="AE15" s="266"/>
      <c r="AF15" s="266">
        <v>0</v>
      </c>
      <c r="AG15" s="266"/>
      <c r="AH15" s="266">
        <v>0</v>
      </c>
      <c r="AI15" s="266"/>
      <c r="AJ15" s="266"/>
      <c r="AK15" s="266"/>
      <c r="AL15" s="266">
        <v>0</v>
      </c>
      <c r="AM15" s="266">
        <v>0</v>
      </c>
      <c r="AN15" s="266"/>
      <c r="AO15" s="266"/>
      <c r="AP15" s="266"/>
      <c r="AQ15" s="266"/>
      <c r="AR15" s="266"/>
      <c r="AS15" s="266"/>
      <c r="AT15" s="266">
        <v>0</v>
      </c>
      <c r="AU15" s="266"/>
      <c r="AV15" s="266"/>
      <c r="AW15" s="266"/>
      <c r="AX15" s="266">
        <v>0</v>
      </c>
      <c r="AY15" s="266"/>
      <c r="AZ15" s="266"/>
      <c r="BA15" s="266"/>
      <c r="BB15" s="266">
        <v>0</v>
      </c>
      <c r="BC15" s="266"/>
      <c r="BD15" s="266"/>
      <c r="BE15" s="266"/>
      <c r="BF15" s="266">
        <v>0</v>
      </c>
      <c r="BG15" s="266"/>
      <c r="BH15" s="266">
        <v>0</v>
      </c>
      <c r="BI15" s="266"/>
      <c r="BJ15" s="266">
        <v>0</v>
      </c>
      <c r="BK15" s="266"/>
      <c r="BL15" s="266">
        <v>0</v>
      </c>
      <c r="BM15" s="266"/>
      <c r="BN15" s="266">
        <v>0</v>
      </c>
      <c r="BO15" s="266"/>
      <c r="BP15" s="266">
        <v>0</v>
      </c>
      <c r="BQ15" s="266"/>
      <c r="BR15" s="266">
        <v>24</v>
      </c>
      <c r="BS15" s="266">
        <v>24</v>
      </c>
      <c r="BT15" s="266">
        <v>0</v>
      </c>
      <c r="BU15" s="266"/>
      <c r="BV15" s="266">
        <v>0</v>
      </c>
      <c r="BW15" s="266"/>
      <c r="BX15" s="266">
        <v>0</v>
      </c>
      <c r="BY15" s="283">
        <v>66.400000000000006</v>
      </c>
      <c r="BZ15" s="266">
        <v>66.400000000000006</v>
      </c>
      <c r="CA15" s="266">
        <v>66.400000000000006</v>
      </c>
      <c r="CB15" s="239">
        <v>44.4</v>
      </c>
      <c r="CC15" s="272"/>
      <c r="CD15" s="272"/>
      <c r="CH15">
        <v>0.6</v>
      </c>
      <c r="CI15">
        <v>20.6</v>
      </c>
      <c r="CJ15">
        <v>19.8</v>
      </c>
      <c r="CK15">
        <v>19.8</v>
      </c>
      <c r="CL15">
        <v>19.8</v>
      </c>
      <c r="CM15">
        <v>19.8</v>
      </c>
      <c r="CO15">
        <v>23</v>
      </c>
      <c r="CP15">
        <v>23</v>
      </c>
      <c r="CQ15">
        <v>0.2</v>
      </c>
      <c r="CR15">
        <v>0.2</v>
      </c>
      <c r="CS15">
        <v>0.2</v>
      </c>
      <c r="CT15">
        <v>0.2</v>
      </c>
      <c r="CU15">
        <v>0.2</v>
      </c>
      <c r="CV15">
        <v>23</v>
      </c>
      <c r="CW15">
        <v>23</v>
      </c>
      <c r="CX15">
        <v>22</v>
      </c>
      <c r="CY15">
        <v>22</v>
      </c>
      <c r="DA15">
        <v>66</v>
      </c>
      <c r="DB15">
        <v>8.5</v>
      </c>
      <c r="DC15">
        <v>15.9</v>
      </c>
      <c r="DF15">
        <v>24.78</v>
      </c>
      <c r="DG15">
        <v>24.78</v>
      </c>
      <c r="DH15">
        <v>22</v>
      </c>
      <c r="DI15">
        <v>23</v>
      </c>
      <c r="DJ15">
        <v>24</v>
      </c>
      <c r="DK15">
        <v>24</v>
      </c>
      <c r="DL15">
        <v>6.8</v>
      </c>
      <c r="DM15">
        <v>22.5</v>
      </c>
      <c r="DN15">
        <v>15.75</v>
      </c>
      <c r="DO15">
        <v>8.25</v>
      </c>
      <c r="DP15">
        <v>38.25</v>
      </c>
      <c r="DQ15">
        <v>38.25</v>
      </c>
      <c r="DR15">
        <v>38.25</v>
      </c>
      <c r="DS15">
        <v>20.6</v>
      </c>
      <c r="DZ15">
        <v>22</v>
      </c>
      <c r="EA15">
        <v>22</v>
      </c>
      <c r="EB15">
        <v>3</v>
      </c>
      <c r="EC15">
        <v>3</v>
      </c>
      <c r="ED15">
        <v>2</v>
      </c>
      <c r="EE15">
        <v>20.3</v>
      </c>
      <c r="EF15">
        <v>42.3</v>
      </c>
      <c r="EG15">
        <v>44</v>
      </c>
      <c r="EH15">
        <v>44</v>
      </c>
      <c r="EI15">
        <v>44</v>
      </c>
      <c r="EK15">
        <f t="shared" si="0"/>
        <v>0</v>
      </c>
      <c r="EM15">
        <v>0.2</v>
      </c>
      <c r="EN15">
        <v>0.2</v>
      </c>
      <c r="EO15">
        <v>0.2</v>
      </c>
      <c r="EP15">
        <v>0.2</v>
      </c>
      <c r="EQ15">
        <v>0.2</v>
      </c>
      <c r="ER15">
        <v>0.2</v>
      </c>
      <c r="ES15">
        <v>0.2</v>
      </c>
      <c r="ET15">
        <v>0.2</v>
      </c>
      <c r="EU15">
        <v>0.2</v>
      </c>
      <c r="EV15">
        <v>0.2</v>
      </c>
      <c r="EW15">
        <v>0.2</v>
      </c>
      <c r="EX15">
        <v>0.2</v>
      </c>
      <c r="EY15">
        <v>0.2</v>
      </c>
      <c r="EZ15">
        <v>0.2</v>
      </c>
      <c r="FA15">
        <v>0.2</v>
      </c>
      <c r="FB15">
        <v>0.2</v>
      </c>
      <c r="FC15">
        <v>0.2</v>
      </c>
      <c r="FD15">
        <v>0.2</v>
      </c>
      <c r="FE15">
        <v>0.2</v>
      </c>
      <c r="FF15">
        <v>0.2</v>
      </c>
      <c r="FG15">
        <v>0.2</v>
      </c>
      <c r="FH15">
        <v>0.2</v>
      </c>
      <c r="FI15">
        <v>0.2</v>
      </c>
      <c r="FJ15">
        <v>0.2</v>
      </c>
      <c r="FK15">
        <v>0.2</v>
      </c>
      <c r="FL15">
        <v>0.2</v>
      </c>
      <c r="FM15">
        <v>0.2</v>
      </c>
      <c r="FN15">
        <v>0.2</v>
      </c>
      <c r="FO15">
        <v>0.2</v>
      </c>
      <c r="FP15">
        <v>0.2</v>
      </c>
      <c r="FQ15">
        <v>0.2</v>
      </c>
      <c r="FR15">
        <v>0.2</v>
      </c>
      <c r="FS15">
        <v>0.2</v>
      </c>
      <c r="FT15">
        <v>0.2</v>
      </c>
      <c r="FU15">
        <v>0.2</v>
      </c>
      <c r="FV15">
        <v>0.2</v>
      </c>
      <c r="FW15">
        <v>0.2</v>
      </c>
      <c r="FX15">
        <v>0.2</v>
      </c>
      <c r="FY15">
        <v>0.2</v>
      </c>
    </row>
    <row r="16" spans="1:181">
      <c r="A16" s="7">
        <v>12</v>
      </c>
      <c r="B16" s="48" t="s">
        <v>1399</v>
      </c>
      <c r="C16" s="48">
        <v>310423575</v>
      </c>
      <c r="D16" s="48">
        <v>310423575</v>
      </c>
      <c r="E16" s="48">
        <v>643178</v>
      </c>
      <c r="F16" s="266">
        <v>2</v>
      </c>
      <c r="G16" s="266"/>
      <c r="H16" s="266">
        <v>2</v>
      </c>
      <c r="I16" s="266"/>
      <c r="J16" s="266">
        <v>2</v>
      </c>
      <c r="K16" s="266"/>
      <c r="L16" s="266">
        <v>2</v>
      </c>
      <c r="M16" s="266"/>
      <c r="N16" s="266">
        <v>2</v>
      </c>
      <c r="O16" s="266"/>
      <c r="P16" s="266">
        <v>2</v>
      </c>
      <c r="Q16" s="266"/>
      <c r="R16" s="266">
        <v>2</v>
      </c>
      <c r="S16" s="266"/>
      <c r="T16" s="266">
        <v>0</v>
      </c>
      <c r="U16" s="266"/>
      <c r="V16" s="266">
        <v>0</v>
      </c>
      <c r="W16" s="266"/>
      <c r="X16" s="266">
        <v>0</v>
      </c>
      <c r="Y16" s="266">
        <v>-21.9</v>
      </c>
      <c r="Z16" s="266">
        <v>21.9</v>
      </c>
      <c r="AA16" s="266"/>
      <c r="AB16" s="266"/>
      <c r="AC16" s="266"/>
      <c r="AD16" s="266"/>
      <c r="AE16" s="266"/>
      <c r="AF16" s="266">
        <v>0</v>
      </c>
      <c r="AG16" s="266"/>
      <c r="AH16" s="266">
        <v>0</v>
      </c>
      <c r="AI16" s="266"/>
      <c r="AJ16" s="266">
        <v>0</v>
      </c>
      <c r="AK16" s="266"/>
      <c r="AL16" s="266">
        <v>0</v>
      </c>
      <c r="AM16" s="266"/>
      <c r="AN16" s="266">
        <v>0</v>
      </c>
      <c r="AO16" s="266"/>
      <c r="AP16" s="266"/>
      <c r="AQ16" s="266"/>
      <c r="AR16" s="266"/>
      <c r="AS16" s="266"/>
      <c r="AT16" s="266">
        <v>0</v>
      </c>
      <c r="AU16" s="266"/>
      <c r="AV16" s="266">
        <v>0</v>
      </c>
      <c r="AW16" s="266"/>
      <c r="AX16" s="266">
        <v>0</v>
      </c>
      <c r="AY16" s="266"/>
      <c r="AZ16" s="266">
        <v>0</v>
      </c>
      <c r="BA16" s="266"/>
      <c r="BB16" s="266">
        <v>0</v>
      </c>
      <c r="BC16" s="266"/>
      <c r="BD16" s="266">
        <v>0</v>
      </c>
      <c r="BE16" s="266"/>
      <c r="BF16" s="266">
        <v>0</v>
      </c>
      <c r="BG16" s="266"/>
      <c r="BH16" s="266">
        <v>0</v>
      </c>
      <c r="BI16" s="266"/>
      <c r="BJ16" s="266">
        <v>0</v>
      </c>
      <c r="BK16" s="266"/>
      <c r="BL16" s="266">
        <v>0</v>
      </c>
      <c r="BM16" s="266">
        <v>-22</v>
      </c>
      <c r="BN16" s="266">
        <v>22</v>
      </c>
      <c r="BO16" s="266"/>
      <c r="BP16" s="266">
        <v>22</v>
      </c>
      <c r="BQ16" s="266"/>
      <c r="BR16" s="266">
        <v>0</v>
      </c>
      <c r="BS16" s="266">
        <f>24-33.9</f>
        <v>-9.8999999999999986</v>
      </c>
      <c r="BT16" s="266">
        <v>10</v>
      </c>
      <c r="BU16" s="266"/>
      <c r="BV16" s="266">
        <v>10</v>
      </c>
      <c r="BW16" s="266"/>
      <c r="BX16" s="266">
        <v>5.7</v>
      </c>
      <c r="BY16" s="266"/>
      <c r="BZ16" s="266">
        <v>5.7</v>
      </c>
      <c r="CA16" s="266">
        <v>5.7</v>
      </c>
      <c r="CB16" s="239">
        <v>55.7</v>
      </c>
      <c r="CC16" s="272"/>
      <c r="CD16" s="272"/>
      <c r="CH16">
        <v>24</v>
      </c>
      <c r="CI16">
        <v>24</v>
      </c>
      <c r="CJ16">
        <v>24</v>
      </c>
      <c r="CK16">
        <v>24</v>
      </c>
      <c r="CL16">
        <v>24</v>
      </c>
      <c r="CM16">
        <v>24</v>
      </c>
      <c r="CQ16">
        <v>4.5</v>
      </c>
      <c r="CR16">
        <v>4.5</v>
      </c>
      <c r="CS16">
        <v>4.5</v>
      </c>
      <c r="CT16">
        <v>4.5</v>
      </c>
      <c r="CU16">
        <v>4.5</v>
      </c>
      <c r="DA16">
        <v>50</v>
      </c>
      <c r="DC16">
        <v>23</v>
      </c>
      <c r="DD16">
        <v>19</v>
      </c>
      <c r="DE16">
        <v>19</v>
      </c>
      <c r="DF16">
        <v>32.200000000000003</v>
      </c>
      <c r="DG16">
        <v>20</v>
      </c>
      <c r="DH16">
        <v>16.7</v>
      </c>
      <c r="DI16">
        <v>97.5</v>
      </c>
      <c r="DJ16">
        <v>66.25</v>
      </c>
      <c r="DK16">
        <v>66.25</v>
      </c>
      <c r="DL16">
        <v>10</v>
      </c>
      <c r="DM16">
        <v>33</v>
      </c>
      <c r="DN16">
        <v>22</v>
      </c>
      <c r="DO16">
        <v>33.299999999999997</v>
      </c>
      <c r="DP16">
        <v>32</v>
      </c>
      <c r="DQ16">
        <v>32</v>
      </c>
      <c r="DR16">
        <v>32</v>
      </c>
      <c r="DX16">
        <v>21.9</v>
      </c>
      <c r="DY16">
        <v>22</v>
      </c>
      <c r="DZ16">
        <v>15</v>
      </c>
      <c r="EA16">
        <v>48</v>
      </c>
      <c r="EB16">
        <v>4.7</v>
      </c>
      <c r="EC16">
        <v>4.7</v>
      </c>
      <c r="ED16">
        <v>3</v>
      </c>
      <c r="EE16">
        <v>3</v>
      </c>
      <c r="EF16">
        <v>3</v>
      </c>
      <c r="EG16">
        <v>3</v>
      </c>
      <c r="EH16">
        <v>3</v>
      </c>
      <c r="EI16">
        <v>3</v>
      </c>
      <c r="EK16">
        <f t="shared" si="0"/>
        <v>0</v>
      </c>
      <c r="EM16">
        <v>4.5</v>
      </c>
      <c r="EN16">
        <v>4.5</v>
      </c>
      <c r="EO16">
        <v>4.5</v>
      </c>
      <c r="EP16">
        <v>4.5</v>
      </c>
      <c r="EQ16">
        <v>4.5</v>
      </c>
      <c r="ER16">
        <v>4.5</v>
      </c>
      <c r="ES16">
        <v>4.5</v>
      </c>
      <c r="ET16">
        <v>4.5</v>
      </c>
      <c r="EU16">
        <v>4.5</v>
      </c>
      <c r="EV16">
        <v>4.5</v>
      </c>
      <c r="EW16">
        <v>4.5</v>
      </c>
      <c r="EX16">
        <v>4.5</v>
      </c>
      <c r="EY16">
        <v>4.5</v>
      </c>
      <c r="EZ16">
        <v>4.5</v>
      </c>
      <c r="FA16">
        <v>4.5</v>
      </c>
      <c r="FB16">
        <v>4.5</v>
      </c>
      <c r="FC16">
        <v>4.5</v>
      </c>
      <c r="FD16">
        <v>4.5</v>
      </c>
      <c r="FE16">
        <v>4.5</v>
      </c>
      <c r="FF16">
        <v>4.5</v>
      </c>
      <c r="FG16">
        <v>4.5</v>
      </c>
      <c r="FH16">
        <v>4.5</v>
      </c>
      <c r="FI16">
        <v>4.5</v>
      </c>
      <c r="FJ16">
        <v>4.5</v>
      </c>
      <c r="FK16">
        <v>4.5</v>
      </c>
      <c r="FL16">
        <v>4.5</v>
      </c>
      <c r="FM16">
        <v>4.5</v>
      </c>
      <c r="FN16">
        <v>4.5</v>
      </c>
      <c r="FO16">
        <v>4.5</v>
      </c>
      <c r="FP16">
        <v>4.5</v>
      </c>
      <c r="FQ16">
        <v>4.5</v>
      </c>
      <c r="FR16">
        <v>4.5</v>
      </c>
      <c r="FS16">
        <v>4.5</v>
      </c>
      <c r="FT16">
        <v>4.5</v>
      </c>
      <c r="FU16">
        <v>4.5</v>
      </c>
      <c r="FV16">
        <v>4.5</v>
      </c>
      <c r="FW16">
        <v>4.5</v>
      </c>
      <c r="FX16">
        <v>4.5</v>
      </c>
      <c r="FY16">
        <v>4.5</v>
      </c>
    </row>
    <row r="17" spans="1:181">
      <c r="A17" s="7">
        <v>13</v>
      </c>
      <c r="B17" s="48" t="s">
        <v>1700</v>
      </c>
      <c r="C17" s="48"/>
      <c r="D17" s="48"/>
      <c r="E17" s="48"/>
      <c r="F17" s="266">
        <v>8.25</v>
      </c>
      <c r="G17" s="266"/>
      <c r="H17" s="266">
        <v>0</v>
      </c>
      <c r="I17" s="266">
        <v>-8.25</v>
      </c>
      <c r="J17" s="266">
        <v>8.25</v>
      </c>
      <c r="K17" s="266"/>
      <c r="L17" s="266">
        <v>8.25</v>
      </c>
      <c r="M17" s="266"/>
      <c r="N17" s="266">
        <v>8.3000000000000007</v>
      </c>
      <c r="O17" s="266"/>
      <c r="P17" s="266">
        <v>7.5</v>
      </c>
      <c r="Q17" s="266"/>
      <c r="R17" s="266">
        <v>0</v>
      </c>
      <c r="S17" s="266"/>
      <c r="T17" s="266">
        <v>0</v>
      </c>
      <c r="U17" s="266"/>
      <c r="V17" s="239">
        <v>0</v>
      </c>
      <c r="W17" s="272"/>
      <c r="X17" s="267">
        <f>+Y17+Z17</f>
        <v>0</v>
      </c>
      <c r="Y17" s="267">
        <v>-16.5</v>
      </c>
      <c r="Z17" s="267">
        <v>16.5</v>
      </c>
      <c r="AA17" s="267">
        <f>8.25+8.25</f>
        <v>16.5</v>
      </c>
      <c r="AB17" s="267">
        <v>0</v>
      </c>
      <c r="AC17" s="267"/>
      <c r="AD17" s="267">
        <v>0</v>
      </c>
      <c r="AE17" s="267"/>
      <c r="AF17" s="267">
        <v>38.25</v>
      </c>
      <c r="AG17" s="267">
        <f>8.25-16.5+8.25+15+15</f>
        <v>30</v>
      </c>
      <c r="AH17" s="267">
        <v>8.25</v>
      </c>
      <c r="AI17" s="267">
        <f>8.25+45-30-30-9+8.25</f>
        <v>-7.5</v>
      </c>
      <c r="AJ17" s="267">
        <f>8.25+7.5</f>
        <v>15.75</v>
      </c>
      <c r="AK17" s="267"/>
      <c r="AL17" s="267">
        <v>22.5</v>
      </c>
      <c r="AM17" s="267">
        <f>7.5+8.25</f>
        <v>15.75</v>
      </c>
      <c r="AN17" s="267">
        <v>6.8</v>
      </c>
      <c r="AO17" s="267"/>
      <c r="AP17" s="267">
        <v>0.25</v>
      </c>
      <c r="AQ17" s="267">
        <f>8.25*5-41</f>
        <v>0.25</v>
      </c>
      <c r="AR17" s="267">
        <v>0</v>
      </c>
      <c r="AS17" s="267">
        <f>8.25+8.25+8.25+8.25+8.25+8.25+8.25-30-30-14.5</f>
        <v>-16.75</v>
      </c>
      <c r="AT17" s="267">
        <v>16.7</v>
      </c>
      <c r="AU17" s="267">
        <f>8.25+8.25-30-11+8.25+8.25</f>
        <v>-8</v>
      </c>
      <c r="AV17" s="267">
        <v>24.78</v>
      </c>
      <c r="AW17" s="267"/>
      <c r="AX17" s="267">
        <v>24.78</v>
      </c>
      <c r="AY17" s="267"/>
      <c r="AZ17" s="267">
        <v>0</v>
      </c>
      <c r="BA17" s="267"/>
      <c r="BB17" s="267">
        <v>15.9</v>
      </c>
      <c r="BC17" s="267">
        <f>8.25+8.25+8.25+8.25-11.3-10-20+8.25+7.5</f>
        <v>7.4499999999999993</v>
      </c>
      <c r="BD17" s="267">
        <v>8.5</v>
      </c>
      <c r="BE17" s="267">
        <f>-66+8.25+8.25-8</f>
        <v>-57.5</v>
      </c>
      <c r="BF17" s="267">
        <v>66</v>
      </c>
      <c r="BG17" s="267">
        <v>41.25</v>
      </c>
      <c r="BH17" s="267">
        <v>24.75</v>
      </c>
      <c r="BI17" s="267"/>
      <c r="BJ17" s="267">
        <v>0</v>
      </c>
      <c r="BK17" s="267"/>
      <c r="BL17" s="267">
        <v>0</v>
      </c>
      <c r="BM17" s="267"/>
      <c r="BN17" s="267">
        <v>40.53</v>
      </c>
      <c r="BO17" s="267"/>
      <c r="BP17" s="267">
        <v>24.75</v>
      </c>
      <c r="BQ17" s="267"/>
      <c r="BR17" s="267">
        <v>0</v>
      </c>
      <c r="BS17" s="267"/>
      <c r="BT17" s="267">
        <v>0</v>
      </c>
      <c r="BU17" s="267"/>
      <c r="BV17" s="267">
        <v>0</v>
      </c>
      <c r="BW17" s="267"/>
      <c r="BX17" s="267">
        <v>16.5</v>
      </c>
      <c r="BY17" s="267"/>
      <c r="BZ17" s="267">
        <v>16.5</v>
      </c>
      <c r="CA17" s="267">
        <v>8.3000000000000007</v>
      </c>
      <c r="CB17">
        <v>92</v>
      </c>
      <c r="CH17">
        <v>2.5</v>
      </c>
      <c r="CI17">
        <v>44</v>
      </c>
      <c r="CJ17">
        <v>44.4</v>
      </c>
      <c r="CK17">
        <v>44.4</v>
      </c>
      <c r="CL17">
        <v>66.400000000000006</v>
      </c>
      <c r="CM17">
        <v>66.400000000000006</v>
      </c>
      <c r="CQ17">
        <v>62.1</v>
      </c>
      <c r="CR17">
        <v>62.1</v>
      </c>
      <c r="CS17">
        <v>62.1</v>
      </c>
      <c r="CT17">
        <v>62.1</v>
      </c>
      <c r="CU17">
        <v>62.1</v>
      </c>
      <c r="DA17">
        <v>24</v>
      </c>
      <c r="DB17">
        <v>23</v>
      </c>
      <c r="DC17">
        <v>23.8</v>
      </c>
      <c r="DF17">
        <v>32.200000000000003</v>
      </c>
      <c r="DH17">
        <v>33</v>
      </c>
      <c r="DI17">
        <v>22.4</v>
      </c>
      <c r="DJ17">
        <v>100.3</v>
      </c>
      <c r="DK17">
        <v>100.3</v>
      </c>
      <c r="DL17">
        <v>70</v>
      </c>
      <c r="DM17">
        <v>27.3</v>
      </c>
      <c r="DO17">
        <v>65.5</v>
      </c>
      <c r="DP17">
        <v>21.2</v>
      </c>
      <c r="DQ17">
        <v>21.2</v>
      </c>
      <c r="DR17">
        <v>21.2</v>
      </c>
      <c r="DX17">
        <v>16.5</v>
      </c>
      <c r="DY17">
        <v>38.6</v>
      </c>
      <c r="DZ17">
        <v>9</v>
      </c>
      <c r="EA17">
        <v>33</v>
      </c>
      <c r="EB17">
        <v>3.85</v>
      </c>
      <c r="EC17">
        <v>3.85</v>
      </c>
      <c r="ED17">
        <v>8.3000000000000007</v>
      </c>
      <c r="EE17">
        <v>2</v>
      </c>
      <c r="EF17">
        <v>6.3</v>
      </c>
      <c r="EG17">
        <v>2</v>
      </c>
      <c r="EH17">
        <v>2</v>
      </c>
      <c r="EI17">
        <v>2</v>
      </c>
      <c r="EK17">
        <f t="shared" si="0"/>
        <v>0</v>
      </c>
      <c r="EM17">
        <v>62.1</v>
      </c>
      <c r="EN17">
        <v>62.1</v>
      </c>
      <c r="EO17">
        <v>62.1</v>
      </c>
      <c r="EP17">
        <v>62.1</v>
      </c>
      <c r="EQ17">
        <v>62.1</v>
      </c>
      <c r="ER17">
        <v>62.1</v>
      </c>
      <c r="ES17">
        <v>62.1</v>
      </c>
      <c r="ET17">
        <v>62.1</v>
      </c>
      <c r="EU17">
        <v>62.1</v>
      </c>
      <c r="EV17">
        <v>62.1</v>
      </c>
      <c r="EW17">
        <v>62.1</v>
      </c>
      <c r="EX17">
        <v>62.1</v>
      </c>
      <c r="EY17">
        <v>62.1</v>
      </c>
      <c r="EZ17">
        <v>62.1</v>
      </c>
      <c r="FA17">
        <v>62.1</v>
      </c>
      <c r="FB17">
        <v>62.1</v>
      </c>
      <c r="FC17">
        <v>62.1</v>
      </c>
      <c r="FD17">
        <v>62.1</v>
      </c>
      <c r="FE17">
        <v>62.1</v>
      </c>
      <c r="FF17">
        <v>62.1</v>
      </c>
      <c r="FG17">
        <v>62.1</v>
      </c>
      <c r="FH17">
        <v>62.1</v>
      </c>
      <c r="FI17">
        <v>62.1</v>
      </c>
      <c r="FJ17">
        <v>62.1</v>
      </c>
      <c r="FK17">
        <v>62.1</v>
      </c>
      <c r="FL17">
        <v>62.1</v>
      </c>
      <c r="FM17">
        <v>62.1</v>
      </c>
      <c r="FN17">
        <v>62.1</v>
      </c>
      <c r="FO17">
        <v>62.1</v>
      </c>
      <c r="FP17">
        <v>62.1</v>
      </c>
      <c r="FQ17">
        <v>62.1</v>
      </c>
      <c r="FR17">
        <v>62.1</v>
      </c>
      <c r="FS17">
        <v>62.1</v>
      </c>
      <c r="FT17">
        <v>62.1</v>
      </c>
      <c r="FU17">
        <v>62.1</v>
      </c>
      <c r="FV17">
        <v>62.1</v>
      </c>
      <c r="FW17">
        <v>62.1</v>
      </c>
      <c r="FX17">
        <v>62.1</v>
      </c>
      <c r="FY17">
        <v>62.1</v>
      </c>
    </row>
    <row r="18" spans="1:181">
      <c r="A18" s="7">
        <f>+A17+1</f>
        <v>14</v>
      </c>
      <c r="B18" s="48" t="s">
        <v>1650</v>
      </c>
      <c r="C18" s="48">
        <v>310453508</v>
      </c>
      <c r="D18" s="48">
        <v>310453508</v>
      </c>
      <c r="E18" s="48">
        <v>168969</v>
      </c>
      <c r="F18" s="266">
        <v>0</v>
      </c>
      <c r="G18" s="266">
        <v>0</v>
      </c>
      <c r="H18" s="266">
        <v>0</v>
      </c>
      <c r="I18" s="266">
        <v>-22</v>
      </c>
      <c r="J18" s="266">
        <v>22</v>
      </c>
      <c r="K18" s="266">
        <v>22</v>
      </c>
      <c r="L18" s="266">
        <v>22</v>
      </c>
      <c r="M18" s="266">
        <v>22</v>
      </c>
      <c r="N18" s="266">
        <v>21</v>
      </c>
      <c r="O18" s="266">
        <f>-28.1+21</f>
        <v>-7.1000000000000014</v>
      </c>
      <c r="P18" s="266">
        <v>28.1</v>
      </c>
      <c r="Q18" s="266">
        <v>24</v>
      </c>
      <c r="R18" s="266">
        <v>4.0999999999999996</v>
      </c>
      <c r="S18" s="266">
        <v>4.0999999999999996</v>
      </c>
      <c r="T18" s="266">
        <v>0</v>
      </c>
      <c r="U18" s="266"/>
      <c r="V18" s="266">
        <v>0</v>
      </c>
      <c r="W18" s="266"/>
      <c r="X18" s="266">
        <f>+Y18+Z18</f>
        <v>0</v>
      </c>
      <c r="Y18" s="266">
        <f>-15-5</f>
        <v>-20</v>
      </c>
      <c r="Z18" s="266">
        <v>20</v>
      </c>
      <c r="AA18" s="266">
        <v>20</v>
      </c>
      <c r="AB18" s="266">
        <v>0</v>
      </c>
      <c r="AC18" s="266">
        <v>0</v>
      </c>
      <c r="AD18" s="266">
        <v>0</v>
      </c>
      <c r="AE18" s="266"/>
      <c r="AF18" s="266">
        <v>0</v>
      </c>
      <c r="AG18" s="266"/>
      <c r="AH18" s="266">
        <v>0</v>
      </c>
      <c r="AI18" s="266"/>
      <c r="AJ18" s="266">
        <v>0</v>
      </c>
      <c r="AK18" s="266"/>
      <c r="AL18" s="266">
        <v>33</v>
      </c>
      <c r="AM18" s="266">
        <v>33</v>
      </c>
      <c r="AN18" s="266">
        <v>0</v>
      </c>
      <c r="AO18" s="266">
        <v>0</v>
      </c>
      <c r="AP18" s="266">
        <v>0</v>
      </c>
      <c r="AQ18" s="266"/>
      <c r="AR18" s="266">
        <v>0</v>
      </c>
      <c r="AS18" s="266"/>
      <c r="AT18" s="266">
        <v>0</v>
      </c>
      <c r="AU18" s="266"/>
      <c r="AV18" s="266">
        <v>0</v>
      </c>
      <c r="AW18" s="266">
        <v>-32.200000000000003</v>
      </c>
      <c r="AX18" s="266">
        <v>32.200000000000003</v>
      </c>
      <c r="AY18" s="266">
        <v>31.71</v>
      </c>
      <c r="AZ18" s="266">
        <v>0.5</v>
      </c>
      <c r="BA18" s="266"/>
      <c r="BB18" s="266">
        <v>0.5</v>
      </c>
      <c r="BC18" s="266"/>
      <c r="BD18" s="266">
        <v>0.5</v>
      </c>
      <c r="BE18" s="266"/>
      <c r="BF18" s="266">
        <v>0.5</v>
      </c>
      <c r="BG18" s="266"/>
      <c r="BH18" s="266">
        <v>0.5</v>
      </c>
      <c r="BI18" s="266"/>
      <c r="BJ18" s="266">
        <v>0.5</v>
      </c>
      <c r="BK18" s="266"/>
      <c r="BL18" s="266">
        <v>0.5</v>
      </c>
      <c r="BM18" s="266">
        <v>0</v>
      </c>
      <c r="BN18" s="266">
        <v>0.5</v>
      </c>
      <c r="BO18" s="266"/>
      <c r="BP18" s="266">
        <v>0.5</v>
      </c>
      <c r="BQ18" s="266">
        <v>-52</v>
      </c>
      <c r="BR18" s="266">
        <v>52.5</v>
      </c>
      <c r="BS18" s="266">
        <f>23-74+24+30-1.66</f>
        <v>1.34</v>
      </c>
      <c r="BT18" s="266">
        <v>51.2</v>
      </c>
      <c r="BU18" s="266">
        <v>33</v>
      </c>
      <c r="BV18" s="266">
        <v>18.2</v>
      </c>
      <c r="BW18" s="266"/>
      <c r="BX18" s="266">
        <v>0.2</v>
      </c>
      <c r="BY18" s="283">
        <v>69</v>
      </c>
      <c r="BZ18" s="266">
        <f>+CA18-CD18</f>
        <v>69.199999999999989</v>
      </c>
      <c r="CA18" s="266">
        <v>159.19999999999999</v>
      </c>
      <c r="CB18" s="239">
        <v>135.19999999999999</v>
      </c>
      <c r="CC18" s="272"/>
      <c r="CD18" s="272">
        <v>90</v>
      </c>
      <c r="CH18">
        <v>93.7</v>
      </c>
      <c r="CI18">
        <v>33.700000000000003</v>
      </c>
      <c r="CJ18">
        <v>55.7</v>
      </c>
      <c r="CK18">
        <v>55.7</v>
      </c>
      <c r="CL18">
        <v>5.7</v>
      </c>
      <c r="CM18">
        <v>5.7</v>
      </c>
      <c r="CN18">
        <v>5.7</v>
      </c>
      <c r="CO18">
        <v>10</v>
      </c>
      <c r="CP18">
        <v>10</v>
      </c>
      <c r="CQ18">
        <v>1</v>
      </c>
      <c r="CR18">
        <v>1</v>
      </c>
      <c r="CS18">
        <v>1</v>
      </c>
      <c r="CT18">
        <v>1</v>
      </c>
      <c r="CV18">
        <v>10</v>
      </c>
      <c r="CW18">
        <v>24</v>
      </c>
      <c r="CX18">
        <v>24.75</v>
      </c>
      <c r="CY18">
        <v>40.53</v>
      </c>
      <c r="DA18">
        <v>120.4</v>
      </c>
      <c r="DB18">
        <v>23.8</v>
      </c>
      <c r="DC18">
        <v>21.5</v>
      </c>
      <c r="DF18">
        <v>16.5</v>
      </c>
      <c r="DH18">
        <v>77</v>
      </c>
      <c r="DI18">
        <v>34.799999999999997</v>
      </c>
      <c r="DM18">
        <v>49.5</v>
      </c>
      <c r="DO18">
        <v>108.8</v>
      </c>
      <c r="DP18">
        <v>22.5</v>
      </c>
      <c r="DQ18">
        <v>22.5</v>
      </c>
      <c r="DR18">
        <v>22.5</v>
      </c>
      <c r="DX18">
        <v>20</v>
      </c>
      <c r="DZ18">
        <v>39.5</v>
      </c>
      <c r="EA18">
        <v>153.5</v>
      </c>
      <c r="EB18">
        <v>2</v>
      </c>
      <c r="EC18">
        <v>2</v>
      </c>
      <c r="ED18">
        <v>21</v>
      </c>
      <c r="EE18">
        <v>8.25</v>
      </c>
      <c r="EF18">
        <v>8.3000000000000007</v>
      </c>
      <c r="EG18">
        <v>5</v>
      </c>
      <c r="EH18">
        <v>5</v>
      </c>
      <c r="EI18">
        <v>8.25</v>
      </c>
      <c r="EK18">
        <f t="shared" si="0"/>
        <v>-3.25</v>
      </c>
    </row>
    <row r="19" spans="1:181">
      <c r="A19" s="7">
        <f t="shared" ref="A19:A27" si="1">+A18+1</f>
        <v>15</v>
      </c>
      <c r="B19" s="48" t="s">
        <v>1651</v>
      </c>
      <c r="C19" s="48">
        <v>310453174</v>
      </c>
      <c r="D19" s="48">
        <v>310453174</v>
      </c>
      <c r="E19" s="48">
        <v>337796</v>
      </c>
      <c r="F19" s="266">
        <v>0</v>
      </c>
      <c r="G19" s="266">
        <v>0</v>
      </c>
      <c r="H19" s="266">
        <v>0</v>
      </c>
      <c r="I19" s="266">
        <v>-11</v>
      </c>
      <c r="J19" s="266">
        <v>11</v>
      </c>
      <c r="K19" s="266">
        <v>11</v>
      </c>
      <c r="L19" s="266">
        <v>0</v>
      </c>
      <c r="M19" s="266"/>
      <c r="N19" s="266">
        <v>0</v>
      </c>
      <c r="O19" s="266">
        <v>-3.2</v>
      </c>
      <c r="P19" s="266">
        <v>3.2</v>
      </c>
      <c r="Q19" s="266"/>
      <c r="R19" s="266">
        <v>3.2</v>
      </c>
      <c r="S19" s="266">
        <v>3.2</v>
      </c>
      <c r="T19" s="266">
        <v>0</v>
      </c>
      <c r="U19" s="266"/>
      <c r="V19" s="266">
        <v>0</v>
      </c>
      <c r="W19" s="266"/>
      <c r="X19" s="266">
        <v>0</v>
      </c>
      <c r="Y19" s="266"/>
      <c r="Z19" s="266">
        <v>0</v>
      </c>
      <c r="AA19" s="266">
        <v>0</v>
      </c>
      <c r="AB19" s="266">
        <v>0</v>
      </c>
      <c r="AC19" s="266">
        <v>0</v>
      </c>
      <c r="AD19" s="266">
        <v>0</v>
      </c>
      <c r="AE19" s="266"/>
      <c r="AF19" s="266">
        <v>0</v>
      </c>
      <c r="AG19" s="266"/>
      <c r="AH19" s="266">
        <v>0</v>
      </c>
      <c r="AI19" s="266"/>
      <c r="AJ19" s="266">
        <v>0</v>
      </c>
      <c r="AK19" s="266"/>
      <c r="AL19" s="266">
        <v>0</v>
      </c>
      <c r="AM19" s="266">
        <v>0</v>
      </c>
      <c r="AN19" s="266">
        <v>0</v>
      </c>
      <c r="AO19" s="266">
        <v>0</v>
      </c>
      <c r="AP19" s="266">
        <v>24</v>
      </c>
      <c r="AQ19" s="266">
        <v>24</v>
      </c>
      <c r="AR19" s="266">
        <v>0</v>
      </c>
      <c r="AS19" s="266"/>
      <c r="AT19" s="266">
        <v>0</v>
      </c>
      <c r="AU19" s="266"/>
      <c r="AV19" s="266">
        <v>0</v>
      </c>
      <c r="AW19" s="266">
        <v>-32.200000000000003</v>
      </c>
      <c r="AX19" s="266">
        <v>32.200000000000003</v>
      </c>
      <c r="AY19" s="266">
        <v>32.200000000000003</v>
      </c>
      <c r="AZ19" s="266">
        <v>0</v>
      </c>
      <c r="BA19" s="266"/>
      <c r="BB19" s="266">
        <v>0</v>
      </c>
      <c r="BC19" s="266"/>
      <c r="BD19" s="266">
        <v>0</v>
      </c>
      <c r="BE19" s="266"/>
      <c r="BF19" s="266">
        <v>50</v>
      </c>
      <c r="BG19" s="266"/>
      <c r="BH19" s="266">
        <v>0</v>
      </c>
      <c r="BI19" s="266">
        <v>-50</v>
      </c>
      <c r="BJ19" s="266">
        <v>50</v>
      </c>
      <c r="BK19" s="266">
        <v>50</v>
      </c>
      <c r="BL19" s="266">
        <v>0</v>
      </c>
      <c r="BM19" s="266">
        <v>0</v>
      </c>
      <c r="BN19" s="266">
        <v>0</v>
      </c>
      <c r="BO19" s="266"/>
      <c r="BP19" s="266">
        <v>0</v>
      </c>
      <c r="BQ19" s="266">
        <v>-32</v>
      </c>
      <c r="BR19" s="266">
        <v>32.04</v>
      </c>
      <c r="BS19" s="266">
        <f>25-1.66</f>
        <v>23.34</v>
      </c>
      <c r="BT19" s="266">
        <v>8.6999999999999993</v>
      </c>
      <c r="BU19" s="266">
        <v>-200</v>
      </c>
      <c r="BV19" s="266">
        <v>209</v>
      </c>
      <c r="BW19" s="266">
        <v>100</v>
      </c>
      <c r="BX19" s="266">
        <f>24+BZ19</f>
        <v>190</v>
      </c>
      <c r="BY19" s="266"/>
      <c r="BZ19" s="266">
        <f>+CA19+CC19-CD19</f>
        <v>166</v>
      </c>
      <c r="CA19" s="266">
        <v>211</v>
      </c>
      <c r="CB19" s="239">
        <v>111.9</v>
      </c>
      <c r="CC19" s="272">
        <f>21+24</f>
        <v>45</v>
      </c>
      <c r="CD19" s="272">
        <v>90</v>
      </c>
      <c r="CH19">
        <v>116</v>
      </c>
      <c r="CI19">
        <v>92</v>
      </c>
      <c r="CJ19">
        <v>92</v>
      </c>
      <c r="CK19">
        <v>92</v>
      </c>
      <c r="CL19">
        <v>8.3000000000000007</v>
      </c>
      <c r="CM19">
        <v>16.5</v>
      </c>
      <c r="CN19">
        <v>16.5</v>
      </c>
      <c r="CO19">
        <v>18.2</v>
      </c>
      <c r="CP19">
        <v>51.2</v>
      </c>
      <c r="CQ19">
        <v>25</v>
      </c>
      <c r="CR19">
        <v>25</v>
      </c>
      <c r="CS19">
        <v>25</v>
      </c>
      <c r="CT19">
        <v>25</v>
      </c>
      <c r="CU19">
        <v>25</v>
      </c>
      <c r="CV19">
        <v>51.2</v>
      </c>
      <c r="CW19">
        <v>52.5</v>
      </c>
      <c r="CX19">
        <v>0.5</v>
      </c>
      <c r="CY19">
        <v>0.5</v>
      </c>
      <c r="DA19">
        <v>30.2</v>
      </c>
      <c r="DB19">
        <v>21.5</v>
      </c>
      <c r="DC19">
        <v>97.3</v>
      </c>
      <c r="DD19">
        <v>52.3</v>
      </c>
      <c r="DE19">
        <v>52.3</v>
      </c>
      <c r="DF19">
        <v>21.5</v>
      </c>
      <c r="DO19">
        <v>19</v>
      </c>
      <c r="DP19">
        <v>83.7</v>
      </c>
      <c r="DQ19">
        <v>83.7</v>
      </c>
      <c r="DR19">
        <v>83.7</v>
      </c>
      <c r="DX19">
        <v>76</v>
      </c>
      <c r="DZ19">
        <v>76.5</v>
      </c>
      <c r="EB19">
        <v>4.0999999999999996</v>
      </c>
      <c r="EC19">
        <v>7.5</v>
      </c>
      <c r="ED19">
        <v>29.9</v>
      </c>
      <c r="EE19">
        <v>22</v>
      </c>
      <c r="EF19">
        <v>2</v>
      </c>
      <c r="EI19">
        <v>4.5</v>
      </c>
      <c r="EK19">
        <f t="shared" si="0"/>
        <v>-4.5</v>
      </c>
      <c r="EM19">
        <v>25</v>
      </c>
      <c r="EN19">
        <v>25</v>
      </c>
      <c r="EO19">
        <v>25</v>
      </c>
      <c r="EP19">
        <v>25</v>
      </c>
      <c r="EQ19">
        <v>25</v>
      </c>
    </row>
    <row r="20" spans="1:181">
      <c r="A20" s="7">
        <f t="shared" si="1"/>
        <v>16</v>
      </c>
      <c r="B20" s="48" t="s">
        <v>1707</v>
      </c>
      <c r="C20" s="48">
        <v>310455544</v>
      </c>
      <c r="D20" s="48">
        <v>310455544</v>
      </c>
      <c r="E20" s="48">
        <v>845517</v>
      </c>
      <c r="F20" s="266">
        <v>0</v>
      </c>
      <c r="G20" s="266">
        <v>0</v>
      </c>
      <c r="H20" s="266">
        <v>0</v>
      </c>
      <c r="I20" s="266">
        <v>0</v>
      </c>
      <c r="J20" s="266">
        <v>0</v>
      </c>
      <c r="K20" s="266"/>
      <c r="L20" s="266">
        <v>0</v>
      </c>
      <c r="M20" s="266"/>
      <c r="N20" s="266">
        <v>0</v>
      </c>
      <c r="O20" s="266">
        <v>0</v>
      </c>
      <c r="P20" s="266">
        <v>0</v>
      </c>
      <c r="Q20" s="266"/>
      <c r="R20" s="266">
        <v>0</v>
      </c>
      <c r="S20" s="266">
        <v>0</v>
      </c>
      <c r="T20" s="266">
        <v>0</v>
      </c>
      <c r="U20" s="266"/>
      <c r="V20" s="266">
        <v>0</v>
      </c>
      <c r="W20" s="266"/>
      <c r="X20" s="266">
        <v>0</v>
      </c>
      <c r="Y20" s="266"/>
      <c r="Z20" s="266">
        <v>0</v>
      </c>
      <c r="AA20" s="266">
        <v>0</v>
      </c>
      <c r="AB20" s="266">
        <v>0</v>
      </c>
      <c r="AC20" s="266">
        <v>0</v>
      </c>
      <c r="AD20" s="266">
        <v>0</v>
      </c>
      <c r="AE20" s="266"/>
      <c r="AF20" s="266">
        <v>0</v>
      </c>
      <c r="AG20" s="266"/>
      <c r="AH20" s="266">
        <v>0</v>
      </c>
      <c r="AI20" s="266"/>
      <c r="AJ20" s="266">
        <v>0</v>
      </c>
      <c r="AK20" s="266"/>
      <c r="AL20" s="266">
        <v>0</v>
      </c>
      <c r="AM20" s="266">
        <v>0</v>
      </c>
      <c r="AN20" s="266">
        <v>0</v>
      </c>
      <c r="AO20" s="266">
        <v>0</v>
      </c>
      <c r="AP20" s="266">
        <v>0</v>
      </c>
      <c r="AQ20" s="266"/>
      <c r="AR20" s="266">
        <v>0</v>
      </c>
      <c r="AS20" s="266"/>
      <c r="AT20" s="266">
        <v>0</v>
      </c>
      <c r="AU20" s="266"/>
      <c r="AV20" s="266">
        <v>0</v>
      </c>
      <c r="AW20" s="266">
        <v>-16.5</v>
      </c>
      <c r="AX20" s="266">
        <v>16.5</v>
      </c>
      <c r="AY20" s="266">
        <v>-2.5</v>
      </c>
      <c r="AZ20" s="266">
        <v>19</v>
      </c>
      <c r="BA20" s="266"/>
      <c r="BB20" s="266">
        <v>23</v>
      </c>
      <c r="BC20" s="266"/>
      <c r="BD20" s="266">
        <v>23</v>
      </c>
      <c r="BE20" s="266">
        <f>-24+23</f>
        <v>-1</v>
      </c>
      <c r="BF20" s="266">
        <v>24</v>
      </c>
      <c r="BG20" s="266">
        <v>24</v>
      </c>
      <c r="BH20" s="266">
        <v>0</v>
      </c>
      <c r="BI20" s="266"/>
      <c r="BJ20" s="266">
        <v>0</v>
      </c>
      <c r="BK20" s="266"/>
      <c r="BL20" s="266">
        <v>0</v>
      </c>
      <c r="BM20" s="266">
        <v>-25.9</v>
      </c>
      <c r="BN20" s="266">
        <v>25.9</v>
      </c>
      <c r="BO20" s="266"/>
      <c r="BP20" s="266">
        <v>25.9</v>
      </c>
      <c r="BQ20" s="266">
        <v>26</v>
      </c>
      <c r="BR20" s="266">
        <v>0</v>
      </c>
      <c r="BS20" s="266">
        <v>-105.5</v>
      </c>
      <c r="BT20" s="266">
        <v>105.5</v>
      </c>
      <c r="BU20" s="266">
        <f>-100-100</f>
        <v>-200</v>
      </c>
      <c r="BV20" s="266">
        <v>305.7</v>
      </c>
      <c r="BW20" s="266">
        <v>100</v>
      </c>
      <c r="BX20" s="266">
        <f>+BZ20-BY20</f>
        <v>250.5</v>
      </c>
      <c r="BY20" s="266">
        <v>10</v>
      </c>
      <c r="BZ20" s="266">
        <f>+CA20+CC20-CD20</f>
        <v>260.5</v>
      </c>
      <c r="CA20" s="266">
        <v>313.5</v>
      </c>
      <c r="CB20" s="239">
        <v>338.5</v>
      </c>
      <c r="CC20" s="272">
        <f>24+22+18+33</f>
        <v>97</v>
      </c>
      <c r="CD20" s="272">
        <f>100+50</f>
        <v>150</v>
      </c>
      <c r="CH20">
        <v>153.9</v>
      </c>
      <c r="CI20">
        <v>116</v>
      </c>
      <c r="CJ20">
        <v>135.19999999999999</v>
      </c>
      <c r="CK20">
        <v>135.19999999999999</v>
      </c>
      <c r="CL20">
        <v>159.19999999999999</v>
      </c>
      <c r="CM20">
        <v>69.2</v>
      </c>
      <c r="CN20">
        <v>0.2</v>
      </c>
      <c r="CO20">
        <v>209</v>
      </c>
      <c r="CP20">
        <v>8.6999999999999993</v>
      </c>
      <c r="CQ20">
        <v>2.2000000000000002</v>
      </c>
      <c r="CR20">
        <v>2.2000000000000002</v>
      </c>
      <c r="CS20">
        <v>2.2000000000000002</v>
      </c>
      <c r="CT20">
        <v>2.2000000000000002</v>
      </c>
      <c r="CU20">
        <v>2.2000000000000002</v>
      </c>
      <c r="CV20">
        <v>8.6999999999999993</v>
      </c>
      <c r="CW20">
        <v>32.04</v>
      </c>
      <c r="CX20">
        <v>25.9</v>
      </c>
      <c r="CY20">
        <v>25.9</v>
      </c>
      <c r="DA20">
        <v>128</v>
      </c>
      <c r="DF20">
        <v>41.7</v>
      </c>
      <c r="EB20">
        <v>3.2</v>
      </c>
      <c r="EC20">
        <v>28.1</v>
      </c>
      <c r="ED20">
        <v>100</v>
      </c>
      <c r="EE20">
        <v>22</v>
      </c>
      <c r="EF20">
        <v>22</v>
      </c>
      <c r="EI20">
        <v>19.600000000000001</v>
      </c>
      <c r="EK20">
        <f t="shared" si="0"/>
        <v>-19.600000000000001</v>
      </c>
      <c r="EM20">
        <v>2.2000000000000002</v>
      </c>
      <c r="EN20">
        <v>2.2000000000000002</v>
      </c>
      <c r="EO20">
        <v>2.2000000000000002</v>
      </c>
      <c r="EP20">
        <v>2.2000000000000002</v>
      </c>
      <c r="EQ20">
        <f>2.2+17.5</f>
        <v>19.7</v>
      </c>
      <c r="ER20">
        <v>19.7</v>
      </c>
      <c r="ES20">
        <v>19.5</v>
      </c>
      <c r="ET20">
        <f>2.2+17.5</f>
        <v>19.7</v>
      </c>
      <c r="EU20">
        <v>19.7</v>
      </c>
      <c r="EV20">
        <v>19.7</v>
      </c>
      <c r="EW20">
        <v>19.7</v>
      </c>
      <c r="EX20">
        <v>19.7</v>
      </c>
      <c r="EY20">
        <v>19.7</v>
      </c>
      <c r="EZ20">
        <v>19.7</v>
      </c>
      <c r="FA20">
        <v>19.7</v>
      </c>
      <c r="FB20">
        <v>19.7</v>
      </c>
      <c r="FC20">
        <v>19.7</v>
      </c>
      <c r="FD20">
        <v>19.7</v>
      </c>
      <c r="FE20">
        <v>14.7</v>
      </c>
      <c r="FF20">
        <v>14.7</v>
      </c>
      <c r="FG20">
        <v>14.7</v>
      </c>
      <c r="FH20">
        <v>14.7</v>
      </c>
      <c r="FI20">
        <v>14.7</v>
      </c>
      <c r="FJ20">
        <v>14.7</v>
      </c>
      <c r="FK20">
        <v>14.7</v>
      </c>
      <c r="FL20">
        <v>14.7</v>
      </c>
      <c r="FM20">
        <v>14.7</v>
      </c>
      <c r="FN20">
        <v>14.7</v>
      </c>
      <c r="FO20">
        <v>14.7</v>
      </c>
      <c r="FP20">
        <v>14.7</v>
      </c>
      <c r="FQ20">
        <v>14.7</v>
      </c>
      <c r="FR20">
        <v>14.7</v>
      </c>
      <c r="FS20">
        <v>14.7</v>
      </c>
      <c r="FT20">
        <v>14.7</v>
      </c>
      <c r="FU20">
        <v>14.7</v>
      </c>
      <c r="FV20">
        <v>14.7</v>
      </c>
      <c r="FW20">
        <v>14.7</v>
      </c>
      <c r="FX20">
        <v>14.7</v>
      </c>
      <c r="FY20">
        <v>14.7</v>
      </c>
    </row>
    <row r="21" spans="1:181">
      <c r="A21" s="7">
        <f t="shared" si="1"/>
        <v>17</v>
      </c>
      <c r="B21" s="48" t="s">
        <v>1652</v>
      </c>
      <c r="C21" s="48">
        <v>310455536</v>
      </c>
      <c r="D21" s="48">
        <v>310455536</v>
      </c>
      <c r="E21" s="48">
        <v>317083</v>
      </c>
      <c r="F21" s="266">
        <v>0</v>
      </c>
      <c r="G21" s="266">
        <v>0</v>
      </c>
      <c r="H21" s="266">
        <v>0</v>
      </c>
      <c r="I21" s="266">
        <v>0</v>
      </c>
      <c r="J21" s="266">
        <v>0</v>
      </c>
      <c r="K21" s="266"/>
      <c r="L21" s="266">
        <v>0</v>
      </c>
      <c r="M21" s="266"/>
      <c r="N21" s="266">
        <v>0</v>
      </c>
      <c r="O21" s="266">
        <v>-1.92</v>
      </c>
      <c r="P21" s="266">
        <v>1.92</v>
      </c>
      <c r="Q21" s="266"/>
      <c r="R21" s="266">
        <v>1.92</v>
      </c>
      <c r="S21" s="266">
        <v>1.9590000000000001</v>
      </c>
      <c r="T21" s="266">
        <v>0</v>
      </c>
      <c r="U21" s="266"/>
      <c r="V21" s="266">
        <v>0</v>
      </c>
      <c r="W21" s="266"/>
      <c r="X21" s="266">
        <v>0</v>
      </c>
      <c r="Y21" s="266"/>
      <c r="Z21" s="266">
        <v>0</v>
      </c>
      <c r="AA21" s="266">
        <v>0</v>
      </c>
      <c r="AB21" s="266">
        <v>0</v>
      </c>
      <c r="AC21" s="266">
        <v>0</v>
      </c>
      <c r="AD21" s="266">
        <v>0</v>
      </c>
      <c r="AE21" s="266"/>
      <c r="AF21" s="266">
        <v>0</v>
      </c>
      <c r="AG21" s="266"/>
      <c r="AH21" s="266">
        <v>0</v>
      </c>
      <c r="AI21" s="266"/>
      <c r="AJ21" s="266">
        <v>0</v>
      </c>
      <c r="AK21" s="266"/>
      <c r="AL21" s="266">
        <v>0</v>
      </c>
      <c r="AM21" s="266">
        <v>0</v>
      </c>
      <c r="AN21" s="266">
        <v>0</v>
      </c>
      <c r="AO21" s="266">
        <v>0</v>
      </c>
      <c r="AP21" s="266">
        <v>0</v>
      </c>
      <c r="AQ21" s="266">
        <v>0</v>
      </c>
      <c r="AR21" s="266">
        <v>0</v>
      </c>
      <c r="AS21" s="266"/>
      <c r="AT21" s="266">
        <v>0</v>
      </c>
      <c r="AU21" s="266"/>
      <c r="AV21" s="266">
        <v>0</v>
      </c>
      <c r="AW21" s="266">
        <v>-21.5</v>
      </c>
      <c r="AX21" s="266">
        <v>21.5</v>
      </c>
      <c r="AY21" s="266">
        <f>24-2.5</f>
        <v>21.5</v>
      </c>
      <c r="AZ21" s="266">
        <v>0</v>
      </c>
      <c r="BA21" s="266"/>
      <c r="BB21" s="266">
        <v>23.8</v>
      </c>
      <c r="BC21" s="266"/>
      <c r="BD21" s="266">
        <v>23.8</v>
      </c>
      <c r="BE21" s="266">
        <f>-59.8-59.8+23</f>
        <v>-96.6</v>
      </c>
      <c r="BF21" s="266">
        <v>120.4</v>
      </c>
      <c r="BG21" s="266"/>
      <c r="BH21" s="266">
        <v>120.4</v>
      </c>
      <c r="BI21" s="266">
        <f>10+33</f>
        <v>43</v>
      </c>
      <c r="BJ21" s="266">
        <v>77.400000000000006</v>
      </c>
      <c r="BK21" s="266">
        <v>21</v>
      </c>
      <c r="BL21" s="266">
        <v>56.4</v>
      </c>
      <c r="BM21" s="266">
        <f>-59.8-59.8-26+28+28</f>
        <v>-89.6</v>
      </c>
      <c r="BN21" s="266">
        <v>146</v>
      </c>
      <c r="BO21" s="266">
        <f>33+17+19.2</f>
        <v>69.2</v>
      </c>
      <c r="BP21" s="266">
        <v>76.8</v>
      </c>
      <c r="BQ21" s="266">
        <f>-22+24+22+6.5+24</f>
        <v>54.5</v>
      </c>
      <c r="BR21" s="266">
        <f>+BS21+BT21</f>
        <v>22.340000000000003</v>
      </c>
      <c r="BS21" s="266">
        <f>-60-1.66+24</f>
        <v>-37.659999999999997</v>
      </c>
      <c r="BT21" s="266">
        <v>60</v>
      </c>
      <c r="BU21" s="266">
        <f>22+30-100</f>
        <v>-48</v>
      </c>
      <c r="BV21" s="266">
        <v>108</v>
      </c>
      <c r="BW21" s="266">
        <v>100</v>
      </c>
      <c r="BX21" s="266">
        <f>+BZ21-BY21</f>
        <v>53</v>
      </c>
      <c r="BY21" s="283">
        <f>90+100</f>
        <v>190</v>
      </c>
      <c r="BZ21" s="266">
        <v>243</v>
      </c>
      <c r="CA21" s="266">
        <v>432.3</v>
      </c>
      <c r="CB21" s="239">
        <v>265.39999999999998</v>
      </c>
      <c r="CC21" s="272">
        <f>25+27+24</f>
        <v>76</v>
      </c>
      <c r="CD21" s="272">
        <f>250+15</f>
        <v>265</v>
      </c>
      <c r="CH21">
        <v>161</v>
      </c>
      <c r="CI21">
        <v>208</v>
      </c>
      <c r="CJ21">
        <v>111.9</v>
      </c>
      <c r="CK21">
        <v>111.9</v>
      </c>
      <c r="CL21">
        <v>211</v>
      </c>
      <c r="CM21">
        <v>166</v>
      </c>
      <c r="CN21">
        <v>190</v>
      </c>
      <c r="CO21">
        <v>305.7</v>
      </c>
      <c r="CP21">
        <v>105.5</v>
      </c>
      <c r="CQ21">
        <v>35</v>
      </c>
      <c r="CR21">
        <v>35</v>
      </c>
      <c r="CS21">
        <v>35</v>
      </c>
      <c r="CT21">
        <v>35</v>
      </c>
      <c r="CU21">
        <v>35</v>
      </c>
      <c r="CV21">
        <v>105.5</v>
      </c>
      <c r="CW21">
        <v>22.34</v>
      </c>
      <c r="CX21">
        <v>76.8</v>
      </c>
      <c r="CY21">
        <v>146</v>
      </c>
      <c r="CZ21">
        <v>56.4</v>
      </c>
      <c r="DA21">
        <v>155.30000000000001</v>
      </c>
      <c r="DF21">
        <v>22</v>
      </c>
      <c r="DG21">
        <v>87</v>
      </c>
      <c r="EB21">
        <v>2</v>
      </c>
      <c r="EC21">
        <v>3.2</v>
      </c>
      <c r="EF21">
        <v>11</v>
      </c>
      <c r="EK21">
        <f t="shared" si="0"/>
        <v>0</v>
      </c>
      <c r="EM21">
        <v>35</v>
      </c>
      <c r="EN21">
        <v>35</v>
      </c>
      <c r="EO21">
        <v>35</v>
      </c>
      <c r="EP21">
        <v>35</v>
      </c>
      <c r="EQ21">
        <v>35</v>
      </c>
      <c r="ER21">
        <v>35</v>
      </c>
      <c r="ES21">
        <v>35</v>
      </c>
      <c r="ET21">
        <v>35</v>
      </c>
      <c r="EU21">
        <v>35</v>
      </c>
      <c r="EV21">
        <v>35</v>
      </c>
      <c r="EW21">
        <v>35</v>
      </c>
      <c r="EX21">
        <v>35</v>
      </c>
      <c r="EY21">
        <v>35</v>
      </c>
      <c r="EZ21">
        <v>35</v>
      </c>
      <c r="FA21">
        <v>35</v>
      </c>
      <c r="FB21">
        <v>35</v>
      </c>
      <c r="FC21">
        <v>35</v>
      </c>
      <c r="FD21">
        <v>36</v>
      </c>
      <c r="FE21">
        <v>36</v>
      </c>
      <c r="FF21">
        <v>36</v>
      </c>
      <c r="FG21">
        <v>36</v>
      </c>
      <c r="FH21">
        <v>36</v>
      </c>
      <c r="FI21">
        <v>36</v>
      </c>
      <c r="FJ21">
        <v>0</v>
      </c>
    </row>
    <row r="22" spans="1:181">
      <c r="A22" s="7">
        <f t="shared" si="1"/>
        <v>18</v>
      </c>
      <c r="B22" s="48" t="s">
        <v>931</v>
      </c>
      <c r="C22" s="48">
        <v>310495320</v>
      </c>
      <c r="D22" s="48">
        <v>310495320</v>
      </c>
      <c r="E22" s="48">
        <v>170580</v>
      </c>
      <c r="F22" s="268">
        <v>0</v>
      </c>
      <c r="G22" s="268">
        <v>0</v>
      </c>
      <c r="H22" s="268">
        <v>0</v>
      </c>
      <c r="I22" s="268">
        <v>0</v>
      </c>
      <c r="J22" s="268">
        <v>0</v>
      </c>
      <c r="K22" s="268"/>
      <c r="L22" s="268">
        <v>0</v>
      </c>
      <c r="M22" s="268"/>
      <c r="N22" s="268">
        <v>0</v>
      </c>
      <c r="O22" s="268">
        <v>-25.1</v>
      </c>
      <c r="P22" s="268">
        <v>25.15</v>
      </c>
      <c r="Q22" s="268"/>
      <c r="R22" s="268">
        <v>25.15</v>
      </c>
      <c r="S22" s="268">
        <f>22+3.15</f>
        <v>25.15</v>
      </c>
      <c r="T22" s="268">
        <v>0</v>
      </c>
      <c r="U22" s="268"/>
      <c r="V22" s="268">
        <v>0</v>
      </c>
      <c r="W22" s="268"/>
      <c r="X22" s="268">
        <v>0</v>
      </c>
      <c r="Y22" s="268"/>
      <c r="Z22" s="268">
        <v>0</v>
      </c>
      <c r="AA22" s="268">
        <v>0</v>
      </c>
      <c r="AB22" s="268">
        <v>0</v>
      </c>
      <c r="AC22" s="268">
        <v>0</v>
      </c>
      <c r="AD22" s="268">
        <v>0</v>
      </c>
      <c r="AE22" s="268"/>
      <c r="AF22" s="268">
        <v>0</v>
      </c>
      <c r="AG22" s="268"/>
      <c r="AH22" s="268">
        <v>0</v>
      </c>
      <c r="AI22" s="268"/>
      <c r="AJ22" s="268">
        <v>0</v>
      </c>
      <c r="AK22" s="268"/>
      <c r="AL22" s="268">
        <v>0</v>
      </c>
      <c r="AM22" s="268">
        <v>0</v>
      </c>
      <c r="AN22" s="268">
        <v>0</v>
      </c>
      <c r="AO22" s="268">
        <v>0</v>
      </c>
      <c r="AP22" s="268">
        <v>0</v>
      </c>
      <c r="AQ22" s="268">
        <v>-23</v>
      </c>
      <c r="AR22" s="268">
        <v>23</v>
      </c>
      <c r="AS22" s="268">
        <v>23</v>
      </c>
      <c r="AT22" s="268">
        <v>0</v>
      </c>
      <c r="AU22" s="268">
        <v>-20</v>
      </c>
      <c r="AV22" s="268">
        <v>20</v>
      </c>
      <c r="AW22" s="268">
        <f>-41.7+20</f>
        <v>-21.700000000000003</v>
      </c>
      <c r="AX22" s="268">
        <v>41.7</v>
      </c>
      <c r="AY22" s="268">
        <f>21+23-2.5</f>
        <v>41.5</v>
      </c>
      <c r="AZ22" s="268">
        <v>0</v>
      </c>
      <c r="BA22" s="268"/>
      <c r="BB22" s="268">
        <v>0</v>
      </c>
      <c r="BC22" s="268"/>
      <c r="BD22" s="268">
        <v>0</v>
      </c>
      <c r="BE22" s="268">
        <v>-30</v>
      </c>
      <c r="BF22" s="268">
        <v>30.2</v>
      </c>
      <c r="BG22" s="268"/>
      <c r="BH22" s="268">
        <v>30.2</v>
      </c>
      <c r="BI22" s="268">
        <f>11.5+23-100</f>
        <v>-65.5</v>
      </c>
      <c r="BJ22" s="268">
        <v>95.7</v>
      </c>
      <c r="BK22" s="268">
        <f>-100-90+21+22</f>
        <v>-147</v>
      </c>
      <c r="BL22" s="268">
        <v>242.7</v>
      </c>
      <c r="BM22" s="268">
        <f>-400-1+28+23+32+20+22</f>
        <v>-276</v>
      </c>
      <c r="BN22" s="268">
        <v>518.70000000000005</v>
      </c>
      <c r="BO22" s="268">
        <f>22+20+28+24</f>
        <v>94</v>
      </c>
      <c r="BP22" s="268">
        <f>+BQ22+BR22</f>
        <v>424.69</v>
      </c>
      <c r="BQ22" s="268">
        <v>30</v>
      </c>
      <c r="BR22" s="268">
        <f>+BS22+BT22</f>
        <v>394.69</v>
      </c>
      <c r="BS22" s="268">
        <f>22+23+23-1.66-1.1-0.25+33+23+23</f>
        <v>143.99</v>
      </c>
      <c r="BT22" s="268">
        <v>250.7</v>
      </c>
      <c r="BU22" s="268">
        <f>22+22+22+33+2+32+33-100+22</f>
        <v>88</v>
      </c>
      <c r="BV22" s="268">
        <v>163</v>
      </c>
      <c r="BW22" s="268">
        <v>100</v>
      </c>
      <c r="BX22" s="268"/>
      <c r="BY22" s="284"/>
      <c r="BZ22" s="268"/>
      <c r="CA22" s="268"/>
      <c r="CB22" s="249"/>
      <c r="CC22" s="272"/>
      <c r="CD22" s="272"/>
      <c r="CO22">
        <v>108</v>
      </c>
      <c r="CP22">
        <v>60</v>
      </c>
      <c r="CV22">
        <v>60</v>
      </c>
      <c r="CW22">
        <v>394.7</v>
      </c>
      <c r="CX22">
        <v>424.7</v>
      </c>
      <c r="CY22">
        <v>518.70000000000005</v>
      </c>
      <c r="CZ22">
        <v>242.7</v>
      </c>
      <c r="DF22">
        <v>150.80000000000001</v>
      </c>
      <c r="DG22">
        <v>190.8</v>
      </c>
      <c r="EB22">
        <v>25.1</v>
      </c>
      <c r="EC22">
        <v>2</v>
      </c>
      <c r="EF22">
        <v>22</v>
      </c>
      <c r="EK22">
        <f t="shared" si="0"/>
        <v>0</v>
      </c>
    </row>
    <row r="23" spans="1:181">
      <c r="A23" s="7">
        <f t="shared" si="1"/>
        <v>19</v>
      </c>
      <c r="B23" s="48" t="s">
        <v>551</v>
      </c>
      <c r="C23" s="48">
        <v>310495337</v>
      </c>
      <c r="D23" s="48">
        <v>310495337</v>
      </c>
      <c r="E23" s="48">
        <v>396479</v>
      </c>
      <c r="F23" s="268">
        <v>0</v>
      </c>
      <c r="G23" s="268">
        <v>0</v>
      </c>
      <c r="H23" s="268">
        <v>0</v>
      </c>
      <c r="I23" s="268">
        <v>0</v>
      </c>
      <c r="J23" s="268">
        <v>0</v>
      </c>
      <c r="K23" s="268"/>
      <c r="L23" s="268">
        <v>0</v>
      </c>
      <c r="M23" s="268"/>
      <c r="N23" s="268">
        <v>0</v>
      </c>
      <c r="O23" s="268">
        <v>0</v>
      </c>
      <c r="P23" s="268">
        <v>0</v>
      </c>
      <c r="Q23" s="268"/>
      <c r="R23" s="268">
        <v>0</v>
      </c>
      <c r="S23" s="268">
        <v>0</v>
      </c>
      <c r="T23" s="268">
        <v>0</v>
      </c>
      <c r="U23" s="268"/>
      <c r="V23" s="268">
        <v>0</v>
      </c>
      <c r="W23" s="268"/>
      <c r="X23" s="268">
        <v>0</v>
      </c>
      <c r="Y23" s="268"/>
      <c r="Z23" s="268">
        <v>0</v>
      </c>
      <c r="AA23" s="268">
        <v>0</v>
      </c>
      <c r="AB23" s="268">
        <v>0</v>
      </c>
      <c r="AC23" s="268">
        <v>0</v>
      </c>
      <c r="AD23" s="268">
        <v>0</v>
      </c>
      <c r="AE23" s="268">
        <v>-32</v>
      </c>
      <c r="AF23" s="268">
        <v>32</v>
      </c>
      <c r="AG23" s="268"/>
      <c r="AH23" s="268">
        <v>0</v>
      </c>
      <c r="AI23" s="268"/>
      <c r="AJ23" s="268">
        <v>0</v>
      </c>
      <c r="AK23" s="268"/>
      <c r="AL23" s="268">
        <v>0</v>
      </c>
      <c r="AM23" s="268">
        <v>-10</v>
      </c>
      <c r="AN23" s="268">
        <v>10</v>
      </c>
      <c r="AO23" s="268">
        <v>10</v>
      </c>
      <c r="AP23" s="268">
        <v>0</v>
      </c>
      <c r="AQ23" s="268">
        <f>-97+33-33.5</f>
        <v>-97.5</v>
      </c>
      <c r="AR23" s="268">
        <v>97.5</v>
      </c>
      <c r="AS23" s="268">
        <f>-33+26+22+22+27.5</f>
        <v>64.5</v>
      </c>
      <c r="AT23" s="268">
        <v>33</v>
      </c>
      <c r="AU23" s="268">
        <f>-87+33</f>
        <v>-54</v>
      </c>
      <c r="AV23" s="268">
        <v>87</v>
      </c>
      <c r="AW23" s="268">
        <f>-22+32+22+33</f>
        <v>65</v>
      </c>
      <c r="AX23" s="268">
        <v>22</v>
      </c>
      <c r="AY23" s="268">
        <v>22</v>
      </c>
      <c r="AZ23" s="268">
        <v>0</v>
      </c>
      <c r="BA23" s="268"/>
      <c r="BB23" s="268">
        <v>21.5</v>
      </c>
      <c r="BC23" s="268"/>
      <c r="BD23" s="268">
        <v>21.5</v>
      </c>
      <c r="BE23" s="268">
        <f>-28-100+21.5</f>
        <v>-106.5</v>
      </c>
      <c r="BF23" s="268">
        <v>128</v>
      </c>
      <c r="BG23" s="268">
        <f>-10+24+23+33</f>
        <v>70</v>
      </c>
      <c r="BH23" s="268">
        <v>58</v>
      </c>
      <c r="BI23" s="268">
        <f>22+22.7+23+33-100+33+24</f>
        <v>57.7</v>
      </c>
      <c r="BJ23" s="268">
        <v>0</v>
      </c>
      <c r="BK23" s="268">
        <f>22+24+24-100-46</f>
        <v>-76</v>
      </c>
      <c r="BL23" s="268">
        <v>76.3</v>
      </c>
      <c r="BM23" s="268">
        <f>-200-0.5</f>
        <v>-200.5</v>
      </c>
      <c r="BN23" s="268">
        <v>276.83999999999997</v>
      </c>
      <c r="BO23" s="268">
        <f>12+22</f>
        <v>34</v>
      </c>
      <c r="BP23" s="268">
        <f>+BQ23+BR23</f>
        <v>242.84</v>
      </c>
      <c r="BQ23" s="268">
        <f>24+33+33+33</f>
        <v>123</v>
      </c>
      <c r="BR23" s="268">
        <f>+BS23+BT23</f>
        <v>119.84</v>
      </c>
      <c r="BS23" s="268">
        <f>33-1.66</f>
        <v>31.34</v>
      </c>
      <c r="BT23" s="268">
        <v>88.5</v>
      </c>
      <c r="BU23" s="268">
        <v>58.5</v>
      </c>
      <c r="BV23" s="268">
        <v>30</v>
      </c>
      <c r="BW23" s="268"/>
      <c r="BX23" s="268"/>
      <c r="BY23" s="284"/>
      <c r="BZ23" s="268"/>
      <c r="CA23" s="268"/>
      <c r="CB23" s="249"/>
      <c r="CC23" s="272"/>
      <c r="CD23" s="272"/>
      <c r="CO23">
        <v>163</v>
      </c>
      <c r="CP23">
        <v>250.7</v>
      </c>
      <c r="CV23">
        <v>250.7</v>
      </c>
      <c r="CW23">
        <v>119.84</v>
      </c>
      <c r="CX23">
        <v>242.84</v>
      </c>
      <c r="CY23">
        <v>276.83999999999997</v>
      </c>
      <c r="CZ23">
        <v>76.3</v>
      </c>
      <c r="EB23">
        <v>2.1</v>
      </c>
      <c r="EC23">
        <v>25.15</v>
      </c>
      <c r="EF23">
        <v>2.65</v>
      </c>
      <c r="EK23">
        <f t="shared" si="0"/>
        <v>0</v>
      </c>
    </row>
    <row r="24" spans="1:181">
      <c r="A24" s="7">
        <f t="shared" si="1"/>
        <v>20</v>
      </c>
      <c r="B24" s="48" t="s">
        <v>1958</v>
      </c>
      <c r="C24" s="48">
        <v>310483842</v>
      </c>
      <c r="D24" s="48">
        <v>310483842</v>
      </c>
      <c r="E24" s="48">
        <v>716581</v>
      </c>
      <c r="F24" s="268">
        <v>0</v>
      </c>
      <c r="G24" s="268">
        <v>0</v>
      </c>
      <c r="H24" s="268">
        <v>0</v>
      </c>
      <c r="I24" s="268">
        <v>-22</v>
      </c>
      <c r="J24" s="268">
        <v>22</v>
      </c>
      <c r="K24" s="268">
        <v>22</v>
      </c>
      <c r="L24" s="268">
        <v>22</v>
      </c>
      <c r="M24" s="268">
        <v>22</v>
      </c>
      <c r="N24" s="268">
        <v>0</v>
      </c>
      <c r="O24" s="268">
        <v>-2</v>
      </c>
      <c r="P24" s="268">
        <v>2.1</v>
      </c>
      <c r="Q24" s="268">
        <v>0</v>
      </c>
      <c r="R24" s="268">
        <v>2.1</v>
      </c>
      <c r="S24" s="268">
        <f>-48+2.1</f>
        <v>-45.9</v>
      </c>
      <c r="T24" s="268">
        <v>48</v>
      </c>
      <c r="U24" s="268">
        <v>33</v>
      </c>
      <c r="V24" s="268">
        <v>15</v>
      </c>
      <c r="W24" s="268"/>
      <c r="X24" s="268">
        <v>0</v>
      </c>
      <c r="Y24" s="268"/>
      <c r="Z24" s="268">
        <v>0</v>
      </c>
      <c r="AA24" s="268">
        <v>0</v>
      </c>
      <c r="AB24" s="268">
        <v>0</v>
      </c>
      <c r="AC24" s="268">
        <f>33-33</f>
        <v>0</v>
      </c>
      <c r="AD24" s="268">
        <v>0</v>
      </c>
      <c r="AE24" s="268">
        <f>-21+11.7+22-33.9</f>
        <v>-21.2</v>
      </c>
      <c r="AF24" s="268">
        <v>21.2</v>
      </c>
      <c r="AG24" s="268"/>
      <c r="AH24" s="268">
        <v>33.299999999999997</v>
      </c>
      <c r="AI24" s="268"/>
      <c r="AJ24" s="268">
        <v>0.3</v>
      </c>
      <c r="AK24" s="268">
        <v>0</v>
      </c>
      <c r="AL24" s="268">
        <v>27.3</v>
      </c>
      <c r="AM24" s="268">
        <v>27</v>
      </c>
      <c r="AN24" s="268">
        <v>0.3</v>
      </c>
      <c r="AO24" s="268">
        <v>-66</v>
      </c>
      <c r="AP24" s="268">
        <v>66.25</v>
      </c>
      <c r="AQ24" s="268">
        <f>24+22-68+33+32.85</f>
        <v>43.85</v>
      </c>
      <c r="AR24" s="268">
        <v>22.4</v>
      </c>
      <c r="AS24" s="268">
        <v>22</v>
      </c>
      <c r="AT24" s="268">
        <v>0.4</v>
      </c>
      <c r="AU24" s="268">
        <f>-97-93</f>
        <v>-190</v>
      </c>
      <c r="AV24" s="268">
        <v>190.8</v>
      </c>
      <c r="AW24" s="268">
        <f>-150+20+24+28+21.5+22+22+26+26.5</f>
        <v>40</v>
      </c>
      <c r="AX24" s="268">
        <v>150.80000000000001</v>
      </c>
      <c r="AY24" s="268">
        <f>22+23-2.5+33+23</f>
        <v>98.5</v>
      </c>
      <c r="AZ24" s="268">
        <v>52.3</v>
      </c>
      <c r="BA24" s="268">
        <f>-97+22+22+8</f>
        <v>-45</v>
      </c>
      <c r="BB24" s="268">
        <v>97.3</v>
      </c>
      <c r="BC24" s="268">
        <f>22+27+26.5+22</f>
        <v>97.5</v>
      </c>
      <c r="BD24" s="268">
        <v>0</v>
      </c>
      <c r="BE24" s="268">
        <f>33-188</f>
        <v>-155</v>
      </c>
      <c r="BF24" s="268">
        <v>155.30000000000001</v>
      </c>
      <c r="BG24" s="268">
        <v>155.32499999999999</v>
      </c>
      <c r="BH24" s="268"/>
      <c r="BI24" s="268"/>
      <c r="BJ24" s="268"/>
      <c r="BK24" s="268"/>
      <c r="BL24" s="268"/>
      <c r="BM24" s="268"/>
      <c r="BN24" s="268"/>
      <c r="BO24" s="268"/>
      <c r="BP24" s="268"/>
      <c r="BQ24" s="268"/>
      <c r="BR24" s="268"/>
      <c r="BS24" s="268"/>
      <c r="BT24" s="268"/>
      <c r="BU24" s="268"/>
      <c r="BV24" s="268"/>
      <c r="BW24" s="268"/>
      <c r="BX24" s="268"/>
      <c r="BY24" s="284"/>
      <c r="BZ24" s="268"/>
      <c r="CA24" s="268"/>
      <c r="CB24" s="249"/>
      <c r="CC24" s="272"/>
      <c r="CD24" s="272"/>
      <c r="EB24">
        <v>1</v>
      </c>
      <c r="EC24">
        <v>2.1</v>
      </c>
      <c r="EF24">
        <v>3.8</v>
      </c>
      <c r="EK24">
        <f t="shared" si="0"/>
        <v>0</v>
      </c>
    </row>
    <row r="25" spans="1:181">
      <c r="A25" s="7">
        <f t="shared" si="1"/>
        <v>21</v>
      </c>
      <c r="B25" s="48" t="s">
        <v>2328</v>
      </c>
      <c r="C25" s="48">
        <v>310488749</v>
      </c>
      <c r="D25" s="48">
        <v>310488749</v>
      </c>
      <c r="E25" s="48">
        <v>214100</v>
      </c>
      <c r="F25" s="268">
        <v>0</v>
      </c>
      <c r="G25" s="268">
        <v>0</v>
      </c>
      <c r="H25" s="268">
        <v>0</v>
      </c>
      <c r="I25" s="268">
        <v>-2.64</v>
      </c>
      <c r="J25" s="268">
        <v>2.65</v>
      </c>
      <c r="K25" s="268">
        <v>2.65</v>
      </c>
      <c r="L25" s="268">
        <v>0</v>
      </c>
      <c r="M25" s="268"/>
      <c r="N25" s="268">
        <v>0</v>
      </c>
      <c r="O25" s="268">
        <v>-5</v>
      </c>
      <c r="P25" s="268">
        <v>5</v>
      </c>
      <c r="Q25" s="268">
        <v>5</v>
      </c>
      <c r="R25" s="268">
        <v>0</v>
      </c>
      <c r="S25" s="268">
        <v>0</v>
      </c>
      <c r="T25" s="268">
        <v>33</v>
      </c>
      <c r="U25" s="268">
        <v>24</v>
      </c>
      <c r="V25" s="268">
        <v>9</v>
      </c>
      <c r="W25" s="268"/>
      <c r="X25" s="268">
        <v>0</v>
      </c>
      <c r="Y25" s="268"/>
      <c r="Z25" s="268">
        <v>0</v>
      </c>
      <c r="AA25" s="268">
        <v>0</v>
      </c>
      <c r="AB25" s="268">
        <v>0</v>
      </c>
      <c r="AC25" s="268">
        <f>22-22.4</f>
        <v>-0.39999999999999858</v>
      </c>
      <c r="AD25" s="268">
        <v>0.4</v>
      </c>
      <c r="AE25" s="268">
        <f>15+7-44</f>
        <v>-22</v>
      </c>
      <c r="AF25" s="268">
        <v>22.5</v>
      </c>
      <c r="AG25" s="268">
        <f>-65+22</f>
        <v>-43</v>
      </c>
      <c r="AH25" s="268">
        <v>65.5</v>
      </c>
      <c r="AI25" s="268">
        <f>21.5+22</f>
        <v>43.5</v>
      </c>
      <c r="AJ25" s="268">
        <v>22</v>
      </c>
      <c r="AK25" s="268">
        <f>-49.5+22+33+22-77+22</f>
        <v>-27.5</v>
      </c>
      <c r="AL25" s="268">
        <v>49.5</v>
      </c>
      <c r="AM25" s="268">
        <f>-15-55+23+26.5</f>
        <v>-20.5</v>
      </c>
      <c r="AN25" s="268">
        <v>70</v>
      </c>
      <c r="AO25" s="268">
        <f>-100+22+24+24</f>
        <v>-30</v>
      </c>
      <c r="AP25" s="268">
        <v>100.3</v>
      </c>
      <c r="AQ25" s="268">
        <f>22+22+22+21.5+21+24+33-100</f>
        <v>65.5</v>
      </c>
      <c r="AR25" s="268">
        <v>34.799999999999997</v>
      </c>
      <c r="AS25" s="268">
        <f>-76+12+22</f>
        <v>-42</v>
      </c>
      <c r="AT25" s="268">
        <v>77</v>
      </c>
      <c r="AU25" s="268">
        <f>22+22+33</f>
        <v>77</v>
      </c>
      <c r="AV25" s="268"/>
      <c r="AW25" s="268"/>
      <c r="AX25" s="268"/>
      <c r="AY25" s="268"/>
      <c r="AZ25" s="268"/>
      <c r="BA25" s="268"/>
      <c r="BB25" s="268"/>
      <c r="BC25" s="268"/>
      <c r="BD25" s="268"/>
      <c r="BE25" s="268"/>
      <c r="BF25" s="268"/>
      <c r="BG25" s="268"/>
      <c r="BH25" s="268"/>
      <c r="BI25" s="268"/>
      <c r="BJ25" s="268"/>
      <c r="BK25" s="268"/>
      <c r="BL25" s="268"/>
      <c r="BM25" s="268"/>
      <c r="BN25" s="268"/>
      <c r="BO25" s="268"/>
      <c r="BP25" s="268"/>
      <c r="BQ25" s="268"/>
      <c r="BR25" s="268"/>
      <c r="BS25" s="268"/>
      <c r="BT25" s="268"/>
      <c r="BU25" s="268"/>
      <c r="BV25" s="268"/>
      <c r="BW25" s="268"/>
      <c r="BX25" s="268"/>
      <c r="BY25" s="284"/>
      <c r="BZ25" s="268"/>
      <c r="CA25" s="268"/>
      <c r="CB25" s="249"/>
      <c r="CC25" s="272"/>
      <c r="CD25" s="272"/>
      <c r="EB25">
        <v>41.6</v>
      </c>
      <c r="EC25">
        <v>5</v>
      </c>
      <c r="EF25">
        <v>130.5</v>
      </c>
      <c r="EK25">
        <f t="shared" si="0"/>
        <v>0</v>
      </c>
    </row>
    <row r="26" spans="1:181">
      <c r="A26" s="7">
        <f t="shared" si="1"/>
        <v>22</v>
      </c>
      <c r="B26" s="48" t="s">
        <v>2327</v>
      </c>
      <c r="C26" s="48">
        <v>310510278</v>
      </c>
      <c r="D26" s="48">
        <v>310510278</v>
      </c>
      <c r="E26" s="48">
        <v>729470</v>
      </c>
      <c r="F26" s="268">
        <v>4.5</v>
      </c>
      <c r="G26" s="268">
        <v>-0.5</v>
      </c>
      <c r="H26" s="268">
        <v>5</v>
      </c>
      <c r="I26" s="268">
        <f>-1.66+32-34.1+5</f>
        <v>1.2399999999999984</v>
      </c>
      <c r="J26" s="268">
        <v>3.8</v>
      </c>
      <c r="K26" s="268">
        <f>4.7-1</f>
        <v>3.7</v>
      </c>
      <c r="L26" s="268">
        <v>0</v>
      </c>
      <c r="M26" s="268">
        <v>-29.9</v>
      </c>
      <c r="N26" s="268">
        <v>29.9</v>
      </c>
      <c r="O26" s="268">
        <f>-80+18+11.9</f>
        <v>-50.1</v>
      </c>
      <c r="P26" s="268">
        <v>80</v>
      </c>
      <c r="Q26" s="268">
        <f>33+22+25</f>
        <v>80</v>
      </c>
      <c r="R26" s="268">
        <v>0</v>
      </c>
      <c r="S26" s="268">
        <v>0</v>
      </c>
      <c r="T26" s="268">
        <v>0</v>
      </c>
      <c r="U26" s="268">
        <v>24</v>
      </c>
      <c r="V26" s="268">
        <v>39.5</v>
      </c>
      <c r="W26" s="268">
        <f>32.9-71.5+23+16.5</f>
        <v>0.89999999999999858</v>
      </c>
      <c r="X26" s="268">
        <v>38.6</v>
      </c>
      <c r="Y26" s="268">
        <f>-76+22+16.5</f>
        <v>-37.5</v>
      </c>
      <c r="Z26" s="268">
        <v>76</v>
      </c>
      <c r="AA26" s="268">
        <f>9+21+22+24</f>
        <v>76</v>
      </c>
      <c r="AB26" s="268">
        <v>0</v>
      </c>
      <c r="AC26" s="268">
        <f>26-10+31+28-95+33-3-30+33+22+22+22-99</f>
        <v>-20</v>
      </c>
      <c r="AD26" s="268">
        <v>20.2</v>
      </c>
      <c r="AE26" s="268">
        <f>-15+21.5+22.5-100+28.5-41+20</f>
        <v>-63.5</v>
      </c>
      <c r="AF26" s="268">
        <f>50.8+32.975</f>
        <v>83.775000000000006</v>
      </c>
      <c r="AG26" s="268">
        <f>-100+22+22+33+32+33-100</f>
        <v>-58</v>
      </c>
      <c r="AH26" s="268">
        <f>22+31.8+22+33</f>
        <v>108.8</v>
      </c>
      <c r="AI26" s="268"/>
      <c r="AJ26" s="268"/>
      <c r="AK26" s="268"/>
      <c r="AL26" s="268"/>
      <c r="AM26" s="268"/>
      <c r="AN26" s="268"/>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8"/>
      <c r="BP26" s="268"/>
      <c r="BQ26" s="268"/>
      <c r="BR26" s="268"/>
      <c r="BS26" s="268"/>
      <c r="BT26" s="268"/>
      <c r="BU26" s="268"/>
      <c r="BV26" s="268"/>
      <c r="BW26" s="268"/>
      <c r="BX26" s="268"/>
      <c r="BY26" s="284"/>
      <c r="BZ26" s="268"/>
      <c r="CA26" s="268"/>
      <c r="CB26" s="249"/>
      <c r="CC26" s="272"/>
      <c r="CD26" s="272"/>
      <c r="EC26">
        <v>80</v>
      </c>
      <c r="EF26">
        <v>49.6</v>
      </c>
      <c r="EK26">
        <f t="shared" si="0"/>
        <v>0</v>
      </c>
    </row>
    <row r="27" spans="1:181">
      <c r="A27" s="7">
        <f t="shared" si="1"/>
        <v>23</v>
      </c>
      <c r="B27" s="48" t="s">
        <v>2326</v>
      </c>
      <c r="C27" s="48">
        <v>996767914</v>
      </c>
      <c r="D27" s="48">
        <v>996767914</v>
      </c>
      <c r="E27" s="48">
        <v>603038</v>
      </c>
      <c r="F27" s="268">
        <v>0</v>
      </c>
      <c r="G27" s="268">
        <v>0</v>
      </c>
      <c r="H27" s="268">
        <v>0</v>
      </c>
      <c r="I27" s="268">
        <f>-1.6-100-28.8-98+28+24+24+22</f>
        <v>-130.4</v>
      </c>
      <c r="J27" s="268">
        <v>130.5</v>
      </c>
      <c r="K27" s="268">
        <f>24+18+33+22.5+33</f>
        <v>130.5</v>
      </c>
      <c r="L27" s="268">
        <v>0</v>
      </c>
      <c r="M27" s="268">
        <v>-99.8</v>
      </c>
      <c r="N27" s="268">
        <v>100</v>
      </c>
      <c r="O27" s="268">
        <f>22+22+22+33</f>
        <v>99</v>
      </c>
      <c r="P27" s="268">
        <v>1</v>
      </c>
      <c r="Q27" s="268"/>
      <c r="R27" s="268">
        <v>1</v>
      </c>
      <c r="S27" s="268">
        <f>33+33-18-200</f>
        <v>-152</v>
      </c>
      <c r="T27" s="268">
        <v>153.5</v>
      </c>
      <c r="U27" s="268">
        <f>22+22+33</f>
        <v>77</v>
      </c>
      <c r="V27" s="268">
        <f>27.5+27+22</f>
        <v>76.5</v>
      </c>
      <c r="W27" s="268"/>
      <c r="X27" s="268">
        <v>0</v>
      </c>
      <c r="Y27" s="268"/>
      <c r="Z27" s="268">
        <v>0</v>
      </c>
      <c r="AA27" s="268"/>
      <c r="AB27" s="268"/>
      <c r="AC27" s="268"/>
      <c r="AD27" s="268"/>
      <c r="AE27" s="268"/>
      <c r="AF27" s="268"/>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8"/>
      <c r="BK27" s="268"/>
      <c r="BL27" s="268"/>
      <c r="BM27" s="268"/>
      <c r="BN27" s="268"/>
      <c r="BO27" s="268"/>
      <c r="BP27" s="268"/>
      <c r="BQ27" s="268"/>
      <c r="BR27" s="268"/>
      <c r="BS27" s="268"/>
      <c r="BT27" s="268"/>
      <c r="BU27" s="268"/>
      <c r="BV27" s="268"/>
      <c r="BW27" s="268"/>
      <c r="BX27" s="268"/>
      <c r="BY27" s="284"/>
      <c r="BZ27" s="268"/>
      <c r="CA27" s="268"/>
      <c r="CB27" s="249"/>
      <c r="CC27" s="272"/>
      <c r="CD27" s="272"/>
      <c r="EC27">
        <v>1</v>
      </c>
      <c r="EK27">
        <f t="shared" si="0"/>
        <v>0</v>
      </c>
    </row>
    <row r="28" spans="1:181">
      <c r="A28" s="7">
        <v>24</v>
      </c>
      <c r="B28" s="48" t="s">
        <v>2457</v>
      </c>
      <c r="C28" s="48">
        <v>309561982</v>
      </c>
      <c r="D28" s="48">
        <v>309561982</v>
      </c>
      <c r="E28" s="48">
        <v>872313</v>
      </c>
      <c r="F28" s="268">
        <v>0</v>
      </c>
      <c r="G28" s="268">
        <f>20-19.6</f>
        <v>0.39999999999999858</v>
      </c>
      <c r="H28" s="268">
        <v>0</v>
      </c>
      <c r="I28" s="268">
        <v>-49.6</v>
      </c>
      <c r="J28" s="268">
        <v>49.6</v>
      </c>
      <c r="K28" s="268">
        <v>49.5</v>
      </c>
      <c r="L28" s="268">
        <v>0</v>
      </c>
      <c r="M28" s="268">
        <v>0</v>
      </c>
      <c r="N28" s="268">
        <v>0</v>
      </c>
      <c r="O28" s="268">
        <v>-41.6</v>
      </c>
      <c r="P28" s="268">
        <v>41.6</v>
      </c>
      <c r="Q28" s="268"/>
      <c r="R28" s="268">
        <v>41.6</v>
      </c>
      <c r="S28" s="268">
        <f>45-3.4</f>
        <v>41.6</v>
      </c>
      <c r="T28" s="268">
        <v>0</v>
      </c>
      <c r="U28" s="268">
        <v>0</v>
      </c>
      <c r="V28" s="268">
        <v>0</v>
      </c>
      <c r="W28" s="268"/>
      <c r="X28" s="268">
        <v>0</v>
      </c>
      <c r="Y28" s="268"/>
      <c r="Z28" s="268">
        <v>0</v>
      </c>
      <c r="AA28" s="268"/>
      <c r="AB28" s="268"/>
      <c r="AC28" s="268"/>
      <c r="AD28" s="268"/>
      <c r="AE28" s="268"/>
      <c r="AF28" s="268"/>
      <c r="AG28" s="268"/>
      <c r="AH28" s="268"/>
      <c r="AI28" s="268"/>
      <c r="AJ28" s="268"/>
      <c r="AK28" s="268"/>
      <c r="AL28" s="268"/>
      <c r="AM28" s="268"/>
      <c r="AN28" s="268"/>
      <c r="AO28" s="268"/>
      <c r="AP28" s="268"/>
      <c r="AQ28" s="268"/>
      <c r="AR28" s="268"/>
      <c r="AS28" s="268"/>
      <c r="AT28" s="268"/>
      <c r="AU28" s="268"/>
      <c r="AV28" s="268"/>
      <c r="AW28" s="268"/>
      <c r="AX28" s="268"/>
      <c r="AY28" s="268"/>
      <c r="AZ28" s="268"/>
      <c r="BA28" s="268"/>
      <c r="BB28" s="268"/>
      <c r="BC28" s="268"/>
      <c r="BD28" s="268"/>
      <c r="BE28" s="268"/>
      <c r="BF28" s="268"/>
      <c r="BG28" s="268"/>
      <c r="BH28" s="268"/>
      <c r="BI28" s="268"/>
      <c r="BJ28" s="268"/>
      <c r="BK28" s="268"/>
      <c r="BL28" s="268"/>
      <c r="BM28" s="268"/>
      <c r="BN28" s="268"/>
      <c r="BO28" s="268"/>
      <c r="BP28" s="268"/>
      <c r="BQ28" s="268"/>
      <c r="BR28" s="268"/>
      <c r="BS28" s="268"/>
      <c r="BT28" s="268"/>
      <c r="BU28" s="268"/>
      <c r="BV28" s="268"/>
      <c r="BW28" s="268"/>
      <c r="BX28" s="268"/>
      <c r="BY28" s="284"/>
      <c r="BZ28" s="268"/>
      <c r="CA28" s="268"/>
      <c r="CB28" s="249"/>
      <c r="CC28" s="272"/>
      <c r="CD28" s="272"/>
      <c r="EC28">
        <v>41.6</v>
      </c>
      <c r="EK28">
        <f t="shared" si="0"/>
        <v>0</v>
      </c>
    </row>
    <row r="29" spans="1:181">
      <c r="A29" s="7" t="s">
        <v>3045</v>
      </c>
      <c r="B29" s="48" t="s">
        <v>2458</v>
      </c>
      <c r="C29" s="48">
        <v>310572178</v>
      </c>
      <c r="D29" s="48">
        <v>310572178</v>
      </c>
      <c r="E29" s="48"/>
      <c r="F29" s="268"/>
      <c r="G29" s="268"/>
      <c r="H29" s="268"/>
      <c r="I29" s="268"/>
      <c r="J29" s="268"/>
      <c r="K29" s="268"/>
      <c r="L29" s="268"/>
      <c r="M29" s="268"/>
      <c r="N29" s="268"/>
      <c r="O29" s="268"/>
      <c r="P29" s="268"/>
      <c r="Q29" s="268"/>
      <c r="R29" s="268"/>
      <c r="S29" s="268"/>
      <c r="T29" s="268"/>
      <c r="U29" s="268"/>
      <c r="V29" s="268"/>
      <c r="W29" s="268"/>
      <c r="X29" s="268"/>
      <c r="Y29" s="268"/>
      <c r="Z29" s="268"/>
      <c r="AA29" s="268"/>
      <c r="AB29" s="268"/>
      <c r="AC29" s="268"/>
      <c r="AD29" s="268"/>
      <c r="AE29" s="268"/>
      <c r="AF29" s="268"/>
      <c r="AG29" s="268"/>
      <c r="AH29" s="268"/>
      <c r="AI29" s="268"/>
      <c r="AJ29" s="268"/>
      <c r="AK29" s="268"/>
      <c r="AL29" s="268"/>
      <c r="AM29" s="268"/>
      <c r="AN29" s="268"/>
      <c r="AO29" s="268"/>
      <c r="AP29" s="268"/>
      <c r="AQ29" s="268"/>
      <c r="AR29" s="268"/>
      <c r="AS29" s="268"/>
      <c r="AT29" s="268"/>
      <c r="AU29" s="268"/>
      <c r="AV29" s="268"/>
      <c r="AW29" s="268"/>
      <c r="AX29" s="268"/>
      <c r="AY29" s="268"/>
      <c r="AZ29" s="268"/>
      <c r="BA29" s="268"/>
      <c r="BB29" s="268"/>
      <c r="BC29" s="268"/>
      <c r="BD29" s="268"/>
      <c r="BE29" s="268"/>
      <c r="BF29" s="268"/>
      <c r="BG29" s="268"/>
      <c r="BH29" s="268"/>
      <c r="BI29" s="268"/>
      <c r="BJ29" s="268"/>
      <c r="BK29" s="268"/>
      <c r="BL29" s="268"/>
      <c r="BM29" s="268"/>
      <c r="BN29" s="268"/>
      <c r="BO29" s="268"/>
      <c r="BP29" s="268"/>
      <c r="BQ29" s="268"/>
      <c r="BR29" s="268"/>
      <c r="BS29" s="268"/>
      <c r="BT29" s="268"/>
      <c r="BU29" s="268"/>
      <c r="BV29" s="268"/>
      <c r="BW29" s="268"/>
      <c r="BX29" s="268"/>
      <c r="BY29" s="284"/>
      <c r="BZ29" s="268"/>
      <c r="CA29" s="268"/>
      <c r="CB29" s="249"/>
      <c r="CC29" s="272"/>
      <c r="CD29" s="272"/>
      <c r="EK29">
        <f t="shared" si="0"/>
        <v>0</v>
      </c>
    </row>
    <row r="30" spans="1:181">
      <c r="A30" s="7" t="s">
        <v>3044</v>
      </c>
      <c r="B30" s="48" t="s">
        <v>2715</v>
      </c>
      <c r="C30" s="48">
        <v>310573334</v>
      </c>
      <c r="D30" s="48">
        <v>310573334</v>
      </c>
      <c r="E30" s="48">
        <v>893304</v>
      </c>
      <c r="F30" s="268">
        <v>19.600000000000001</v>
      </c>
      <c r="G30" s="268">
        <v>19.600000000000001</v>
      </c>
      <c r="H30" s="268"/>
      <c r="I30" s="268"/>
      <c r="J30" s="268"/>
      <c r="K30" s="268"/>
      <c r="L30" s="268"/>
      <c r="M30" s="268"/>
      <c r="N30" s="268"/>
      <c r="O30" s="268"/>
      <c r="P30" s="268"/>
      <c r="Q30" s="268"/>
      <c r="R30" s="268"/>
      <c r="S30" s="268"/>
      <c r="T30" s="268"/>
      <c r="U30" s="268"/>
      <c r="V30" s="268"/>
      <c r="W30" s="268"/>
      <c r="X30" s="268"/>
      <c r="Y30" s="268"/>
      <c r="Z30" s="268"/>
      <c r="AA30" s="268"/>
      <c r="AB30" s="268"/>
      <c r="AC30" s="268"/>
      <c r="AD30" s="268"/>
      <c r="AE30" s="268"/>
      <c r="AF30" s="268"/>
      <c r="AG30" s="268"/>
      <c r="AH30" s="268"/>
      <c r="AI30" s="268"/>
      <c r="AJ30" s="268"/>
      <c r="AK30" s="268"/>
      <c r="AL30" s="268"/>
      <c r="AM30" s="268"/>
      <c r="AN30" s="268"/>
      <c r="AO30" s="268"/>
      <c r="AP30" s="268"/>
      <c r="AQ30" s="268"/>
      <c r="AR30" s="268"/>
      <c r="AS30" s="268"/>
      <c r="AT30" s="268"/>
      <c r="AU30" s="268"/>
      <c r="AV30" s="268"/>
      <c r="AW30" s="268"/>
      <c r="AX30" s="268"/>
      <c r="AY30" s="268"/>
      <c r="AZ30" s="268"/>
      <c r="BA30" s="268"/>
      <c r="BB30" s="268"/>
      <c r="BC30" s="268"/>
      <c r="BD30" s="268"/>
      <c r="BE30" s="268"/>
      <c r="BF30" s="268"/>
      <c r="BG30" s="268"/>
      <c r="BH30" s="268"/>
      <c r="BI30" s="268"/>
      <c r="BJ30" s="268"/>
      <c r="BK30" s="268"/>
      <c r="BL30" s="268"/>
      <c r="BM30" s="268"/>
      <c r="BN30" s="268"/>
      <c r="BO30" s="268"/>
      <c r="BP30" s="268"/>
      <c r="BQ30" s="268"/>
      <c r="BR30" s="268"/>
      <c r="BS30" s="268"/>
      <c r="BT30" s="268"/>
      <c r="BU30" s="268"/>
      <c r="BV30" s="268"/>
      <c r="BW30" s="268"/>
      <c r="BX30" s="268"/>
      <c r="BY30" s="284"/>
      <c r="BZ30" s="268"/>
      <c r="CA30" s="268"/>
      <c r="CB30" s="249"/>
      <c r="CC30" s="272"/>
      <c r="CD30" s="272"/>
      <c r="EK30">
        <f t="shared" si="0"/>
        <v>0</v>
      </c>
    </row>
    <row r="31" spans="1:181">
      <c r="A31" s="7" t="s">
        <v>3043</v>
      </c>
      <c r="B31" s="48" t="s">
        <v>2716</v>
      </c>
      <c r="C31" s="48">
        <v>310572408</v>
      </c>
      <c r="D31" s="48">
        <v>310572408</v>
      </c>
      <c r="E31" s="48"/>
      <c r="F31" s="268"/>
      <c r="G31" s="268"/>
      <c r="H31" s="268"/>
      <c r="I31" s="268"/>
      <c r="J31" s="268"/>
      <c r="K31" s="268"/>
      <c r="L31" s="268"/>
      <c r="M31" s="268"/>
      <c r="N31" s="268"/>
      <c r="O31" s="268"/>
      <c r="P31" s="268"/>
      <c r="Q31" s="268"/>
      <c r="R31" s="268"/>
      <c r="S31" s="268"/>
      <c r="T31" s="268"/>
      <c r="U31" s="268"/>
      <c r="V31" s="268"/>
      <c r="W31" s="268"/>
      <c r="X31" s="268"/>
      <c r="Y31" s="268"/>
      <c r="Z31" s="268"/>
      <c r="AA31" s="268"/>
      <c r="AB31" s="268"/>
      <c r="AC31" s="268"/>
      <c r="AD31" s="268"/>
      <c r="AE31" s="268"/>
      <c r="AF31" s="268"/>
      <c r="AG31" s="268"/>
      <c r="AH31" s="268"/>
      <c r="AI31" s="268"/>
      <c r="AJ31" s="268"/>
      <c r="AK31" s="268"/>
      <c r="AL31" s="268"/>
      <c r="AM31" s="268"/>
      <c r="AN31" s="268"/>
      <c r="AO31" s="268"/>
      <c r="AP31" s="268"/>
      <c r="AQ31" s="268"/>
      <c r="AR31" s="268"/>
      <c r="AS31" s="268"/>
      <c r="AT31" s="268"/>
      <c r="AU31" s="268"/>
      <c r="AV31" s="268"/>
      <c r="AW31" s="268"/>
      <c r="AX31" s="268"/>
      <c r="AY31" s="268"/>
      <c r="AZ31" s="268"/>
      <c r="BA31" s="268"/>
      <c r="BB31" s="268"/>
      <c r="BC31" s="268"/>
      <c r="BD31" s="268"/>
      <c r="BE31" s="268"/>
      <c r="BF31" s="268"/>
      <c r="BG31" s="268"/>
      <c r="BH31" s="268"/>
      <c r="BI31" s="268"/>
      <c r="BJ31" s="268"/>
      <c r="BK31" s="268"/>
      <c r="BL31" s="268"/>
      <c r="BM31" s="268"/>
      <c r="BN31" s="268"/>
      <c r="BO31" s="268"/>
      <c r="BP31" s="268"/>
      <c r="BQ31" s="268"/>
      <c r="BR31" s="268"/>
      <c r="BS31" s="268"/>
      <c r="BT31" s="268"/>
      <c r="BU31" s="268"/>
      <c r="BV31" s="268"/>
      <c r="BW31" s="268"/>
      <c r="BX31" s="268"/>
      <c r="BY31" s="284"/>
      <c r="BZ31" s="268"/>
      <c r="CA31" s="268"/>
      <c r="CB31" s="249"/>
      <c r="CC31" s="272"/>
      <c r="CD31" s="272"/>
      <c r="EK31">
        <f t="shared" si="0"/>
        <v>0</v>
      </c>
    </row>
    <row r="32" spans="1:181">
      <c r="A32" s="7" t="s">
        <v>3042</v>
      </c>
      <c r="B32" s="48" t="s">
        <v>2717</v>
      </c>
      <c r="C32" s="48">
        <v>310572312</v>
      </c>
      <c r="D32" s="48">
        <v>310572312</v>
      </c>
      <c r="E32" s="48"/>
      <c r="F32" s="268"/>
      <c r="G32" s="268"/>
      <c r="H32" s="268"/>
      <c r="I32" s="268"/>
      <c r="J32" s="268"/>
      <c r="K32" s="268"/>
      <c r="L32" s="268"/>
      <c r="M32" s="268"/>
      <c r="N32" s="268"/>
      <c r="O32" s="268"/>
      <c r="P32" s="268"/>
      <c r="Q32" s="268"/>
      <c r="R32" s="268"/>
      <c r="S32" s="268"/>
      <c r="T32" s="268"/>
      <c r="U32" s="268"/>
      <c r="V32" s="268"/>
      <c r="W32" s="268"/>
      <c r="X32" s="268"/>
      <c r="Y32" s="268"/>
      <c r="Z32" s="268"/>
      <c r="AA32" s="268"/>
      <c r="AB32" s="268"/>
      <c r="AC32" s="268"/>
      <c r="AD32" s="268"/>
      <c r="AE32" s="268"/>
      <c r="AF32" s="268"/>
      <c r="AG32" s="268"/>
      <c r="AH32" s="268"/>
      <c r="AI32" s="268"/>
      <c r="AJ32" s="268"/>
      <c r="AK32" s="268"/>
      <c r="AL32" s="268"/>
      <c r="AM32" s="268"/>
      <c r="AN32" s="268"/>
      <c r="AO32" s="268"/>
      <c r="AP32" s="268"/>
      <c r="AQ32" s="268"/>
      <c r="AR32" s="268"/>
      <c r="AS32" s="268"/>
      <c r="AT32" s="268"/>
      <c r="AU32" s="268"/>
      <c r="AV32" s="268"/>
      <c r="AW32" s="268"/>
      <c r="AX32" s="268"/>
      <c r="AY32" s="268"/>
      <c r="AZ32" s="268"/>
      <c r="BA32" s="268"/>
      <c r="BB32" s="268"/>
      <c r="BC32" s="268"/>
      <c r="BD32" s="268"/>
      <c r="BE32" s="268"/>
      <c r="BF32" s="268"/>
      <c r="BG32" s="268"/>
      <c r="BH32" s="268"/>
      <c r="BI32" s="268"/>
      <c r="BJ32" s="268"/>
      <c r="BK32" s="268"/>
      <c r="BL32" s="268"/>
      <c r="BM32" s="268"/>
      <c r="BN32" s="268"/>
      <c r="BO32" s="268"/>
      <c r="BP32" s="268"/>
      <c r="BQ32" s="268"/>
      <c r="BR32" s="268"/>
      <c r="BS32" s="268"/>
      <c r="BT32" s="268"/>
      <c r="BU32" s="268"/>
      <c r="BV32" s="268"/>
      <c r="BW32" s="268"/>
      <c r="BX32" s="268"/>
      <c r="BY32" s="284"/>
      <c r="BZ32" s="268"/>
      <c r="CA32" s="268"/>
      <c r="CB32" s="249"/>
      <c r="CC32" s="272"/>
      <c r="CD32" s="272"/>
      <c r="EK32">
        <f t="shared" si="0"/>
        <v>0</v>
      </c>
    </row>
    <row r="33" spans="1:181">
      <c r="A33" s="7">
        <v>29</v>
      </c>
      <c r="B33" s="48" t="s">
        <v>3049</v>
      </c>
      <c r="C33" s="48">
        <v>310616929</v>
      </c>
      <c r="D33" s="48">
        <v>310616929</v>
      </c>
      <c r="E33" s="48"/>
      <c r="F33" s="268"/>
      <c r="G33" s="268"/>
      <c r="H33" s="268"/>
      <c r="I33" s="268"/>
      <c r="J33" s="268"/>
      <c r="K33" s="268"/>
      <c r="L33" s="268"/>
      <c r="M33" s="268"/>
      <c r="N33" s="268"/>
      <c r="O33" s="268"/>
      <c r="P33" s="268"/>
      <c r="Q33" s="268"/>
      <c r="R33" s="268"/>
      <c r="S33" s="268"/>
      <c r="T33" s="268"/>
      <c r="U33" s="268"/>
      <c r="V33" s="268"/>
      <c r="W33" s="268"/>
      <c r="X33" s="268"/>
      <c r="Y33" s="268"/>
      <c r="Z33" s="268"/>
      <c r="AA33" s="268"/>
      <c r="AB33" s="268"/>
      <c r="AC33" s="268"/>
      <c r="AD33" s="268"/>
      <c r="AE33" s="268"/>
      <c r="AF33" s="268"/>
      <c r="AG33" s="268"/>
      <c r="AH33" s="268"/>
      <c r="AI33" s="268"/>
      <c r="AJ33" s="268"/>
      <c r="AK33" s="268"/>
      <c r="AL33" s="268"/>
      <c r="AM33" s="268"/>
      <c r="AN33" s="268"/>
      <c r="AO33" s="268"/>
      <c r="AP33" s="268"/>
      <c r="AQ33" s="268"/>
      <c r="AR33" s="268"/>
      <c r="AS33" s="268"/>
      <c r="AT33" s="268"/>
      <c r="AU33" s="268"/>
      <c r="AV33" s="268"/>
      <c r="AW33" s="268"/>
      <c r="AX33" s="268"/>
      <c r="AY33" s="268"/>
      <c r="AZ33" s="268"/>
      <c r="BA33" s="268"/>
      <c r="BB33" s="268"/>
      <c r="BC33" s="268"/>
      <c r="BD33" s="268"/>
      <c r="BE33" s="268"/>
      <c r="BF33" s="268"/>
      <c r="BG33" s="268"/>
      <c r="BH33" s="268"/>
      <c r="BI33" s="268"/>
      <c r="BJ33" s="268"/>
      <c r="BK33" s="268"/>
      <c r="BL33" s="268"/>
      <c r="BM33" s="268"/>
      <c r="BN33" s="268"/>
      <c r="BO33" s="268"/>
      <c r="BP33" s="268"/>
      <c r="BQ33" s="268"/>
      <c r="BR33" s="268"/>
      <c r="BS33" s="268"/>
      <c r="BT33" s="268"/>
      <c r="BU33" s="268"/>
      <c r="BV33" s="268"/>
      <c r="BW33" s="268"/>
      <c r="BX33" s="268"/>
      <c r="BY33" s="284"/>
      <c r="BZ33" s="268"/>
      <c r="CA33" s="268"/>
      <c r="CB33" s="249"/>
      <c r="CC33" s="272"/>
      <c r="CD33" s="272"/>
      <c r="EK33">
        <f t="shared" si="0"/>
        <v>0</v>
      </c>
    </row>
    <row r="34" spans="1:181">
      <c r="A34" s="7">
        <v>30</v>
      </c>
      <c r="B34" s="48" t="s">
        <v>3050</v>
      </c>
      <c r="C34" s="48">
        <v>310626773</v>
      </c>
      <c r="D34" s="48">
        <v>310626773</v>
      </c>
      <c r="E34" s="48"/>
      <c r="F34" s="268"/>
      <c r="G34" s="268"/>
      <c r="H34" s="268"/>
      <c r="I34" s="268"/>
      <c r="J34" s="268"/>
      <c r="K34" s="268"/>
      <c r="L34" s="268"/>
      <c r="M34" s="268"/>
      <c r="N34" s="268"/>
      <c r="O34" s="268"/>
      <c r="P34" s="268"/>
      <c r="Q34" s="268"/>
      <c r="R34" s="268"/>
      <c r="S34" s="268"/>
      <c r="T34" s="268"/>
      <c r="U34" s="268"/>
      <c r="V34" s="268"/>
      <c r="W34" s="268"/>
      <c r="X34" s="268"/>
      <c r="Y34" s="268"/>
      <c r="Z34" s="268"/>
      <c r="AA34" s="268"/>
      <c r="AB34" s="268"/>
      <c r="AC34" s="268"/>
      <c r="AD34" s="268"/>
      <c r="AE34" s="268"/>
      <c r="AF34" s="268"/>
      <c r="AG34" s="268"/>
      <c r="AH34" s="268"/>
      <c r="AI34" s="268"/>
      <c r="AJ34" s="268"/>
      <c r="AK34" s="268"/>
      <c r="AL34" s="268"/>
      <c r="AM34" s="268"/>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8"/>
      <c r="BK34" s="268"/>
      <c r="BL34" s="268"/>
      <c r="BM34" s="268"/>
      <c r="BN34" s="268"/>
      <c r="BO34" s="268"/>
      <c r="BP34" s="268"/>
      <c r="BQ34" s="268"/>
      <c r="BR34" s="268"/>
      <c r="BS34" s="268"/>
      <c r="BT34" s="268"/>
      <c r="BU34" s="268"/>
      <c r="BV34" s="268"/>
      <c r="BW34" s="268"/>
      <c r="BX34" s="268"/>
      <c r="BY34" s="284"/>
      <c r="BZ34" s="268"/>
      <c r="CA34" s="268"/>
      <c r="CB34" s="249"/>
      <c r="CC34" s="272"/>
      <c r="CD34" s="272"/>
      <c r="EK34">
        <f t="shared" si="0"/>
        <v>0</v>
      </c>
    </row>
    <row r="35" spans="1:181">
      <c r="A35" s="7"/>
      <c r="B35" s="48"/>
      <c r="C35" s="48"/>
      <c r="D35" s="48"/>
      <c r="E35" s="48"/>
      <c r="F35" s="268"/>
      <c r="G35" s="268"/>
      <c r="H35" s="268"/>
      <c r="I35" s="268"/>
      <c r="J35" s="268"/>
      <c r="K35" s="268"/>
      <c r="L35" s="268"/>
      <c r="M35" s="268"/>
      <c r="N35" s="268"/>
      <c r="O35" s="268"/>
      <c r="P35" s="268"/>
      <c r="Q35" s="268"/>
      <c r="R35" s="268"/>
      <c r="S35" s="268"/>
      <c r="T35" s="268"/>
      <c r="U35" s="268"/>
      <c r="V35" s="268"/>
      <c r="W35" s="268"/>
      <c r="X35" s="268"/>
      <c r="Y35" s="268"/>
      <c r="Z35" s="268"/>
      <c r="AA35" s="268"/>
      <c r="AB35" s="268"/>
      <c r="AC35" s="268"/>
      <c r="AD35" s="268"/>
      <c r="AE35" s="268"/>
      <c r="AF35" s="268"/>
      <c r="AG35" s="268"/>
      <c r="AH35" s="268"/>
      <c r="AI35" s="268"/>
      <c r="AJ35" s="268"/>
      <c r="AK35" s="268"/>
      <c r="AL35" s="268"/>
      <c r="AM35" s="268"/>
      <c r="AN35" s="268"/>
      <c r="AO35" s="268"/>
      <c r="AP35" s="268"/>
      <c r="AQ35" s="268"/>
      <c r="AR35" s="268"/>
      <c r="AS35" s="268"/>
      <c r="AT35" s="268"/>
      <c r="AU35" s="268"/>
      <c r="AV35" s="268"/>
      <c r="AW35" s="268"/>
      <c r="AX35" s="268"/>
      <c r="AY35" s="268"/>
      <c r="AZ35" s="268"/>
      <c r="BA35" s="268"/>
      <c r="BB35" s="268"/>
      <c r="BC35" s="268"/>
      <c r="BD35" s="268"/>
      <c r="BE35" s="268"/>
      <c r="BF35" s="268"/>
      <c r="BG35" s="268"/>
      <c r="BH35" s="268"/>
      <c r="BI35" s="268"/>
      <c r="BJ35" s="268"/>
      <c r="BK35" s="268"/>
      <c r="BL35" s="268"/>
      <c r="BM35" s="268"/>
      <c r="BN35" s="268"/>
      <c r="BO35" s="268"/>
      <c r="BP35" s="268"/>
      <c r="BQ35" s="268"/>
      <c r="BR35" s="268"/>
      <c r="BS35" s="268"/>
      <c r="BT35" s="268"/>
      <c r="BU35" s="268"/>
      <c r="BV35" s="268"/>
      <c r="BW35" s="268"/>
      <c r="BX35" s="268"/>
      <c r="BY35" s="284"/>
      <c r="BZ35" s="268"/>
      <c r="CA35" s="268"/>
      <c r="CB35" s="249"/>
      <c r="CC35" s="272"/>
      <c r="CD35" s="272"/>
      <c r="EK35">
        <f t="shared" si="0"/>
        <v>0</v>
      </c>
    </row>
    <row r="36" spans="1:181">
      <c r="A36" s="48"/>
      <c r="B36" s="48"/>
      <c r="C36" s="48"/>
      <c r="D36" s="48"/>
      <c r="E36" s="48"/>
      <c r="F36" s="268"/>
      <c r="G36" s="268"/>
      <c r="H36" s="268"/>
      <c r="I36" s="268"/>
      <c r="J36" s="268"/>
      <c r="K36" s="268"/>
      <c r="L36" s="268"/>
      <c r="M36" s="268"/>
      <c r="N36" s="268"/>
      <c r="O36" s="268"/>
      <c r="P36" s="268"/>
      <c r="Q36" s="268"/>
      <c r="R36" s="268"/>
      <c r="S36" s="268"/>
      <c r="T36" s="268"/>
      <c r="U36" s="268"/>
      <c r="V36" s="268"/>
      <c r="W36" s="268"/>
      <c r="X36" s="268"/>
      <c r="Y36" s="268"/>
      <c r="Z36" s="268"/>
      <c r="AA36" s="268"/>
      <c r="AB36" s="268"/>
      <c r="AC36" s="268"/>
      <c r="AD36" s="268"/>
      <c r="AE36" s="268"/>
      <c r="AF36" s="268"/>
      <c r="AG36" s="268"/>
      <c r="AH36" s="268"/>
      <c r="AI36" s="268"/>
      <c r="AJ36" s="268"/>
      <c r="AK36" s="268"/>
      <c r="AL36" s="268"/>
      <c r="AM36" s="268"/>
      <c r="AN36" s="268"/>
      <c r="AO36" s="268"/>
      <c r="AP36" s="268"/>
      <c r="AQ36" s="268"/>
      <c r="AR36" s="268"/>
      <c r="AS36" s="268"/>
      <c r="AT36" s="268"/>
      <c r="AU36" s="268"/>
      <c r="AV36" s="268"/>
      <c r="AW36" s="268"/>
      <c r="AX36" s="268"/>
      <c r="AY36" s="268"/>
      <c r="AZ36" s="268"/>
      <c r="BA36" s="268"/>
      <c r="BB36" s="268"/>
      <c r="BC36" s="268"/>
      <c r="BD36" s="268"/>
      <c r="BE36" s="268"/>
      <c r="BF36" s="268"/>
      <c r="BG36" s="268"/>
      <c r="BH36" s="268"/>
      <c r="BI36" s="268"/>
      <c r="BJ36" s="268"/>
      <c r="BK36" s="268"/>
      <c r="BL36" s="268"/>
      <c r="BM36" s="268"/>
      <c r="BN36" s="268"/>
      <c r="BO36" s="268"/>
      <c r="BP36" s="268"/>
      <c r="BQ36" s="268"/>
      <c r="BR36" s="268"/>
      <c r="BS36" s="268"/>
      <c r="BT36" s="268"/>
      <c r="BU36" s="268"/>
      <c r="BV36" s="268"/>
      <c r="BW36" s="268"/>
      <c r="BX36" s="268"/>
      <c r="BY36" s="268"/>
      <c r="BZ36" s="268">
        <v>0</v>
      </c>
      <c r="CA36" s="268">
        <v>72.5</v>
      </c>
      <c r="CB36" s="249">
        <v>75</v>
      </c>
      <c r="CC36" s="272"/>
      <c r="CD36" s="272">
        <v>79.7</v>
      </c>
      <c r="CH36">
        <v>75</v>
      </c>
      <c r="CI36">
        <v>467.5</v>
      </c>
      <c r="CJ36">
        <v>338.5</v>
      </c>
      <c r="CK36">
        <v>338.5</v>
      </c>
      <c r="CL36">
        <v>313.5</v>
      </c>
      <c r="CM36">
        <v>260.5</v>
      </c>
      <c r="CN36">
        <v>250.5</v>
      </c>
      <c r="CO36">
        <v>30</v>
      </c>
      <c r="CP36">
        <v>88.5</v>
      </c>
      <c r="CQ36">
        <v>1.66</v>
      </c>
      <c r="CR36">
        <v>1.66</v>
      </c>
      <c r="CS36">
        <v>1.66</v>
      </c>
      <c r="CT36">
        <v>1.66</v>
      </c>
      <c r="CU36">
        <v>1.66</v>
      </c>
      <c r="CV36">
        <v>88.5</v>
      </c>
      <c r="EK36">
        <f t="shared" si="0"/>
        <v>0</v>
      </c>
      <c r="EM36">
        <v>1.66</v>
      </c>
      <c r="EN36">
        <v>1.66</v>
      </c>
      <c r="EO36">
        <v>1.66</v>
      </c>
      <c r="EP36">
        <v>1.66</v>
      </c>
      <c r="EQ36">
        <v>1.66</v>
      </c>
      <c r="ER36">
        <v>1.66</v>
      </c>
      <c r="ES36">
        <v>1.66</v>
      </c>
      <c r="ET36">
        <v>1.66</v>
      </c>
      <c r="EU36">
        <v>1.66</v>
      </c>
      <c r="EV36">
        <v>1.66</v>
      </c>
      <c r="EW36">
        <v>1.66</v>
      </c>
      <c r="EX36">
        <v>1.66</v>
      </c>
      <c r="EY36">
        <v>1.66</v>
      </c>
      <c r="EZ36">
        <v>1.66</v>
      </c>
      <c r="FA36">
        <v>1.66</v>
      </c>
      <c r="FB36">
        <v>1.66</v>
      </c>
      <c r="FC36">
        <v>1.66</v>
      </c>
      <c r="FD36">
        <v>1.66</v>
      </c>
      <c r="FE36">
        <v>1.66</v>
      </c>
      <c r="FF36">
        <v>1.66</v>
      </c>
      <c r="FG36">
        <v>1.66</v>
      </c>
      <c r="FH36">
        <v>1.66</v>
      </c>
      <c r="FI36">
        <v>1.66</v>
      </c>
      <c r="FJ36">
        <v>1.66</v>
      </c>
      <c r="FK36">
        <v>1.66</v>
      </c>
      <c r="FL36">
        <v>1.66</v>
      </c>
      <c r="FM36">
        <v>1.66</v>
      </c>
      <c r="FN36">
        <v>1.66</v>
      </c>
      <c r="FO36">
        <v>1.66</v>
      </c>
      <c r="FP36">
        <v>1.66</v>
      </c>
      <c r="FQ36">
        <v>1.66</v>
      </c>
      <c r="FR36">
        <v>1.66</v>
      </c>
      <c r="FS36">
        <v>1.66</v>
      </c>
      <c r="FT36">
        <v>1.66</v>
      </c>
      <c r="FU36">
        <v>1.66</v>
      </c>
      <c r="FV36">
        <v>1.66</v>
      </c>
      <c r="FW36">
        <v>1.66</v>
      </c>
      <c r="FX36">
        <v>1.66</v>
      </c>
      <c r="FY36">
        <v>1.66</v>
      </c>
    </row>
    <row r="37" spans="1:181">
      <c r="CH37">
        <v>0.9</v>
      </c>
      <c r="CI37">
        <v>75</v>
      </c>
      <c r="CJ37">
        <v>265.39999999999998</v>
      </c>
      <c r="CK37">
        <v>265.39999999999998</v>
      </c>
      <c r="CL37">
        <v>432.5</v>
      </c>
      <c r="CM37">
        <v>243</v>
      </c>
      <c r="CN37">
        <v>53</v>
      </c>
      <c r="CQ37">
        <v>7.5</v>
      </c>
      <c r="CR37">
        <v>7.5</v>
      </c>
      <c r="CS37">
        <v>7.5</v>
      </c>
      <c r="CT37">
        <v>7.5</v>
      </c>
      <c r="CU37">
        <v>7.5</v>
      </c>
      <c r="EK37">
        <f t="shared" si="0"/>
        <v>0</v>
      </c>
      <c r="EM37">
        <v>7.5</v>
      </c>
      <c r="EN37">
        <v>7.5</v>
      </c>
      <c r="EO37">
        <v>7.5</v>
      </c>
      <c r="EP37">
        <v>7.5</v>
      </c>
      <c r="EQ37">
        <v>7.5</v>
      </c>
      <c r="ER37">
        <v>7.5</v>
      </c>
      <c r="ES37">
        <v>7.5</v>
      </c>
      <c r="ET37">
        <v>7.5</v>
      </c>
      <c r="EU37">
        <v>7.5</v>
      </c>
      <c r="EV37">
        <v>7.5</v>
      </c>
      <c r="EW37">
        <v>7.5</v>
      </c>
      <c r="EX37">
        <v>7.5</v>
      </c>
      <c r="EY37">
        <v>7.5</v>
      </c>
      <c r="EZ37">
        <v>7.5</v>
      </c>
      <c r="FA37">
        <v>7.5</v>
      </c>
      <c r="FB37">
        <v>7.5</v>
      </c>
      <c r="FC37">
        <v>7.5</v>
      </c>
      <c r="FD37">
        <v>7.5</v>
      </c>
      <c r="FE37">
        <v>7.5</v>
      </c>
      <c r="FF37">
        <v>7.5</v>
      </c>
      <c r="FG37">
        <v>7.5</v>
      </c>
      <c r="FH37">
        <v>7.5</v>
      </c>
      <c r="FI37">
        <v>7.5</v>
      </c>
      <c r="FJ37">
        <v>7.5</v>
      </c>
      <c r="FK37">
        <v>7.5</v>
      </c>
      <c r="FL37">
        <v>7.5</v>
      </c>
      <c r="FM37">
        <v>7.5</v>
      </c>
      <c r="FN37">
        <v>7.5</v>
      </c>
      <c r="FO37">
        <v>7.5</v>
      </c>
      <c r="FP37">
        <v>7.5</v>
      </c>
      <c r="FQ37">
        <v>7.5</v>
      </c>
      <c r="FR37">
        <v>7.5</v>
      </c>
      <c r="FS37">
        <v>7.5</v>
      </c>
      <c r="FT37">
        <v>7.5</v>
      </c>
      <c r="FU37">
        <v>7.5</v>
      </c>
      <c r="FV37">
        <v>7.5</v>
      </c>
      <c r="FW37">
        <v>7.5</v>
      </c>
      <c r="FX37">
        <v>7.5</v>
      </c>
      <c r="FY37">
        <v>7.5</v>
      </c>
    </row>
    <row r="38" spans="1:181">
      <c r="CH38">
        <v>1.74</v>
      </c>
      <c r="CI38">
        <v>0.9</v>
      </c>
      <c r="CJ38">
        <v>75</v>
      </c>
      <c r="CK38">
        <v>75</v>
      </c>
      <c r="CL38">
        <v>72.5</v>
      </c>
      <c r="CM38">
        <v>0</v>
      </c>
      <c r="CN38">
        <v>0</v>
      </c>
      <c r="CQ38">
        <v>4.5</v>
      </c>
      <c r="CR38">
        <v>4.5</v>
      </c>
      <c r="CS38">
        <v>4.5</v>
      </c>
      <c r="CT38">
        <v>4.5</v>
      </c>
      <c r="CU38">
        <v>4.5</v>
      </c>
      <c r="CZ38">
        <v>0.9</v>
      </c>
      <c r="DA38">
        <v>0.9</v>
      </c>
      <c r="DB38">
        <v>0.9</v>
      </c>
      <c r="DC38">
        <v>0.9</v>
      </c>
      <c r="DD38">
        <v>0.9</v>
      </c>
      <c r="DE38">
        <v>0.9</v>
      </c>
      <c r="DF38">
        <v>0.9</v>
      </c>
      <c r="DG38">
        <v>0.9</v>
      </c>
      <c r="DH38">
        <v>0.9</v>
      </c>
      <c r="DI38">
        <v>0.9</v>
      </c>
      <c r="DJ38">
        <v>0.9</v>
      </c>
      <c r="DK38">
        <v>0.9</v>
      </c>
      <c r="DL38">
        <v>0.9</v>
      </c>
      <c r="DM38">
        <v>0.9</v>
      </c>
      <c r="DN38">
        <v>0.9</v>
      </c>
      <c r="DO38">
        <v>0.9</v>
      </c>
      <c r="DP38">
        <v>0.9</v>
      </c>
      <c r="DQ38">
        <v>0.9</v>
      </c>
      <c r="DR38">
        <v>0.9</v>
      </c>
      <c r="DS38">
        <v>0.9</v>
      </c>
      <c r="DT38">
        <v>0.9</v>
      </c>
      <c r="DU38">
        <v>0.9</v>
      </c>
      <c r="DV38">
        <v>0.9</v>
      </c>
      <c r="DW38">
        <v>0.9</v>
      </c>
      <c r="DX38">
        <v>0.9</v>
      </c>
      <c r="DY38">
        <v>0.9</v>
      </c>
      <c r="DZ38">
        <v>0.9</v>
      </c>
      <c r="EA38">
        <v>0.9</v>
      </c>
      <c r="EB38">
        <v>0.9</v>
      </c>
      <c r="EC38">
        <v>0.9</v>
      </c>
      <c r="ED38">
        <v>0.9</v>
      </c>
      <c r="EE38">
        <v>0.9</v>
      </c>
      <c r="EF38">
        <v>0.9</v>
      </c>
      <c r="EG38">
        <v>0.9</v>
      </c>
      <c r="EH38">
        <v>0.9</v>
      </c>
      <c r="EI38">
        <v>0.9</v>
      </c>
      <c r="EK38">
        <f t="shared" si="0"/>
        <v>0</v>
      </c>
      <c r="EM38">
        <v>4.5</v>
      </c>
      <c r="EN38">
        <v>4.5</v>
      </c>
      <c r="EO38">
        <v>4.5</v>
      </c>
      <c r="EP38">
        <v>4.5</v>
      </c>
      <c r="EQ38">
        <v>4.5</v>
      </c>
      <c r="ER38">
        <v>4.5</v>
      </c>
      <c r="ES38">
        <v>4.5</v>
      </c>
      <c r="ET38">
        <v>4.5</v>
      </c>
      <c r="EU38">
        <v>4.5</v>
      </c>
      <c r="EV38">
        <v>4.5</v>
      </c>
      <c r="EW38">
        <v>4.5</v>
      </c>
      <c r="EX38">
        <v>4.5</v>
      </c>
      <c r="EY38">
        <v>4.5</v>
      </c>
      <c r="EZ38">
        <v>4.5</v>
      </c>
      <c r="FA38">
        <v>4.5</v>
      </c>
      <c r="FB38">
        <v>4.5</v>
      </c>
      <c r="FC38">
        <v>4.5</v>
      </c>
      <c r="FD38">
        <v>4.5</v>
      </c>
      <c r="FE38">
        <v>4.5</v>
      </c>
      <c r="FF38">
        <v>4.5</v>
      </c>
      <c r="FG38">
        <v>4.5</v>
      </c>
      <c r="FH38">
        <v>4.5</v>
      </c>
      <c r="FI38">
        <v>4.5</v>
      </c>
      <c r="FJ38">
        <v>4.5</v>
      </c>
      <c r="FK38">
        <v>4.5</v>
      </c>
      <c r="FL38">
        <v>4.5</v>
      </c>
      <c r="FM38">
        <v>4.5</v>
      </c>
      <c r="FN38">
        <v>4.5</v>
      </c>
      <c r="FO38">
        <v>4.5</v>
      </c>
      <c r="FP38">
        <v>4.5</v>
      </c>
      <c r="FQ38">
        <v>4.5</v>
      </c>
      <c r="FR38">
        <v>4.5</v>
      </c>
      <c r="FS38">
        <v>4.5</v>
      </c>
      <c r="FT38">
        <v>4.5</v>
      </c>
      <c r="FU38">
        <v>4.5</v>
      </c>
      <c r="FV38">
        <v>4.5</v>
      </c>
      <c r="FW38">
        <v>4.5</v>
      </c>
      <c r="FX38">
        <v>4.5</v>
      </c>
      <c r="FY38">
        <v>4.5</v>
      </c>
    </row>
    <row r="39" spans="1:181">
      <c r="CH39">
        <v>2.8</v>
      </c>
      <c r="CI39">
        <v>1.74</v>
      </c>
      <c r="CJ39">
        <v>0.9</v>
      </c>
      <c r="CK39">
        <v>0.9</v>
      </c>
      <c r="CL39">
        <v>0.9</v>
      </c>
      <c r="CM39">
        <v>0.9</v>
      </c>
      <c r="CN39">
        <v>0.9</v>
      </c>
      <c r="CO39">
        <v>0.9</v>
      </c>
      <c r="CP39">
        <v>0.9</v>
      </c>
      <c r="CQ39">
        <v>5</v>
      </c>
      <c r="CR39">
        <v>5</v>
      </c>
      <c r="CS39">
        <v>5</v>
      </c>
      <c r="CT39">
        <v>5</v>
      </c>
      <c r="CU39">
        <v>5</v>
      </c>
      <c r="CV39">
        <v>0.9</v>
      </c>
      <c r="CW39">
        <v>0.9</v>
      </c>
      <c r="CX39">
        <v>0.9</v>
      </c>
      <c r="CY39">
        <v>0.9</v>
      </c>
      <c r="CZ39">
        <v>1.74</v>
      </c>
      <c r="DA39">
        <v>1.74</v>
      </c>
      <c r="DB39">
        <v>1.74</v>
      </c>
      <c r="DC39">
        <v>1.74</v>
      </c>
      <c r="DD39">
        <v>1.74</v>
      </c>
      <c r="DE39">
        <v>1.74</v>
      </c>
      <c r="DF39">
        <v>1.74</v>
      </c>
      <c r="DG39">
        <v>1.74</v>
      </c>
      <c r="DH39">
        <v>1.74</v>
      </c>
      <c r="DI39">
        <v>1.74</v>
      </c>
      <c r="DJ39">
        <v>1.74</v>
      </c>
      <c r="DK39">
        <v>1.74</v>
      </c>
      <c r="DL39">
        <v>1.74</v>
      </c>
      <c r="DM39">
        <v>1.74</v>
      </c>
      <c r="DN39">
        <v>1.74</v>
      </c>
      <c r="DO39">
        <v>1.74</v>
      </c>
      <c r="DP39">
        <v>1.74</v>
      </c>
      <c r="DQ39">
        <v>1.74</v>
      </c>
      <c r="DR39">
        <v>1.74</v>
      </c>
      <c r="DS39">
        <v>1.74</v>
      </c>
      <c r="DT39">
        <v>1.74</v>
      </c>
      <c r="DU39">
        <v>1.74</v>
      </c>
      <c r="DV39">
        <v>1.74</v>
      </c>
      <c r="DW39">
        <v>1.74</v>
      </c>
      <c r="DX39">
        <v>1.74</v>
      </c>
      <c r="DY39">
        <v>1.74</v>
      </c>
      <c r="DZ39">
        <v>1.74</v>
      </c>
      <c r="EA39">
        <v>1.74</v>
      </c>
      <c r="EB39">
        <v>1.74</v>
      </c>
      <c r="EC39">
        <v>1.74</v>
      </c>
      <c r="ED39">
        <v>1.74</v>
      </c>
      <c r="EE39">
        <v>1.74</v>
      </c>
      <c r="EF39">
        <v>1.74</v>
      </c>
      <c r="EG39">
        <v>1.74</v>
      </c>
      <c r="EH39">
        <v>1.74</v>
      </c>
      <c r="EI39">
        <v>1.74</v>
      </c>
      <c r="EK39">
        <f t="shared" si="0"/>
        <v>0</v>
      </c>
      <c r="EM39">
        <v>5</v>
      </c>
      <c r="EN39">
        <v>5</v>
      </c>
      <c r="EO39">
        <v>5</v>
      </c>
      <c r="EP39">
        <v>5</v>
      </c>
      <c r="EQ39">
        <v>5</v>
      </c>
      <c r="ER39">
        <v>5</v>
      </c>
      <c r="ES39">
        <v>5</v>
      </c>
      <c r="ET39">
        <v>5</v>
      </c>
      <c r="EU39">
        <v>5</v>
      </c>
      <c r="EV39">
        <v>5</v>
      </c>
      <c r="EW39">
        <v>5</v>
      </c>
      <c r="EX39">
        <v>5</v>
      </c>
      <c r="EY39">
        <v>5</v>
      </c>
      <c r="EZ39">
        <v>5</v>
      </c>
      <c r="FA39">
        <v>5</v>
      </c>
      <c r="FB39">
        <v>5</v>
      </c>
      <c r="FC39">
        <v>5</v>
      </c>
      <c r="FD39">
        <v>5</v>
      </c>
      <c r="FE39">
        <v>5</v>
      </c>
      <c r="FF39">
        <v>5</v>
      </c>
      <c r="FG39">
        <v>5</v>
      </c>
      <c r="FH39">
        <v>5</v>
      </c>
      <c r="FI39">
        <v>5</v>
      </c>
      <c r="FJ39">
        <v>5</v>
      </c>
      <c r="FK39">
        <v>5</v>
      </c>
      <c r="FL39">
        <v>5</v>
      </c>
      <c r="FM39">
        <v>5</v>
      </c>
      <c r="FN39">
        <v>5</v>
      </c>
      <c r="FO39">
        <v>5</v>
      </c>
      <c r="FP39">
        <v>5</v>
      </c>
      <c r="FQ39">
        <v>5</v>
      </c>
      <c r="FR39">
        <v>5</v>
      </c>
      <c r="FS39">
        <v>5</v>
      </c>
      <c r="FT39">
        <v>5</v>
      </c>
      <c r="FU39">
        <v>5</v>
      </c>
      <c r="FV39">
        <v>5</v>
      </c>
      <c r="FW39">
        <v>5</v>
      </c>
      <c r="FX39">
        <v>5</v>
      </c>
      <c r="FY39">
        <v>5</v>
      </c>
    </row>
    <row r="40" spans="1:181">
      <c r="C40">
        <v>100</v>
      </c>
      <c r="AL40">
        <v>17.399999999999999</v>
      </c>
      <c r="CH40">
        <v>15</v>
      </c>
      <c r="CI40">
        <v>2.8</v>
      </c>
      <c r="CJ40">
        <v>1.74</v>
      </c>
      <c r="CK40">
        <v>1.74</v>
      </c>
      <c r="CL40">
        <v>1.74</v>
      </c>
      <c r="CM40">
        <v>1.74</v>
      </c>
      <c r="CN40">
        <v>1.74</v>
      </c>
      <c r="CO40">
        <v>1.74</v>
      </c>
      <c r="CP40">
        <v>1.74</v>
      </c>
      <c r="CQ40">
        <v>0.8</v>
      </c>
      <c r="CR40">
        <v>0.8</v>
      </c>
      <c r="CS40">
        <v>0.8</v>
      </c>
      <c r="CT40">
        <v>0.8</v>
      </c>
      <c r="CU40">
        <v>0.8</v>
      </c>
      <c r="CV40">
        <v>1.74</v>
      </c>
      <c r="CW40">
        <v>1.74</v>
      </c>
      <c r="CX40">
        <v>1.74</v>
      </c>
      <c r="CY40">
        <v>1.74</v>
      </c>
      <c r="CZ40">
        <v>2.8</v>
      </c>
      <c r="DA40">
        <v>2.8</v>
      </c>
      <c r="DB40">
        <v>2.8</v>
      </c>
      <c r="DC40">
        <v>2.8</v>
      </c>
      <c r="DD40">
        <v>2.8</v>
      </c>
      <c r="DE40">
        <v>2.8</v>
      </c>
      <c r="DF40">
        <v>2.8</v>
      </c>
      <c r="DG40">
        <v>2.8</v>
      </c>
      <c r="DH40">
        <v>2.8</v>
      </c>
      <c r="DI40">
        <v>2.8</v>
      </c>
      <c r="DJ40">
        <v>2.8</v>
      </c>
      <c r="DK40">
        <v>2.8</v>
      </c>
      <c r="DL40">
        <v>0.9</v>
      </c>
      <c r="DM40">
        <v>0.9</v>
      </c>
      <c r="DN40">
        <v>0.9</v>
      </c>
      <c r="DO40">
        <v>0.9</v>
      </c>
      <c r="DP40">
        <v>0.9</v>
      </c>
      <c r="DQ40">
        <v>0.9</v>
      </c>
      <c r="DR40">
        <v>0.9</v>
      </c>
      <c r="DS40">
        <v>0.9</v>
      </c>
      <c r="DT40">
        <v>0.9</v>
      </c>
      <c r="DU40">
        <v>0.9</v>
      </c>
      <c r="DV40">
        <v>0.9</v>
      </c>
      <c r="DW40">
        <v>0.9</v>
      </c>
      <c r="DX40">
        <v>0.9</v>
      </c>
      <c r="DY40">
        <v>0.9</v>
      </c>
      <c r="DZ40">
        <v>0.9</v>
      </c>
      <c r="EA40">
        <v>0.9</v>
      </c>
      <c r="EB40">
        <v>0.9</v>
      </c>
      <c r="EC40">
        <v>0.9</v>
      </c>
      <c r="ED40">
        <v>0.9</v>
      </c>
      <c r="EE40">
        <v>0.9</v>
      </c>
      <c r="EF40">
        <v>0.9</v>
      </c>
      <c r="EG40">
        <v>0.9</v>
      </c>
      <c r="EH40">
        <v>0.9</v>
      </c>
      <c r="EI40">
        <v>0.9</v>
      </c>
      <c r="EK40">
        <f t="shared" si="0"/>
        <v>0</v>
      </c>
      <c r="EM40">
        <v>0.8</v>
      </c>
      <c r="EN40">
        <v>0.8</v>
      </c>
      <c r="EO40">
        <v>0.8</v>
      </c>
      <c r="EP40">
        <v>0.8</v>
      </c>
      <c r="EQ40">
        <v>0.8</v>
      </c>
      <c r="ER40">
        <v>0.8</v>
      </c>
      <c r="ES40">
        <v>0.8</v>
      </c>
      <c r="ET40">
        <v>0.8</v>
      </c>
      <c r="EU40">
        <v>0.8</v>
      </c>
      <c r="EV40">
        <v>0.8</v>
      </c>
      <c r="EW40">
        <v>0.8</v>
      </c>
      <c r="EX40">
        <v>0.8</v>
      </c>
      <c r="EY40">
        <v>0.8</v>
      </c>
      <c r="EZ40">
        <v>0.8</v>
      </c>
      <c r="FA40">
        <v>0.8</v>
      </c>
      <c r="FB40">
        <v>0.8</v>
      </c>
      <c r="FC40">
        <v>0.8</v>
      </c>
      <c r="FD40">
        <v>0.8</v>
      </c>
      <c r="FE40">
        <v>0.8</v>
      </c>
      <c r="FF40">
        <v>0.8</v>
      </c>
    </row>
    <row r="41" spans="1:181">
      <c r="C41">
        <v>50</v>
      </c>
      <c r="AL41">
        <v>4</v>
      </c>
      <c r="CH41">
        <v>4.5</v>
      </c>
      <c r="CI41">
        <v>15</v>
      </c>
      <c r="CJ41">
        <v>2.8</v>
      </c>
      <c r="CK41">
        <v>2.8</v>
      </c>
      <c r="CL41">
        <v>2.8</v>
      </c>
      <c r="CM41">
        <v>2.8</v>
      </c>
      <c r="CN41">
        <v>2.8</v>
      </c>
      <c r="CO41">
        <v>2.8</v>
      </c>
      <c r="CP41">
        <v>2.8</v>
      </c>
      <c r="CQ41">
        <v>0.4</v>
      </c>
      <c r="CR41">
        <v>0.4</v>
      </c>
      <c r="CS41">
        <v>0.4</v>
      </c>
      <c r="CT41">
        <v>0.4</v>
      </c>
      <c r="CU41">
        <v>0.4</v>
      </c>
      <c r="CV41">
        <v>2.8</v>
      </c>
      <c r="CW41">
        <v>2.8</v>
      </c>
      <c r="CX41">
        <v>2.8</v>
      </c>
      <c r="CY41">
        <v>2.8</v>
      </c>
      <c r="CZ41">
        <v>15</v>
      </c>
      <c r="DA41">
        <v>15</v>
      </c>
      <c r="DB41">
        <v>15</v>
      </c>
      <c r="DC41">
        <v>15</v>
      </c>
      <c r="DD41">
        <v>15</v>
      </c>
      <c r="DE41">
        <v>15</v>
      </c>
      <c r="DF41">
        <v>15</v>
      </c>
      <c r="DG41">
        <v>15</v>
      </c>
      <c r="DH41">
        <v>15</v>
      </c>
      <c r="DI41">
        <v>15</v>
      </c>
      <c r="DJ41">
        <v>15</v>
      </c>
      <c r="DK41">
        <v>15</v>
      </c>
      <c r="DL41">
        <v>10</v>
      </c>
      <c r="DM41">
        <v>10</v>
      </c>
      <c r="DN41">
        <v>10</v>
      </c>
      <c r="DO41">
        <v>10</v>
      </c>
      <c r="DP41">
        <v>10</v>
      </c>
      <c r="DQ41">
        <v>10</v>
      </c>
      <c r="DR41">
        <v>10</v>
      </c>
      <c r="DS41">
        <v>10</v>
      </c>
      <c r="DT41">
        <v>10</v>
      </c>
      <c r="DU41">
        <v>10</v>
      </c>
      <c r="DV41">
        <v>10</v>
      </c>
      <c r="DW41">
        <v>10</v>
      </c>
      <c r="DX41">
        <v>10</v>
      </c>
      <c r="DY41">
        <v>10</v>
      </c>
      <c r="DZ41">
        <v>10</v>
      </c>
      <c r="EA41">
        <v>10</v>
      </c>
      <c r="EB41">
        <v>5</v>
      </c>
      <c r="EC41">
        <v>5</v>
      </c>
      <c r="ED41">
        <v>5</v>
      </c>
      <c r="EE41">
        <v>5</v>
      </c>
      <c r="EF41">
        <v>5</v>
      </c>
      <c r="EG41">
        <v>5</v>
      </c>
      <c r="EH41">
        <v>5</v>
      </c>
      <c r="EI41">
        <v>5</v>
      </c>
      <c r="EK41">
        <f t="shared" si="0"/>
        <v>0</v>
      </c>
      <c r="EM41">
        <v>0.4</v>
      </c>
      <c r="EN41">
        <v>0.4</v>
      </c>
      <c r="EO41">
        <v>0.4</v>
      </c>
      <c r="EP41">
        <v>0.4</v>
      </c>
      <c r="EQ41">
        <v>0.4</v>
      </c>
      <c r="ER41">
        <v>0.4</v>
      </c>
      <c r="ES41">
        <v>0.4</v>
      </c>
      <c r="ET41">
        <v>0.4</v>
      </c>
      <c r="EU41">
        <v>0.4</v>
      </c>
      <c r="EV41">
        <v>0.4</v>
      </c>
      <c r="EW41">
        <v>0.4</v>
      </c>
      <c r="EX41">
        <v>0.4</v>
      </c>
      <c r="EY41">
        <v>0.4</v>
      </c>
      <c r="EZ41">
        <v>0.4</v>
      </c>
      <c r="FA41">
        <v>0.4</v>
      </c>
      <c r="FB41">
        <v>0.4</v>
      </c>
      <c r="FC41">
        <v>0.4</v>
      </c>
      <c r="FD41">
        <v>0.4</v>
      </c>
      <c r="FE41">
        <v>0.4</v>
      </c>
      <c r="FF41">
        <v>0.4</v>
      </c>
      <c r="FG41">
        <v>0.4</v>
      </c>
      <c r="FH41">
        <v>0.4</v>
      </c>
      <c r="FI41">
        <v>0.4</v>
      </c>
      <c r="FJ41">
        <v>0.4</v>
      </c>
      <c r="FK41">
        <v>0.4</v>
      </c>
      <c r="FL41">
        <v>0.4</v>
      </c>
      <c r="FM41">
        <v>0.4</v>
      </c>
      <c r="FN41">
        <v>0.4</v>
      </c>
      <c r="FO41">
        <v>0.4</v>
      </c>
      <c r="FP41">
        <v>0.4</v>
      </c>
      <c r="FQ41">
        <v>0.4</v>
      </c>
      <c r="FR41">
        <v>0.4</v>
      </c>
      <c r="FS41">
        <v>0.4</v>
      </c>
      <c r="FT41">
        <v>0.4</v>
      </c>
      <c r="FU41">
        <v>0.4</v>
      </c>
      <c r="FV41">
        <v>0.4</v>
      </c>
      <c r="FW41">
        <v>0.4</v>
      </c>
      <c r="FX41">
        <v>0.4</v>
      </c>
      <c r="FY41">
        <v>0.4</v>
      </c>
    </row>
    <row r="42" spans="1:181">
      <c r="C42">
        <v>10</v>
      </c>
      <c r="AL42">
        <v>21.4</v>
      </c>
      <c r="CH42">
        <v>4.5</v>
      </c>
      <c r="CI42">
        <v>4.5</v>
      </c>
      <c r="CJ42">
        <v>15</v>
      </c>
      <c r="CK42">
        <v>15</v>
      </c>
      <c r="CL42">
        <v>15</v>
      </c>
      <c r="CM42">
        <v>15</v>
      </c>
      <c r="CN42">
        <v>15</v>
      </c>
      <c r="CO42">
        <v>15</v>
      </c>
      <c r="CP42">
        <v>15</v>
      </c>
      <c r="CQ42">
        <v>1.8</v>
      </c>
      <c r="CR42">
        <v>1.8</v>
      </c>
      <c r="CS42">
        <v>1.8</v>
      </c>
      <c r="CT42">
        <v>1.8</v>
      </c>
      <c r="CU42">
        <v>1.8</v>
      </c>
      <c r="CV42">
        <v>15</v>
      </c>
      <c r="CW42">
        <v>15</v>
      </c>
      <c r="CX42">
        <v>15</v>
      </c>
      <c r="CY42">
        <v>15</v>
      </c>
      <c r="CZ42">
        <v>4.5</v>
      </c>
      <c r="DA42">
        <v>4.5</v>
      </c>
      <c r="DB42">
        <v>4.5</v>
      </c>
      <c r="DC42">
        <v>4.5</v>
      </c>
      <c r="DD42">
        <v>4.5</v>
      </c>
      <c r="DE42">
        <v>4.5</v>
      </c>
      <c r="DF42">
        <v>4.5</v>
      </c>
      <c r="DG42">
        <v>4.5</v>
      </c>
      <c r="DH42">
        <v>4.5</v>
      </c>
      <c r="DI42">
        <v>4.5</v>
      </c>
      <c r="DJ42">
        <v>4.5</v>
      </c>
      <c r="DK42">
        <v>4.5</v>
      </c>
      <c r="DL42">
        <v>2.1</v>
      </c>
      <c r="DM42">
        <v>2.1</v>
      </c>
      <c r="DN42">
        <v>2.1</v>
      </c>
      <c r="DO42">
        <v>2.1</v>
      </c>
      <c r="DP42">
        <v>2.1</v>
      </c>
      <c r="DQ42">
        <v>2.1</v>
      </c>
      <c r="DR42">
        <v>2.1</v>
      </c>
      <c r="DS42">
        <v>2.1</v>
      </c>
      <c r="DT42">
        <v>2.1</v>
      </c>
      <c r="DU42">
        <v>2.1</v>
      </c>
      <c r="DV42">
        <v>2.1</v>
      </c>
      <c r="DW42">
        <v>2.1</v>
      </c>
      <c r="DX42">
        <v>2.1</v>
      </c>
      <c r="DY42">
        <v>2.1</v>
      </c>
      <c r="DZ42">
        <v>2.1</v>
      </c>
      <c r="EA42">
        <v>2.1</v>
      </c>
      <c r="EB42">
        <v>1</v>
      </c>
      <c r="EC42">
        <v>1</v>
      </c>
      <c r="ED42">
        <v>1</v>
      </c>
      <c r="EE42">
        <v>1</v>
      </c>
      <c r="EF42">
        <v>1</v>
      </c>
      <c r="EG42">
        <v>1</v>
      </c>
      <c r="EH42">
        <v>1</v>
      </c>
      <c r="EI42">
        <v>1</v>
      </c>
      <c r="EK42">
        <f t="shared" si="0"/>
        <v>0</v>
      </c>
      <c r="EM42">
        <v>1.8</v>
      </c>
      <c r="EN42">
        <v>1.8</v>
      </c>
      <c r="EO42">
        <v>1.8</v>
      </c>
      <c r="EP42">
        <v>1.8</v>
      </c>
      <c r="EQ42">
        <v>1.8</v>
      </c>
      <c r="ER42">
        <v>1.8</v>
      </c>
      <c r="ES42">
        <v>1.8</v>
      </c>
      <c r="ET42">
        <v>1.8</v>
      </c>
      <c r="EU42">
        <v>1.8</v>
      </c>
      <c r="EV42">
        <v>1.8</v>
      </c>
      <c r="EW42">
        <v>1.8</v>
      </c>
      <c r="EX42">
        <v>1.8</v>
      </c>
      <c r="EY42">
        <v>1.8</v>
      </c>
      <c r="EZ42">
        <v>1.8</v>
      </c>
      <c r="FA42">
        <v>1.8</v>
      </c>
      <c r="FB42">
        <v>1.8</v>
      </c>
      <c r="FC42">
        <v>1.8</v>
      </c>
      <c r="FD42">
        <v>1.8</v>
      </c>
      <c r="FE42">
        <v>1.8</v>
      </c>
      <c r="FF42">
        <v>1.8</v>
      </c>
      <c r="FG42">
        <v>1.8</v>
      </c>
      <c r="FH42">
        <v>1.8</v>
      </c>
      <c r="FI42">
        <v>1.8</v>
      </c>
      <c r="FJ42">
        <v>1.8</v>
      </c>
      <c r="FK42">
        <v>1.8</v>
      </c>
      <c r="FL42">
        <v>1.8</v>
      </c>
      <c r="FM42">
        <v>1.8</v>
      </c>
      <c r="FN42">
        <v>1.8</v>
      </c>
      <c r="FO42">
        <v>1.8</v>
      </c>
      <c r="FP42">
        <v>1.8</v>
      </c>
      <c r="FQ42">
        <v>1.8</v>
      </c>
      <c r="FR42">
        <v>1.8</v>
      </c>
      <c r="FS42">
        <v>1.8</v>
      </c>
      <c r="FT42">
        <v>1.8</v>
      </c>
      <c r="FU42">
        <v>1.8</v>
      </c>
      <c r="FV42">
        <v>1.8</v>
      </c>
      <c r="FW42">
        <v>1.8</v>
      </c>
      <c r="FX42">
        <v>1.8</v>
      </c>
      <c r="FY42">
        <v>1.8</v>
      </c>
    </row>
    <row r="43" spans="1:181">
      <c r="C43">
        <v>50</v>
      </c>
      <c r="AL43">
        <f>+AL42+0.8</f>
        <v>22.2</v>
      </c>
      <c r="CH43">
        <v>4</v>
      </c>
      <c r="CI43">
        <v>4.5</v>
      </c>
      <c r="CJ43">
        <v>4.5</v>
      </c>
      <c r="CK43">
        <v>4.5</v>
      </c>
      <c r="CL43">
        <v>4.5</v>
      </c>
      <c r="CM43">
        <v>4.5</v>
      </c>
      <c r="CN43">
        <v>4.5</v>
      </c>
      <c r="CO43">
        <v>4.5</v>
      </c>
      <c r="CP43">
        <v>4.5</v>
      </c>
      <c r="CQ43">
        <v>2</v>
      </c>
      <c r="CR43">
        <v>2</v>
      </c>
      <c r="CS43">
        <v>2</v>
      </c>
      <c r="CT43">
        <v>2</v>
      </c>
      <c r="CU43">
        <v>2</v>
      </c>
      <c r="CV43">
        <v>4.5</v>
      </c>
      <c r="CW43">
        <v>4.5</v>
      </c>
      <c r="CX43">
        <v>4.5</v>
      </c>
      <c r="CY43">
        <v>4.5</v>
      </c>
      <c r="CZ43">
        <v>4.5</v>
      </c>
      <c r="DA43">
        <v>4.5</v>
      </c>
      <c r="DB43">
        <v>4.5</v>
      </c>
      <c r="DC43">
        <v>4.5</v>
      </c>
      <c r="DD43">
        <v>4.5</v>
      </c>
      <c r="DE43">
        <v>4.5</v>
      </c>
      <c r="DF43">
        <v>4.5</v>
      </c>
      <c r="DG43">
        <v>4.5</v>
      </c>
      <c r="DH43">
        <v>4.5</v>
      </c>
      <c r="DI43">
        <v>4.5</v>
      </c>
      <c r="DJ43">
        <v>4.5</v>
      </c>
      <c r="DK43">
        <v>4.5</v>
      </c>
      <c r="DL43">
        <v>4.5</v>
      </c>
      <c r="DM43">
        <v>4.5</v>
      </c>
      <c r="DN43">
        <v>4.5</v>
      </c>
      <c r="DO43">
        <v>4.5</v>
      </c>
      <c r="DP43">
        <v>4.5</v>
      </c>
      <c r="DQ43">
        <v>4.5</v>
      </c>
      <c r="DR43">
        <v>4.5</v>
      </c>
      <c r="DS43">
        <v>4.5</v>
      </c>
      <c r="DT43">
        <v>4.5</v>
      </c>
      <c r="DU43">
        <v>4.5</v>
      </c>
      <c r="DV43">
        <v>4.5</v>
      </c>
      <c r="DW43">
        <v>4.5</v>
      </c>
      <c r="DX43">
        <v>4.5</v>
      </c>
      <c r="DY43">
        <v>4.5</v>
      </c>
      <c r="DZ43">
        <v>4.5</v>
      </c>
      <c r="EA43">
        <v>4.5</v>
      </c>
      <c r="EC43">
        <v>2</v>
      </c>
      <c r="ED43">
        <v>2</v>
      </c>
      <c r="EE43">
        <v>2</v>
      </c>
      <c r="EF43">
        <v>2</v>
      </c>
      <c r="EG43">
        <v>2</v>
      </c>
      <c r="EH43">
        <v>2</v>
      </c>
      <c r="EI43">
        <v>2</v>
      </c>
      <c r="EK43">
        <f t="shared" si="0"/>
        <v>0</v>
      </c>
      <c r="EM43">
        <v>2</v>
      </c>
      <c r="EN43">
        <v>2</v>
      </c>
      <c r="EO43">
        <v>2</v>
      </c>
      <c r="EP43">
        <v>2</v>
      </c>
      <c r="EQ43">
        <v>2</v>
      </c>
      <c r="ER43">
        <v>2</v>
      </c>
      <c r="ES43">
        <v>2</v>
      </c>
      <c r="ET43">
        <v>2</v>
      </c>
      <c r="EU43">
        <v>2</v>
      </c>
      <c r="EV43">
        <v>2</v>
      </c>
      <c r="EW43">
        <v>2</v>
      </c>
      <c r="EX43">
        <v>2</v>
      </c>
      <c r="EY43">
        <v>2</v>
      </c>
      <c r="EZ43">
        <v>2</v>
      </c>
      <c r="FA43">
        <v>2</v>
      </c>
      <c r="FB43">
        <v>2</v>
      </c>
      <c r="FC43">
        <v>2</v>
      </c>
      <c r="FD43">
        <v>2</v>
      </c>
      <c r="FE43">
        <v>2</v>
      </c>
      <c r="FF43">
        <v>2</v>
      </c>
      <c r="FG43">
        <v>2</v>
      </c>
      <c r="FH43">
        <v>2</v>
      </c>
      <c r="FI43">
        <v>2</v>
      </c>
      <c r="FJ43">
        <v>2</v>
      </c>
      <c r="FK43">
        <v>2</v>
      </c>
      <c r="FL43">
        <v>2</v>
      </c>
      <c r="FM43">
        <v>2</v>
      </c>
      <c r="FN43">
        <v>2</v>
      </c>
      <c r="FO43">
        <v>2</v>
      </c>
      <c r="FP43">
        <v>2</v>
      </c>
      <c r="FQ43">
        <v>2</v>
      </c>
      <c r="FR43">
        <v>2</v>
      </c>
      <c r="FS43">
        <v>2</v>
      </c>
      <c r="FT43">
        <v>2</v>
      </c>
      <c r="FU43">
        <v>2</v>
      </c>
      <c r="FV43">
        <v>2</v>
      </c>
      <c r="FW43">
        <v>2</v>
      </c>
      <c r="FX43">
        <v>2</v>
      </c>
      <c r="FY43">
        <v>2</v>
      </c>
    </row>
    <row r="44" spans="1:181">
      <c r="C44">
        <v>90</v>
      </c>
      <c r="CH44">
        <v>6.3</v>
      </c>
      <c r="CI44">
        <v>4</v>
      </c>
      <c r="CJ44">
        <v>4.5</v>
      </c>
      <c r="CK44">
        <v>4.5</v>
      </c>
      <c r="CL44">
        <v>4.5</v>
      </c>
      <c r="CM44">
        <v>4.5</v>
      </c>
      <c r="CN44">
        <v>4.5</v>
      </c>
      <c r="CO44">
        <v>4.5</v>
      </c>
      <c r="CP44">
        <v>4.5</v>
      </c>
      <c r="CQ44">
        <v>5</v>
      </c>
      <c r="CR44">
        <v>5</v>
      </c>
      <c r="CS44">
        <v>5</v>
      </c>
      <c r="CT44">
        <v>5</v>
      </c>
      <c r="CU44">
        <v>5</v>
      </c>
      <c r="CV44">
        <v>4.5</v>
      </c>
      <c r="CW44">
        <v>4.5</v>
      </c>
      <c r="CX44">
        <v>4.5</v>
      </c>
      <c r="CY44">
        <v>4.5</v>
      </c>
      <c r="CZ44">
        <v>4</v>
      </c>
      <c r="DA44">
        <v>4</v>
      </c>
      <c r="DB44">
        <v>4</v>
      </c>
      <c r="DC44">
        <v>4</v>
      </c>
      <c r="DD44">
        <v>4</v>
      </c>
      <c r="DE44">
        <v>4</v>
      </c>
      <c r="DF44">
        <v>4</v>
      </c>
      <c r="DG44">
        <v>4</v>
      </c>
      <c r="DH44">
        <v>4</v>
      </c>
      <c r="DI44">
        <v>4</v>
      </c>
      <c r="DJ44">
        <v>4</v>
      </c>
      <c r="DK44">
        <v>4</v>
      </c>
      <c r="DL44">
        <v>4</v>
      </c>
      <c r="DM44">
        <v>4</v>
      </c>
      <c r="DN44">
        <v>4</v>
      </c>
      <c r="DO44">
        <v>4</v>
      </c>
      <c r="DP44">
        <v>4</v>
      </c>
      <c r="DQ44">
        <v>4</v>
      </c>
      <c r="DR44">
        <v>4</v>
      </c>
      <c r="DS44">
        <v>4</v>
      </c>
      <c r="DT44">
        <v>4</v>
      </c>
      <c r="DU44">
        <v>4</v>
      </c>
      <c r="DV44">
        <v>4</v>
      </c>
      <c r="DW44">
        <v>4</v>
      </c>
      <c r="DX44">
        <v>4</v>
      </c>
      <c r="DY44">
        <v>4</v>
      </c>
      <c r="DZ44">
        <v>4</v>
      </c>
      <c r="EA44">
        <v>4</v>
      </c>
      <c r="EB44">
        <v>2</v>
      </c>
      <c r="EC44">
        <v>2</v>
      </c>
      <c r="ED44">
        <v>2</v>
      </c>
      <c r="EE44">
        <v>2</v>
      </c>
      <c r="EF44">
        <v>2</v>
      </c>
      <c r="EG44">
        <v>2</v>
      </c>
      <c r="EH44">
        <v>2</v>
      </c>
      <c r="EI44">
        <v>2</v>
      </c>
      <c r="EK44">
        <f t="shared" si="0"/>
        <v>0</v>
      </c>
      <c r="EM44">
        <v>5</v>
      </c>
      <c r="EN44">
        <v>5</v>
      </c>
      <c r="EO44">
        <v>5</v>
      </c>
      <c r="EP44">
        <v>5</v>
      </c>
      <c r="EQ44">
        <v>5</v>
      </c>
      <c r="ER44">
        <v>5</v>
      </c>
      <c r="ES44">
        <v>5</v>
      </c>
      <c r="ET44">
        <v>5</v>
      </c>
      <c r="EU44">
        <v>5</v>
      </c>
      <c r="EV44">
        <v>5</v>
      </c>
      <c r="EW44">
        <v>5</v>
      </c>
      <c r="EX44">
        <v>5</v>
      </c>
      <c r="EY44">
        <v>5</v>
      </c>
      <c r="EZ44">
        <v>5</v>
      </c>
      <c r="FA44">
        <v>5</v>
      </c>
      <c r="FB44">
        <v>5</v>
      </c>
      <c r="FC44">
        <v>5</v>
      </c>
      <c r="FD44">
        <v>5</v>
      </c>
      <c r="FE44">
        <v>5</v>
      </c>
      <c r="FF44">
        <v>5</v>
      </c>
      <c r="FG44">
        <v>5</v>
      </c>
      <c r="FH44">
        <v>5</v>
      </c>
      <c r="FI44">
        <v>5</v>
      </c>
      <c r="FJ44">
        <v>5</v>
      </c>
      <c r="FK44">
        <v>5</v>
      </c>
      <c r="FL44">
        <v>5</v>
      </c>
      <c r="FM44">
        <v>5</v>
      </c>
      <c r="FN44">
        <v>5</v>
      </c>
      <c r="FO44">
        <v>5</v>
      </c>
      <c r="FP44">
        <v>5</v>
      </c>
      <c r="FQ44">
        <v>5</v>
      </c>
      <c r="FR44">
        <v>5</v>
      </c>
      <c r="FS44">
        <v>5</v>
      </c>
      <c r="FT44">
        <v>5</v>
      </c>
      <c r="FU44">
        <v>5</v>
      </c>
      <c r="FV44">
        <v>5</v>
      </c>
      <c r="FW44">
        <v>5</v>
      </c>
      <c r="FX44">
        <v>5</v>
      </c>
      <c r="FY44">
        <v>5</v>
      </c>
    </row>
    <row r="45" spans="1:181">
      <c r="C45">
        <v>79.7</v>
      </c>
      <c r="CH45">
        <v>25</v>
      </c>
      <c r="CI45">
        <v>6.3</v>
      </c>
      <c r="CJ45">
        <v>4</v>
      </c>
      <c r="CK45">
        <v>4</v>
      </c>
      <c r="CL45">
        <v>4</v>
      </c>
      <c r="CM45">
        <v>4</v>
      </c>
      <c r="CN45">
        <v>4</v>
      </c>
      <c r="CO45">
        <v>4</v>
      </c>
      <c r="CP45">
        <v>4</v>
      </c>
      <c r="CQ45">
        <v>22</v>
      </c>
      <c r="CR45">
        <v>22</v>
      </c>
      <c r="CV45">
        <v>4</v>
      </c>
      <c r="CW45">
        <v>4</v>
      </c>
      <c r="CX45">
        <v>4</v>
      </c>
      <c r="CY45">
        <v>4</v>
      </c>
      <c r="CZ45">
        <v>2</v>
      </c>
      <c r="DA45">
        <v>2</v>
      </c>
      <c r="DB45">
        <v>2</v>
      </c>
      <c r="DC45">
        <v>2</v>
      </c>
      <c r="DD45">
        <v>2</v>
      </c>
      <c r="DE45">
        <v>2</v>
      </c>
      <c r="DF45">
        <v>2</v>
      </c>
      <c r="DG45">
        <v>2</v>
      </c>
      <c r="DH45">
        <v>2</v>
      </c>
      <c r="DI45">
        <v>2</v>
      </c>
      <c r="DJ45">
        <v>2</v>
      </c>
      <c r="DK45">
        <v>2</v>
      </c>
      <c r="DL45">
        <v>2</v>
      </c>
      <c r="DM45">
        <v>2</v>
      </c>
      <c r="DN45">
        <v>2</v>
      </c>
      <c r="DO45">
        <v>2</v>
      </c>
      <c r="DP45">
        <v>2</v>
      </c>
      <c r="DQ45">
        <v>2</v>
      </c>
      <c r="DR45">
        <v>2</v>
      </c>
      <c r="DS45">
        <v>2</v>
      </c>
      <c r="DT45">
        <v>2</v>
      </c>
      <c r="DU45">
        <v>2</v>
      </c>
      <c r="DV45">
        <v>2</v>
      </c>
      <c r="DW45">
        <v>2</v>
      </c>
      <c r="DX45">
        <v>2</v>
      </c>
      <c r="DY45">
        <v>2</v>
      </c>
      <c r="DZ45">
        <v>2</v>
      </c>
      <c r="EA45">
        <v>2</v>
      </c>
      <c r="EB45">
        <v>2</v>
      </c>
      <c r="EC45">
        <v>1</v>
      </c>
      <c r="ED45">
        <v>1</v>
      </c>
      <c r="EE45">
        <v>1</v>
      </c>
      <c r="EF45">
        <v>1</v>
      </c>
      <c r="EG45">
        <v>1</v>
      </c>
      <c r="EH45">
        <v>1</v>
      </c>
      <c r="EI45">
        <v>1</v>
      </c>
      <c r="EK45">
        <f t="shared" si="0"/>
        <v>0</v>
      </c>
    </row>
    <row r="46" spans="1:181">
      <c r="C46">
        <v>379</v>
      </c>
      <c r="CH46">
        <v>25</v>
      </c>
      <c r="CI46">
        <v>25</v>
      </c>
      <c r="CJ46">
        <v>6.3</v>
      </c>
      <c r="CK46">
        <v>6.3</v>
      </c>
      <c r="CL46">
        <v>6.3</v>
      </c>
      <c r="CM46">
        <v>6.3</v>
      </c>
      <c r="CN46">
        <v>6.3</v>
      </c>
      <c r="CO46">
        <v>2</v>
      </c>
      <c r="CP46">
        <v>2</v>
      </c>
      <c r="CQ46">
        <v>8</v>
      </c>
      <c r="CR46">
        <v>8</v>
      </c>
      <c r="CS46">
        <v>8</v>
      </c>
      <c r="CT46">
        <v>8</v>
      </c>
      <c r="CU46">
        <v>3</v>
      </c>
      <c r="CV46">
        <v>2</v>
      </c>
      <c r="CW46">
        <v>2</v>
      </c>
      <c r="CX46">
        <v>2</v>
      </c>
      <c r="CY46">
        <v>2</v>
      </c>
      <c r="CZ46">
        <v>7</v>
      </c>
      <c r="DA46">
        <v>7</v>
      </c>
      <c r="DB46">
        <v>7</v>
      </c>
      <c r="DC46">
        <v>7</v>
      </c>
      <c r="DD46">
        <v>7</v>
      </c>
      <c r="DE46">
        <v>7</v>
      </c>
      <c r="DF46">
        <v>7</v>
      </c>
      <c r="DG46">
        <v>7</v>
      </c>
      <c r="DH46">
        <v>7</v>
      </c>
      <c r="DI46">
        <v>7</v>
      </c>
      <c r="DJ46">
        <v>7</v>
      </c>
      <c r="DK46">
        <v>7</v>
      </c>
      <c r="DL46">
        <v>7</v>
      </c>
      <c r="DM46">
        <v>7</v>
      </c>
      <c r="DN46">
        <v>7</v>
      </c>
      <c r="DO46">
        <v>7</v>
      </c>
      <c r="DP46">
        <v>7</v>
      </c>
      <c r="DQ46">
        <v>7</v>
      </c>
      <c r="DR46">
        <v>7</v>
      </c>
      <c r="DS46">
        <v>7</v>
      </c>
      <c r="DT46">
        <v>7</v>
      </c>
      <c r="DU46">
        <v>7</v>
      </c>
      <c r="DV46">
        <v>7</v>
      </c>
      <c r="DW46">
        <v>7</v>
      </c>
      <c r="DX46">
        <v>7</v>
      </c>
      <c r="DY46">
        <v>6</v>
      </c>
      <c r="DZ46">
        <v>6</v>
      </c>
      <c r="EA46">
        <v>6</v>
      </c>
      <c r="EB46">
        <v>2</v>
      </c>
      <c r="EC46">
        <v>0.3</v>
      </c>
      <c r="ED46">
        <v>0.3</v>
      </c>
      <c r="EE46">
        <v>0.3</v>
      </c>
      <c r="EF46">
        <v>0.3</v>
      </c>
      <c r="EG46">
        <v>0.3</v>
      </c>
      <c r="EH46">
        <v>0.3</v>
      </c>
      <c r="EI46">
        <v>0.3</v>
      </c>
      <c r="EK46">
        <f t="shared" si="0"/>
        <v>0</v>
      </c>
      <c r="EM46">
        <v>3</v>
      </c>
      <c r="EN46">
        <v>3</v>
      </c>
      <c r="EO46">
        <v>3</v>
      </c>
      <c r="EP46">
        <v>3</v>
      </c>
      <c r="EQ46">
        <v>3</v>
      </c>
      <c r="ER46">
        <v>3</v>
      </c>
      <c r="ES46">
        <v>3</v>
      </c>
      <c r="ET46">
        <v>3</v>
      </c>
      <c r="EU46">
        <v>3</v>
      </c>
      <c r="EV46">
        <v>3</v>
      </c>
    </row>
    <row r="47" spans="1:181">
      <c r="CH47">
        <v>20</v>
      </c>
      <c r="CI47">
        <v>25</v>
      </c>
      <c r="CJ47">
        <v>25</v>
      </c>
      <c r="CK47">
        <v>25</v>
      </c>
      <c r="CL47">
        <v>25</v>
      </c>
      <c r="CM47">
        <v>25</v>
      </c>
      <c r="CN47">
        <v>25</v>
      </c>
      <c r="CO47">
        <v>7</v>
      </c>
      <c r="CP47">
        <v>7</v>
      </c>
      <c r="CQ47">
        <v>0.7</v>
      </c>
      <c r="CR47">
        <v>0.7</v>
      </c>
      <c r="CS47">
        <v>0.7</v>
      </c>
      <c r="CT47">
        <v>0.7</v>
      </c>
      <c r="CU47">
        <v>0.7</v>
      </c>
      <c r="CV47">
        <v>7</v>
      </c>
      <c r="CW47">
        <v>7</v>
      </c>
      <c r="CX47">
        <v>7</v>
      </c>
      <c r="CY47">
        <v>7</v>
      </c>
      <c r="CZ47">
        <v>5.0999999999999996</v>
      </c>
      <c r="DA47">
        <v>5.0999999999999996</v>
      </c>
      <c r="DB47">
        <v>5.0999999999999996</v>
      </c>
      <c r="DC47">
        <v>5.0999999999999996</v>
      </c>
      <c r="DD47">
        <v>5.0999999999999996</v>
      </c>
      <c r="DE47">
        <v>5.0999999999999996</v>
      </c>
      <c r="DF47">
        <v>5.0999999999999996</v>
      </c>
      <c r="DG47">
        <v>5.0999999999999996</v>
      </c>
      <c r="DH47">
        <v>5.0999999999999996</v>
      </c>
      <c r="DI47">
        <v>5.0999999999999996</v>
      </c>
      <c r="DJ47">
        <v>5.0999999999999996</v>
      </c>
      <c r="DK47">
        <v>5.0999999999999996</v>
      </c>
      <c r="DL47">
        <v>5.0999999999999996</v>
      </c>
      <c r="DM47">
        <v>5.0999999999999996</v>
      </c>
      <c r="DN47">
        <v>5.0999999999999996</v>
      </c>
      <c r="DO47">
        <v>5.0999999999999996</v>
      </c>
      <c r="DP47">
        <v>5.0999999999999996</v>
      </c>
      <c r="DQ47">
        <v>5.0999999999999996</v>
      </c>
      <c r="DR47">
        <v>5.0999999999999996</v>
      </c>
      <c r="DS47">
        <v>5.0999999999999996</v>
      </c>
      <c r="DT47">
        <v>5.0999999999999996</v>
      </c>
      <c r="DU47">
        <v>5.0999999999999996</v>
      </c>
      <c r="DV47">
        <v>5.0999999999999996</v>
      </c>
      <c r="DW47">
        <v>5.0999999999999996</v>
      </c>
      <c r="DX47">
        <v>5.0999999999999996</v>
      </c>
      <c r="DY47">
        <v>5.0999999999999996</v>
      </c>
      <c r="DZ47">
        <v>5.0999999999999996</v>
      </c>
      <c r="EA47">
        <v>5.0999999999999996</v>
      </c>
      <c r="EB47">
        <v>1</v>
      </c>
      <c r="EK47">
        <f t="shared" si="0"/>
        <v>0</v>
      </c>
      <c r="EM47">
        <v>0.7</v>
      </c>
      <c r="EN47">
        <v>0.7</v>
      </c>
    </row>
    <row r="48" spans="1:181">
      <c r="CH48">
        <v>20</v>
      </c>
      <c r="CI48">
        <v>20</v>
      </c>
      <c r="CJ48">
        <v>25</v>
      </c>
      <c r="CK48">
        <v>25</v>
      </c>
      <c r="CL48">
        <v>25</v>
      </c>
      <c r="CM48">
        <v>25</v>
      </c>
      <c r="CN48">
        <v>25</v>
      </c>
      <c r="CO48">
        <v>5.0999999999999996</v>
      </c>
      <c r="CP48">
        <v>5.0999999999999996</v>
      </c>
      <c r="CQ48">
        <v>3</v>
      </c>
      <c r="CR48">
        <v>3</v>
      </c>
      <c r="CS48">
        <v>3</v>
      </c>
      <c r="CT48">
        <v>3</v>
      </c>
      <c r="CU48">
        <v>3</v>
      </c>
      <c r="CV48">
        <v>5.0999999999999996</v>
      </c>
      <c r="CW48">
        <v>5.0999999999999996</v>
      </c>
      <c r="CX48">
        <v>5.0999999999999996</v>
      </c>
      <c r="CY48">
        <v>5.0999999999999996</v>
      </c>
      <c r="CZ48">
        <v>20</v>
      </c>
      <c r="DA48">
        <v>20</v>
      </c>
      <c r="DB48">
        <v>20</v>
      </c>
      <c r="DC48">
        <v>20</v>
      </c>
      <c r="EB48">
        <v>0.3</v>
      </c>
      <c r="EK48">
        <f t="shared" si="0"/>
        <v>0</v>
      </c>
      <c r="EM48">
        <v>3</v>
      </c>
      <c r="EN48">
        <v>3</v>
      </c>
      <c r="EO48">
        <v>3</v>
      </c>
      <c r="EP48">
        <v>3</v>
      </c>
      <c r="EQ48">
        <v>3</v>
      </c>
      <c r="ER48">
        <v>3</v>
      </c>
      <c r="ES48">
        <v>3</v>
      </c>
      <c r="ET48">
        <v>3</v>
      </c>
      <c r="EU48">
        <v>3</v>
      </c>
      <c r="EV48">
        <v>3</v>
      </c>
      <c r="EW48">
        <v>3</v>
      </c>
      <c r="EX48">
        <v>3</v>
      </c>
      <c r="EY48">
        <v>3</v>
      </c>
      <c r="EZ48">
        <v>3</v>
      </c>
      <c r="FA48">
        <v>3</v>
      </c>
      <c r="FB48">
        <v>3</v>
      </c>
      <c r="FC48">
        <v>3</v>
      </c>
      <c r="FD48">
        <v>3</v>
      </c>
      <c r="FE48">
        <v>3</v>
      </c>
      <c r="FF48">
        <v>3</v>
      </c>
      <c r="FG48">
        <v>3</v>
      </c>
      <c r="FH48">
        <v>3</v>
      </c>
      <c r="FI48">
        <v>3</v>
      </c>
    </row>
    <row r="49" spans="81:181">
      <c r="CC49" s="3"/>
      <c r="CH49">
        <v>291.60000000000002</v>
      </c>
      <c r="CI49">
        <v>20</v>
      </c>
      <c r="CJ49">
        <v>20</v>
      </c>
      <c r="CK49">
        <v>20</v>
      </c>
      <c r="CL49">
        <v>20</v>
      </c>
      <c r="CM49">
        <v>20</v>
      </c>
      <c r="CN49">
        <v>20</v>
      </c>
      <c r="CO49">
        <v>20</v>
      </c>
      <c r="CP49">
        <v>20</v>
      </c>
      <c r="CQ49">
        <v>3.3</v>
      </c>
      <c r="CR49">
        <v>4.0999999999999996</v>
      </c>
      <c r="CS49">
        <v>4.0999999999999996</v>
      </c>
      <c r="CT49">
        <v>4.0999999999999996</v>
      </c>
      <c r="CU49">
        <v>4.0999999999999996</v>
      </c>
      <c r="CV49">
        <v>20</v>
      </c>
      <c r="CW49">
        <v>20</v>
      </c>
      <c r="CX49">
        <v>20</v>
      </c>
      <c r="CY49">
        <v>20</v>
      </c>
      <c r="CZ49">
        <v>2</v>
      </c>
      <c r="DA49">
        <v>2</v>
      </c>
      <c r="DB49">
        <v>2</v>
      </c>
      <c r="DC49">
        <v>2</v>
      </c>
      <c r="DD49">
        <v>2</v>
      </c>
      <c r="DE49">
        <v>2</v>
      </c>
      <c r="DF49">
        <v>2</v>
      </c>
      <c r="DG49">
        <v>2</v>
      </c>
      <c r="DH49">
        <v>2</v>
      </c>
      <c r="DI49">
        <v>2</v>
      </c>
      <c r="DJ49">
        <v>2</v>
      </c>
      <c r="DK49">
        <v>2</v>
      </c>
      <c r="DL49">
        <v>2</v>
      </c>
      <c r="DM49">
        <v>2</v>
      </c>
      <c r="DN49">
        <v>2</v>
      </c>
      <c r="DO49">
        <v>2</v>
      </c>
      <c r="DP49">
        <v>2</v>
      </c>
      <c r="DQ49">
        <v>2</v>
      </c>
      <c r="DR49">
        <v>2</v>
      </c>
      <c r="DS49">
        <v>2</v>
      </c>
      <c r="DT49">
        <v>2</v>
      </c>
      <c r="DU49">
        <v>2</v>
      </c>
      <c r="DV49">
        <v>2</v>
      </c>
      <c r="DW49">
        <v>2</v>
      </c>
      <c r="DX49">
        <v>2</v>
      </c>
      <c r="DY49">
        <v>2</v>
      </c>
      <c r="DZ49">
        <v>2</v>
      </c>
      <c r="EA49">
        <v>2</v>
      </c>
      <c r="EK49">
        <f t="shared" si="0"/>
        <v>0</v>
      </c>
      <c r="EM49">
        <v>4.0999999999999996</v>
      </c>
      <c r="EN49">
        <v>4.0999999999999996</v>
      </c>
      <c r="EO49">
        <v>4.0999999999999996</v>
      </c>
      <c r="EP49">
        <v>4.0999999999999996</v>
      </c>
      <c r="EQ49">
        <v>4.0999999999999996</v>
      </c>
      <c r="ER49">
        <v>4.0999999999999996</v>
      </c>
      <c r="ES49">
        <v>4.0999999999999996</v>
      </c>
      <c r="ET49">
        <v>4.0999999999999996</v>
      </c>
      <c r="EU49">
        <v>4.0999999999999996</v>
      </c>
      <c r="EV49">
        <v>4.0999999999999996</v>
      </c>
      <c r="EW49">
        <v>4.0999999999999996</v>
      </c>
      <c r="EX49">
        <v>4.0999999999999996</v>
      </c>
      <c r="EY49">
        <v>4.0999999999999996</v>
      </c>
      <c r="EZ49">
        <v>4.0999999999999996</v>
      </c>
      <c r="FA49">
        <v>4.0999999999999996</v>
      </c>
      <c r="FB49">
        <v>4.0999999999999996</v>
      </c>
      <c r="FC49">
        <v>4.0999999999999996</v>
      </c>
      <c r="FD49">
        <v>4.0999999999999996</v>
      </c>
      <c r="FE49">
        <v>4.0999999999999996</v>
      </c>
      <c r="FF49">
        <v>4.0999999999999996</v>
      </c>
      <c r="FG49">
        <v>4.0999999999999996</v>
      </c>
      <c r="FH49">
        <v>4.0999999999999996</v>
      </c>
      <c r="FI49">
        <v>4.0999999999999996</v>
      </c>
      <c r="FJ49">
        <v>4.0999999999999996</v>
      </c>
      <c r="FK49">
        <v>4.0999999999999996</v>
      </c>
      <c r="FL49">
        <v>4.0999999999999996</v>
      </c>
      <c r="FM49">
        <v>4.0999999999999996</v>
      </c>
      <c r="FN49">
        <v>4.0999999999999996</v>
      </c>
      <c r="FO49">
        <v>4.0999999999999996</v>
      </c>
      <c r="FP49">
        <v>4.0999999999999996</v>
      </c>
      <c r="FQ49">
        <v>4.0999999999999996</v>
      </c>
      <c r="FR49">
        <v>4.0999999999999996</v>
      </c>
      <c r="FS49">
        <v>4.0999999999999996</v>
      </c>
      <c r="FT49">
        <v>4.0999999999999996</v>
      </c>
      <c r="FU49">
        <v>4.0999999999999996</v>
      </c>
      <c r="FV49">
        <v>4.0999999999999996</v>
      </c>
      <c r="FW49">
        <v>4.0999999999999996</v>
      </c>
      <c r="FX49">
        <v>4.0999999999999996</v>
      </c>
      <c r="FY49">
        <v>4.0999999999999996</v>
      </c>
    </row>
    <row r="50" spans="81:181">
      <c r="CC50" s="3"/>
      <c r="CH50">
        <v>2012</v>
      </c>
      <c r="CI50">
        <v>301.89999999999998</v>
      </c>
      <c r="CJ50">
        <v>20</v>
      </c>
      <c r="CK50">
        <v>20</v>
      </c>
      <c r="CL50">
        <v>20</v>
      </c>
      <c r="CM50">
        <v>20</v>
      </c>
      <c r="CN50">
        <v>20</v>
      </c>
      <c r="CO50">
        <v>20</v>
      </c>
      <c r="CP50">
        <v>20</v>
      </c>
      <c r="CQ50">
        <v>18.399999999999999</v>
      </c>
      <c r="CV50">
        <v>20</v>
      </c>
      <c r="CW50">
        <v>20</v>
      </c>
      <c r="CX50">
        <v>20</v>
      </c>
      <c r="CY50">
        <v>2</v>
      </c>
      <c r="CZ50">
        <v>12.4</v>
      </c>
      <c r="DA50">
        <v>12.4</v>
      </c>
      <c r="DB50">
        <v>12.4</v>
      </c>
      <c r="DC50">
        <v>12.4</v>
      </c>
      <c r="DD50">
        <v>12.4</v>
      </c>
      <c r="DE50">
        <v>12.4</v>
      </c>
      <c r="DF50">
        <v>12.4</v>
      </c>
      <c r="DG50">
        <v>12.4</v>
      </c>
      <c r="DH50">
        <v>12.4</v>
      </c>
      <c r="DI50">
        <v>12.4</v>
      </c>
      <c r="DJ50">
        <v>12.4</v>
      </c>
      <c r="DK50">
        <v>12.4</v>
      </c>
      <c r="DL50">
        <v>2</v>
      </c>
      <c r="DM50">
        <v>2</v>
      </c>
      <c r="DN50">
        <v>2</v>
      </c>
      <c r="DO50">
        <v>2</v>
      </c>
      <c r="DP50">
        <v>2</v>
      </c>
      <c r="DQ50">
        <v>2</v>
      </c>
      <c r="DR50">
        <v>2</v>
      </c>
      <c r="DS50">
        <v>2</v>
      </c>
      <c r="DT50">
        <v>2</v>
      </c>
      <c r="DU50">
        <v>2</v>
      </c>
      <c r="DV50">
        <v>2</v>
      </c>
      <c r="DW50">
        <v>2</v>
      </c>
      <c r="DX50">
        <v>2</v>
      </c>
      <c r="DY50">
        <v>2</v>
      </c>
      <c r="DZ50">
        <v>2</v>
      </c>
      <c r="EA50">
        <v>2</v>
      </c>
      <c r="EK50">
        <f t="shared" si="0"/>
        <v>0</v>
      </c>
    </row>
    <row r="51" spans="81:181">
      <c r="CC51" s="3"/>
      <c r="CH51">
        <v>17.100000000000001</v>
      </c>
      <c r="CI51">
        <v>1961.5</v>
      </c>
      <c r="CJ51">
        <v>271.3</v>
      </c>
      <c r="CK51">
        <v>251.8</v>
      </c>
      <c r="CL51">
        <v>245.3</v>
      </c>
      <c r="CM51">
        <v>243.2</v>
      </c>
      <c r="CN51">
        <v>25</v>
      </c>
      <c r="CO51">
        <v>25</v>
      </c>
      <c r="CP51">
        <v>25</v>
      </c>
      <c r="CQ51">
        <v>3.5</v>
      </c>
      <c r="CV51">
        <v>25</v>
      </c>
      <c r="CW51">
        <v>25</v>
      </c>
      <c r="CX51">
        <v>25</v>
      </c>
      <c r="CY51">
        <v>12.4</v>
      </c>
      <c r="CZ51">
        <v>4.0999999999999996</v>
      </c>
      <c r="DA51">
        <v>4.0999999999999996</v>
      </c>
      <c r="DB51">
        <v>4.0999999999999996</v>
      </c>
      <c r="DC51">
        <v>4.0999999999999996</v>
      </c>
      <c r="DD51">
        <v>4.0999999999999996</v>
      </c>
      <c r="DE51">
        <v>4.0999999999999996</v>
      </c>
      <c r="DF51">
        <v>4.0999999999999996</v>
      </c>
      <c r="DG51">
        <v>4.0999999999999996</v>
      </c>
      <c r="DH51">
        <v>4.0999999999999996</v>
      </c>
      <c r="DI51">
        <v>4.0999999999999996</v>
      </c>
      <c r="DJ51">
        <v>4.0999999999999996</v>
      </c>
      <c r="DK51">
        <v>4.0999999999999996</v>
      </c>
      <c r="DL51">
        <v>4.0999999999999996</v>
      </c>
      <c r="DM51">
        <v>4.0999999999999996</v>
      </c>
      <c r="DN51">
        <v>4.0999999999999996</v>
      </c>
      <c r="DO51">
        <v>4.0999999999999996</v>
      </c>
      <c r="DP51">
        <v>4.0999999999999996</v>
      </c>
      <c r="DQ51">
        <v>4.0999999999999996</v>
      </c>
      <c r="DR51">
        <v>4.0999999999999996</v>
      </c>
      <c r="DS51">
        <v>4.0999999999999996</v>
      </c>
      <c r="DT51">
        <v>4.0999999999999996</v>
      </c>
      <c r="DU51">
        <v>4.0999999999999996</v>
      </c>
      <c r="DV51">
        <v>4.0999999999999996</v>
      </c>
      <c r="DW51">
        <v>4.0999999999999996</v>
      </c>
      <c r="DX51">
        <v>4.0999999999999996</v>
      </c>
      <c r="DY51">
        <v>4.0999999999999996</v>
      </c>
      <c r="DZ51">
        <v>4.0999999999999996</v>
      </c>
      <c r="EA51">
        <v>4.0999999999999996</v>
      </c>
      <c r="EK51">
        <f t="shared" si="0"/>
        <v>0</v>
      </c>
    </row>
    <row r="52" spans="81:181">
      <c r="CC52" s="3">
        <f>152445*11450</f>
        <v>1745495250</v>
      </c>
      <c r="CH52">
        <v>195</v>
      </c>
      <c r="CI52">
        <v>17.100000000000001</v>
      </c>
      <c r="CJ52">
        <v>2025</v>
      </c>
      <c r="CK52">
        <v>2090</v>
      </c>
      <c r="CL52">
        <v>2197</v>
      </c>
      <c r="CM52">
        <v>2226.5</v>
      </c>
      <c r="CN52">
        <v>25</v>
      </c>
      <c r="CO52">
        <v>25</v>
      </c>
      <c r="CP52">
        <v>25</v>
      </c>
      <c r="CQ52">
        <v>17.2</v>
      </c>
      <c r="CV52">
        <v>25</v>
      </c>
      <c r="CW52">
        <v>25</v>
      </c>
      <c r="CX52">
        <v>25</v>
      </c>
      <c r="CY52">
        <v>4.0999999999999996</v>
      </c>
      <c r="CZ52">
        <v>23.5</v>
      </c>
      <c r="DA52">
        <v>23.5</v>
      </c>
      <c r="DB52">
        <v>23.5</v>
      </c>
      <c r="DC52">
        <v>23.5</v>
      </c>
      <c r="DD52">
        <v>14.5</v>
      </c>
      <c r="DE52">
        <v>14.5</v>
      </c>
      <c r="DF52">
        <v>14.5</v>
      </c>
      <c r="DG52">
        <v>14.5</v>
      </c>
      <c r="DH52">
        <v>14.5</v>
      </c>
      <c r="DI52">
        <v>14.5</v>
      </c>
      <c r="DJ52">
        <v>14.5</v>
      </c>
      <c r="DK52">
        <v>14.5</v>
      </c>
      <c r="DL52">
        <v>14.5</v>
      </c>
      <c r="DM52">
        <v>14.5</v>
      </c>
      <c r="DN52">
        <v>14.5</v>
      </c>
      <c r="DO52">
        <v>14.5</v>
      </c>
      <c r="DP52">
        <v>14.5</v>
      </c>
      <c r="DQ52">
        <v>14.5</v>
      </c>
      <c r="DR52">
        <v>14.5</v>
      </c>
      <c r="DS52">
        <v>2.4</v>
      </c>
      <c r="DT52">
        <v>2.4</v>
      </c>
      <c r="DU52">
        <v>2.4</v>
      </c>
      <c r="DV52">
        <v>2.4</v>
      </c>
      <c r="DW52">
        <v>2.4</v>
      </c>
      <c r="DX52">
        <v>2.4</v>
      </c>
      <c r="DY52">
        <v>2.4</v>
      </c>
      <c r="DZ52">
        <v>2.4</v>
      </c>
      <c r="EA52">
        <v>2.4</v>
      </c>
      <c r="EK52">
        <f t="shared" si="0"/>
        <v>0</v>
      </c>
    </row>
    <row r="53" spans="81:181">
      <c r="CC53" s="3">
        <v>794000000</v>
      </c>
      <c r="CH53">
        <v>33</v>
      </c>
      <c r="CI53">
        <v>151</v>
      </c>
      <c r="CJ53">
        <v>17.100000000000001</v>
      </c>
      <c r="CK53">
        <v>17.100000000000001</v>
      </c>
      <c r="CL53">
        <v>17.100000000000001</v>
      </c>
      <c r="CM53">
        <v>17.100000000000001</v>
      </c>
      <c r="CN53">
        <v>248.3</v>
      </c>
      <c r="CO53">
        <v>273.45</v>
      </c>
      <c r="CP53">
        <v>286</v>
      </c>
      <c r="CQ53">
        <v>4</v>
      </c>
      <c r="CR53">
        <v>4</v>
      </c>
      <c r="CS53">
        <v>4</v>
      </c>
      <c r="CT53">
        <v>4</v>
      </c>
      <c r="CU53">
        <v>4</v>
      </c>
      <c r="CV53">
        <v>286</v>
      </c>
      <c r="CW53">
        <v>309</v>
      </c>
      <c r="CX53">
        <v>277.10000000000002</v>
      </c>
      <c r="CY53">
        <v>322.60000000000002</v>
      </c>
      <c r="CZ53">
        <v>290</v>
      </c>
      <c r="DA53">
        <v>294.8</v>
      </c>
      <c r="DB53">
        <f>326.6-17.5</f>
        <v>309.10000000000002</v>
      </c>
      <c r="DC53">
        <v>312.92</v>
      </c>
      <c r="DD53">
        <v>20</v>
      </c>
      <c r="DE53">
        <v>20</v>
      </c>
      <c r="DF53">
        <v>20</v>
      </c>
      <c r="DG53">
        <v>20</v>
      </c>
      <c r="DH53">
        <v>20</v>
      </c>
      <c r="DI53">
        <v>20</v>
      </c>
      <c r="DJ53">
        <v>20</v>
      </c>
      <c r="DK53">
        <v>20</v>
      </c>
      <c r="DL53">
        <v>20</v>
      </c>
      <c r="DM53">
        <v>20</v>
      </c>
      <c r="DN53">
        <v>20</v>
      </c>
      <c r="DO53">
        <v>20</v>
      </c>
      <c r="DP53">
        <v>20</v>
      </c>
      <c r="DQ53">
        <v>20</v>
      </c>
      <c r="DR53">
        <v>20</v>
      </c>
      <c r="DS53">
        <v>12.3</v>
      </c>
      <c r="DT53">
        <v>12.3</v>
      </c>
      <c r="DU53">
        <v>12.3</v>
      </c>
      <c r="DV53">
        <v>12.3</v>
      </c>
      <c r="DW53">
        <v>12.3</v>
      </c>
      <c r="DX53">
        <v>12.3</v>
      </c>
      <c r="DY53">
        <v>12.3</v>
      </c>
      <c r="DZ53">
        <v>3</v>
      </c>
      <c r="EA53">
        <v>3</v>
      </c>
      <c r="EB53">
        <v>3</v>
      </c>
      <c r="EC53">
        <v>3</v>
      </c>
      <c r="ED53">
        <v>3</v>
      </c>
      <c r="EE53">
        <v>3</v>
      </c>
      <c r="EF53">
        <v>3</v>
      </c>
      <c r="EG53">
        <v>0.35</v>
      </c>
      <c r="EH53">
        <v>0.35</v>
      </c>
      <c r="EI53">
        <v>0.35</v>
      </c>
      <c r="EK53">
        <f t="shared" si="0"/>
        <v>0</v>
      </c>
      <c r="EM53">
        <v>4</v>
      </c>
      <c r="EN53">
        <v>4</v>
      </c>
      <c r="EO53">
        <v>4</v>
      </c>
      <c r="EP53">
        <v>4</v>
      </c>
      <c r="EQ53">
        <v>4</v>
      </c>
      <c r="ER53">
        <v>4</v>
      </c>
      <c r="ES53">
        <v>4</v>
      </c>
      <c r="ET53">
        <v>4</v>
      </c>
      <c r="EU53">
        <v>4</v>
      </c>
      <c r="EV53">
        <v>4</v>
      </c>
      <c r="EW53">
        <v>4</v>
      </c>
      <c r="EX53">
        <v>4</v>
      </c>
      <c r="EY53">
        <v>4</v>
      </c>
      <c r="EZ53">
        <v>4</v>
      </c>
      <c r="FA53">
        <v>4</v>
      </c>
      <c r="FB53">
        <v>4</v>
      </c>
      <c r="FC53">
        <v>4</v>
      </c>
      <c r="FD53">
        <v>4</v>
      </c>
      <c r="FE53">
        <v>4</v>
      </c>
      <c r="FF53">
        <v>4</v>
      </c>
      <c r="FG53">
        <v>4</v>
      </c>
      <c r="FH53">
        <v>4</v>
      </c>
      <c r="FI53">
        <v>4</v>
      </c>
      <c r="FJ53">
        <v>4</v>
      </c>
      <c r="FK53">
        <v>4</v>
      </c>
      <c r="FL53">
        <v>4</v>
      </c>
      <c r="FM53">
        <v>4</v>
      </c>
      <c r="FN53">
        <v>4</v>
      </c>
      <c r="FO53">
        <v>4</v>
      </c>
      <c r="FP53">
        <v>4</v>
      </c>
      <c r="FQ53">
        <v>4</v>
      </c>
      <c r="FR53">
        <v>4</v>
      </c>
      <c r="FS53">
        <v>4</v>
      </c>
      <c r="FT53">
        <v>4</v>
      </c>
      <c r="FU53">
        <v>4</v>
      </c>
      <c r="FV53">
        <v>4</v>
      </c>
      <c r="FW53">
        <v>4</v>
      </c>
      <c r="FX53">
        <v>4</v>
      </c>
      <c r="FY53">
        <v>4</v>
      </c>
    </row>
    <row r="54" spans="81:181">
      <c r="CC54" s="3">
        <f>+CC52-CC53</f>
        <v>951495250</v>
      </c>
      <c r="CH54">
        <v>235</v>
      </c>
      <c r="CI54">
        <v>33</v>
      </c>
      <c r="CJ54">
        <v>151</v>
      </c>
      <c r="CK54">
        <v>151</v>
      </c>
      <c r="CL54">
        <v>217</v>
      </c>
      <c r="CM54">
        <v>217</v>
      </c>
      <c r="CN54">
        <v>2494</v>
      </c>
      <c r="CO54">
        <v>2367</v>
      </c>
      <c r="CP54">
        <v>2318</v>
      </c>
      <c r="CQ54">
        <v>6.24</v>
      </c>
      <c r="CR54">
        <v>6.24</v>
      </c>
      <c r="CS54">
        <v>6.24</v>
      </c>
      <c r="CT54">
        <v>6.24</v>
      </c>
      <c r="CU54">
        <v>6.24</v>
      </c>
      <c r="CV54">
        <v>2643</v>
      </c>
      <c r="CW54">
        <v>2514</v>
      </c>
      <c r="CX54">
        <v>2492.5</v>
      </c>
      <c r="CY54">
        <v>2597.8000000000002</v>
      </c>
      <c r="CZ54">
        <v>2677.8</v>
      </c>
      <c r="DA54">
        <v>2918</v>
      </c>
      <c r="DB54">
        <v>3065.3</v>
      </c>
      <c r="DC54">
        <v>3239.3</v>
      </c>
      <c r="DD54">
        <v>336.8</v>
      </c>
      <c r="DE54">
        <v>336.8</v>
      </c>
      <c r="DF54">
        <v>341.2</v>
      </c>
      <c r="DG54">
        <v>372.75</v>
      </c>
      <c r="DH54">
        <v>346.1</v>
      </c>
      <c r="DI54">
        <v>338.8</v>
      </c>
      <c r="DJ54">
        <v>337.7</v>
      </c>
      <c r="DK54">
        <v>357.35</v>
      </c>
      <c r="DL54">
        <v>339.2</v>
      </c>
      <c r="DM54">
        <v>15</v>
      </c>
      <c r="DN54">
        <v>15</v>
      </c>
      <c r="DO54">
        <v>15</v>
      </c>
      <c r="DP54">
        <v>15</v>
      </c>
      <c r="DQ54">
        <v>15</v>
      </c>
      <c r="DR54">
        <v>15</v>
      </c>
      <c r="DS54">
        <v>15</v>
      </c>
      <c r="DT54">
        <v>15</v>
      </c>
      <c r="DU54">
        <v>15</v>
      </c>
      <c r="DV54">
        <v>15</v>
      </c>
      <c r="DW54">
        <v>15</v>
      </c>
      <c r="DX54">
        <v>6</v>
      </c>
      <c r="DY54">
        <v>6</v>
      </c>
      <c r="DZ54">
        <v>6</v>
      </c>
      <c r="EA54">
        <v>6</v>
      </c>
      <c r="EB54">
        <v>6</v>
      </c>
      <c r="EC54">
        <v>6</v>
      </c>
      <c r="ED54">
        <v>6</v>
      </c>
      <c r="EE54">
        <v>6</v>
      </c>
      <c r="EF54">
        <v>0.13500000000000001</v>
      </c>
      <c r="EG54">
        <v>0.13500000000000001</v>
      </c>
      <c r="EH54">
        <v>0.13500000000000001</v>
      </c>
      <c r="EI54">
        <v>0.13500000000000001</v>
      </c>
      <c r="EK54">
        <f t="shared" si="0"/>
        <v>0</v>
      </c>
      <c r="EM54">
        <v>6.24</v>
      </c>
      <c r="EN54">
        <v>6.24</v>
      </c>
      <c r="EO54">
        <v>6.24</v>
      </c>
      <c r="EP54">
        <v>6.24</v>
      </c>
      <c r="EQ54">
        <v>6.24</v>
      </c>
      <c r="ER54">
        <v>6.24</v>
      </c>
      <c r="ES54">
        <v>6.24</v>
      </c>
      <c r="ET54">
        <v>6.24</v>
      </c>
      <c r="EU54">
        <v>6.24</v>
      </c>
      <c r="EV54">
        <v>6.24</v>
      </c>
      <c r="EW54">
        <v>6.24</v>
      </c>
      <c r="EX54">
        <v>6.24</v>
      </c>
      <c r="EY54">
        <v>6.24</v>
      </c>
      <c r="EZ54">
        <v>6.24</v>
      </c>
      <c r="FA54">
        <v>6.24</v>
      </c>
      <c r="FB54">
        <v>6.24</v>
      </c>
      <c r="FC54">
        <v>6.24</v>
      </c>
      <c r="FD54">
        <v>6.24</v>
      </c>
      <c r="FE54">
        <v>6.24</v>
      </c>
      <c r="FF54">
        <v>6.24</v>
      </c>
      <c r="FG54">
        <v>6.24</v>
      </c>
      <c r="FH54">
        <v>6.24</v>
      </c>
      <c r="FI54">
        <v>6.24</v>
      </c>
      <c r="FJ54">
        <v>6.24</v>
      </c>
      <c r="FK54">
        <v>6.24</v>
      </c>
      <c r="FL54">
        <v>6.24</v>
      </c>
      <c r="FM54">
        <v>6.24</v>
      </c>
      <c r="FN54">
        <v>6.24</v>
      </c>
      <c r="FO54">
        <v>6.24</v>
      </c>
      <c r="FP54">
        <v>6.24</v>
      </c>
      <c r="FQ54">
        <v>6.24</v>
      </c>
      <c r="FR54">
        <v>6.24</v>
      </c>
    </row>
    <row r="55" spans="81:181">
      <c r="CC55" s="3"/>
      <c r="CH55">
        <v>139</v>
      </c>
      <c r="CI55">
        <v>246</v>
      </c>
      <c r="CJ55">
        <v>33</v>
      </c>
      <c r="CK55">
        <v>33</v>
      </c>
      <c r="CL55">
        <v>33</v>
      </c>
      <c r="CM55">
        <v>33</v>
      </c>
      <c r="CN55">
        <v>17.100000000000001</v>
      </c>
      <c r="CO55">
        <v>17.100000000000001</v>
      </c>
      <c r="CP55">
        <v>17.100000000000001</v>
      </c>
      <c r="CQ55">
        <v>20</v>
      </c>
      <c r="CR55">
        <v>20</v>
      </c>
      <c r="CS55">
        <v>20</v>
      </c>
      <c r="CT55">
        <v>20</v>
      </c>
      <c r="CU55">
        <v>20</v>
      </c>
      <c r="CV55">
        <v>17.100000000000001</v>
      </c>
      <c r="CW55">
        <v>17.100000000000001</v>
      </c>
      <c r="CX55">
        <v>17.100000000000001</v>
      </c>
      <c r="CY55">
        <v>17.100000000000001</v>
      </c>
      <c r="CZ55">
        <v>17.100000000000001</v>
      </c>
      <c r="DA55">
        <v>17.100000000000001</v>
      </c>
      <c r="DB55">
        <v>17.100000000000001</v>
      </c>
      <c r="DC55">
        <v>17.100000000000001</v>
      </c>
      <c r="DD55">
        <v>3328.5</v>
      </c>
      <c r="DE55">
        <v>3446.5</v>
      </c>
      <c r="DF55">
        <v>3424.5</v>
      </c>
      <c r="DG55">
        <v>3434</v>
      </c>
      <c r="DH55">
        <v>3515</v>
      </c>
      <c r="DI55">
        <v>3608.5</v>
      </c>
      <c r="DJ55">
        <v>3719</v>
      </c>
      <c r="DK55">
        <v>3831</v>
      </c>
      <c r="DL55">
        <v>4202.5</v>
      </c>
      <c r="DM55">
        <v>319.64999999999998</v>
      </c>
      <c r="DN55">
        <v>341.5</v>
      </c>
      <c r="DO55">
        <v>311.85000000000002</v>
      </c>
      <c r="DP55">
        <v>347</v>
      </c>
      <c r="DQ55">
        <v>372.9</v>
      </c>
      <c r="DR55">
        <v>363.37</v>
      </c>
      <c r="DS55">
        <v>304.2</v>
      </c>
      <c r="DT55">
        <v>10</v>
      </c>
      <c r="DU55">
        <v>10</v>
      </c>
      <c r="DV55">
        <v>10</v>
      </c>
      <c r="DW55">
        <v>10</v>
      </c>
      <c r="DX55">
        <v>10</v>
      </c>
      <c r="DY55">
        <v>25</v>
      </c>
      <c r="DZ55">
        <v>25</v>
      </c>
      <c r="EA55">
        <v>25</v>
      </c>
      <c r="EB55">
        <v>25</v>
      </c>
      <c r="EC55">
        <v>25</v>
      </c>
      <c r="ED55">
        <v>25</v>
      </c>
      <c r="EE55">
        <v>25</v>
      </c>
      <c r="EF55">
        <v>7</v>
      </c>
      <c r="EG55">
        <v>7</v>
      </c>
      <c r="EH55">
        <v>7</v>
      </c>
      <c r="EI55">
        <v>7</v>
      </c>
      <c r="EK55">
        <f t="shared" si="0"/>
        <v>0</v>
      </c>
      <c r="EM55">
        <v>20</v>
      </c>
      <c r="EN55">
        <v>20</v>
      </c>
      <c r="EO55">
        <v>20</v>
      </c>
      <c r="EP55">
        <v>20</v>
      </c>
      <c r="EQ55">
        <v>20</v>
      </c>
      <c r="ER55">
        <v>20</v>
      </c>
      <c r="ES55">
        <v>20</v>
      </c>
      <c r="ET55">
        <v>20</v>
      </c>
      <c r="EU55">
        <v>20</v>
      </c>
      <c r="EV55">
        <v>20</v>
      </c>
      <c r="EW55">
        <v>20</v>
      </c>
      <c r="EX55">
        <v>20</v>
      </c>
      <c r="EY55">
        <v>20</v>
      </c>
      <c r="EZ55">
        <v>20</v>
      </c>
      <c r="FA55">
        <v>20</v>
      </c>
      <c r="FB55">
        <v>20</v>
      </c>
      <c r="FC55">
        <v>20</v>
      </c>
      <c r="FD55">
        <v>20</v>
      </c>
    </row>
    <row r="56" spans="81:181">
      <c r="CH56">
        <v>556.70000000000005</v>
      </c>
      <c r="CI56">
        <v>139</v>
      </c>
      <c r="CJ56">
        <v>262.5</v>
      </c>
      <c r="CK56">
        <v>262.5</v>
      </c>
      <c r="CL56">
        <v>272</v>
      </c>
      <c r="CM56">
        <v>277</v>
      </c>
      <c r="CN56">
        <f>160+33</f>
        <v>193</v>
      </c>
      <c r="CO56">
        <f>160+33</f>
        <v>193</v>
      </c>
      <c r="CP56">
        <v>193</v>
      </c>
      <c r="CQ56">
        <v>2.1</v>
      </c>
      <c r="CR56">
        <v>2.1</v>
      </c>
      <c r="CS56">
        <v>2.1</v>
      </c>
      <c r="CT56">
        <v>2.1</v>
      </c>
      <c r="CU56">
        <v>2.1</v>
      </c>
      <c r="CV56">
        <v>193</v>
      </c>
      <c r="CW56">
        <v>193</v>
      </c>
      <c r="CX56">
        <v>193</v>
      </c>
      <c r="CY56">
        <v>193</v>
      </c>
      <c r="CZ56">
        <f>160+66</f>
        <v>226</v>
      </c>
      <c r="DA56">
        <v>226</v>
      </c>
      <c r="DB56">
        <v>226</v>
      </c>
      <c r="DC56">
        <v>226</v>
      </c>
      <c r="DD56">
        <v>17.100000000000001</v>
      </c>
      <c r="DE56">
        <v>17.100000000000001</v>
      </c>
      <c r="DF56">
        <v>17.100000000000001</v>
      </c>
      <c r="DG56">
        <v>17.100000000000001</v>
      </c>
      <c r="DH56">
        <v>17.100000000000001</v>
      </c>
      <c r="DI56">
        <v>17.100000000000001</v>
      </c>
      <c r="DJ56">
        <v>17.100000000000001</v>
      </c>
      <c r="DK56">
        <v>17.100000000000001</v>
      </c>
      <c r="DL56">
        <v>17.100000000000001</v>
      </c>
      <c r="DM56">
        <v>4233.7</v>
      </c>
      <c r="DN56">
        <v>4275.2</v>
      </c>
      <c r="DO56">
        <v>4366.2</v>
      </c>
      <c r="DP56">
        <v>4380.2</v>
      </c>
      <c r="DQ56">
        <v>4512.2</v>
      </c>
      <c r="DR56">
        <v>4546</v>
      </c>
      <c r="DS56">
        <v>4593.5</v>
      </c>
      <c r="DT56">
        <v>337.2</v>
      </c>
      <c r="DU56">
        <v>348.71</v>
      </c>
      <c r="DV56">
        <v>343</v>
      </c>
      <c r="DW56">
        <v>367.82</v>
      </c>
      <c r="DX56">
        <v>376</v>
      </c>
      <c r="DY56">
        <v>373.1</v>
      </c>
      <c r="DZ56">
        <v>395.3</v>
      </c>
      <c r="EA56">
        <v>400.52</v>
      </c>
      <c r="EB56">
        <v>365.7</v>
      </c>
      <c r="EC56">
        <v>321.33999999999997</v>
      </c>
      <c r="ED56">
        <v>355.24</v>
      </c>
      <c r="EE56">
        <v>334.5</v>
      </c>
      <c r="EF56">
        <v>335.4</v>
      </c>
      <c r="EG56">
        <v>331.4</v>
      </c>
      <c r="EH56">
        <f>321.5+6</f>
        <v>327.5</v>
      </c>
      <c r="EI56">
        <v>327.2</v>
      </c>
      <c r="EK56">
        <f t="shared" si="0"/>
        <v>0.30000000000001137</v>
      </c>
      <c r="EM56">
        <v>2.1</v>
      </c>
      <c r="EN56">
        <v>2.1</v>
      </c>
      <c r="EO56">
        <v>2.1</v>
      </c>
      <c r="EP56">
        <v>2.1</v>
      </c>
      <c r="EQ56">
        <v>2.1</v>
      </c>
      <c r="ER56">
        <v>2.1</v>
      </c>
      <c r="ES56">
        <f>2.1+0.9</f>
        <v>3</v>
      </c>
      <c r="ET56">
        <v>3</v>
      </c>
      <c r="EU56">
        <v>3</v>
      </c>
      <c r="EV56">
        <v>3</v>
      </c>
      <c r="EW56">
        <v>3</v>
      </c>
      <c r="EX56">
        <v>3</v>
      </c>
      <c r="EY56">
        <v>3</v>
      </c>
      <c r="EZ56">
        <v>3</v>
      </c>
      <c r="FA56">
        <v>3</v>
      </c>
      <c r="FB56">
        <v>3</v>
      </c>
      <c r="FC56">
        <v>3</v>
      </c>
      <c r="FD56">
        <v>3</v>
      </c>
      <c r="FE56">
        <v>3</v>
      </c>
      <c r="FF56">
        <v>3</v>
      </c>
      <c r="FG56">
        <v>3</v>
      </c>
      <c r="FH56">
        <v>3</v>
      </c>
      <c r="FI56">
        <v>3</v>
      </c>
      <c r="FJ56">
        <v>3</v>
      </c>
      <c r="FK56">
        <v>3</v>
      </c>
      <c r="FL56">
        <v>3</v>
      </c>
      <c r="FM56">
        <v>3</v>
      </c>
      <c r="FN56">
        <v>3</v>
      </c>
      <c r="FO56">
        <v>3</v>
      </c>
      <c r="FP56">
        <v>3</v>
      </c>
      <c r="FQ56">
        <v>3</v>
      </c>
      <c r="FR56">
        <v>3</v>
      </c>
      <c r="FS56">
        <v>3</v>
      </c>
      <c r="FT56">
        <v>3</v>
      </c>
      <c r="FU56">
        <v>3</v>
      </c>
      <c r="FV56">
        <v>3</v>
      </c>
      <c r="FW56">
        <v>3</v>
      </c>
      <c r="FX56">
        <v>3</v>
      </c>
      <c r="FY56">
        <v>3</v>
      </c>
    </row>
    <row r="57" spans="81:181">
      <c r="CH57">
        <v>8.6999999999999993</v>
      </c>
      <c r="CI57">
        <v>338</v>
      </c>
      <c r="CJ57">
        <v>100.7</v>
      </c>
      <c r="CK57">
        <v>118</v>
      </c>
      <c r="CL57">
        <v>20.6</v>
      </c>
      <c r="CM57">
        <v>3.5</v>
      </c>
      <c r="CN57">
        <v>287</v>
      </c>
      <c r="CO57">
        <v>287</v>
      </c>
      <c r="CP57">
        <f>287+3.4</f>
        <v>290.39999999999998</v>
      </c>
      <c r="CQ57">
        <v>1</v>
      </c>
      <c r="CR57">
        <v>1</v>
      </c>
      <c r="CS57">
        <v>1</v>
      </c>
      <c r="CT57">
        <v>1</v>
      </c>
      <c r="CU57">
        <v>1</v>
      </c>
      <c r="CV57">
        <v>292</v>
      </c>
      <c r="CW57">
        <v>295</v>
      </c>
      <c r="CX57">
        <v>295</v>
      </c>
      <c r="CY57">
        <v>295</v>
      </c>
      <c r="CZ57">
        <v>295</v>
      </c>
      <c r="DA57">
        <v>310</v>
      </c>
      <c r="DB57">
        <v>310</v>
      </c>
      <c r="DC57">
        <v>310</v>
      </c>
      <c r="DD57">
        <v>273</v>
      </c>
      <c r="DE57">
        <v>273</v>
      </c>
      <c r="DF57">
        <v>273</v>
      </c>
      <c r="DG57">
        <v>273</v>
      </c>
      <c r="DH57">
        <v>273</v>
      </c>
      <c r="DI57">
        <v>273</v>
      </c>
      <c r="DJ57">
        <v>273</v>
      </c>
      <c r="DK57">
        <v>273</v>
      </c>
      <c r="DL57">
        <v>273</v>
      </c>
      <c r="DM57">
        <v>17.100000000000001</v>
      </c>
      <c r="DN57">
        <v>17.100000000000001</v>
      </c>
      <c r="DO57">
        <v>17.100000000000001</v>
      </c>
      <c r="DP57">
        <v>17.100000000000001</v>
      </c>
      <c r="DQ57">
        <v>17.100000000000001</v>
      </c>
      <c r="DR57">
        <v>17.100000000000001</v>
      </c>
      <c r="DS57">
        <v>17.100000000000001</v>
      </c>
      <c r="DT57">
        <v>4550</v>
      </c>
      <c r="DU57">
        <v>4638.5</v>
      </c>
      <c r="DV57">
        <v>4773.5</v>
      </c>
      <c r="DW57">
        <v>4954.5</v>
      </c>
      <c r="DX57">
        <v>5290.85</v>
      </c>
      <c r="DY57">
        <v>5620.85</v>
      </c>
      <c r="DZ57">
        <v>5708.85</v>
      </c>
      <c r="EA57">
        <v>5824.85</v>
      </c>
      <c r="EB57">
        <v>5896.85</v>
      </c>
      <c r="EC57">
        <v>6083.35</v>
      </c>
      <c r="ED57">
        <v>6134.15</v>
      </c>
      <c r="EE57">
        <v>6211.15</v>
      </c>
      <c r="EF57">
        <v>6233.65</v>
      </c>
      <c r="EG57">
        <v>6229.2</v>
      </c>
      <c r="EH57">
        <v>6223.2</v>
      </c>
      <c r="EI57">
        <v>6406.15</v>
      </c>
      <c r="EK57">
        <f t="shared" si="0"/>
        <v>-182.94999999999982</v>
      </c>
      <c r="EM57">
        <v>1</v>
      </c>
      <c r="EN57">
        <v>1</v>
      </c>
      <c r="EO57">
        <v>1</v>
      </c>
      <c r="EP57">
        <v>1</v>
      </c>
      <c r="EQ57">
        <v>1</v>
      </c>
      <c r="ER57">
        <v>1</v>
      </c>
      <c r="ES57">
        <v>1</v>
      </c>
      <c r="ET57">
        <v>1</v>
      </c>
      <c r="EU57">
        <v>1</v>
      </c>
      <c r="EV57">
        <v>1</v>
      </c>
      <c r="EW57">
        <v>1</v>
      </c>
      <c r="EX57">
        <v>1</v>
      </c>
      <c r="EY57">
        <v>1</v>
      </c>
      <c r="EZ57">
        <v>1</v>
      </c>
      <c r="FA57">
        <v>1</v>
      </c>
      <c r="FB57">
        <v>1</v>
      </c>
      <c r="FC57">
        <v>1</v>
      </c>
      <c r="FD57">
        <v>1</v>
      </c>
      <c r="FE57">
        <v>1</v>
      </c>
      <c r="FF57">
        <v>1</v>
      </c>
      <c r="FG57">
        <v>1</v>
      </c>
      <c r="FH57">
        <v>1</v>
      </c>
      <c r="FI57">
        <v>1</v>
      </c>
      <c r="FJ57">
        <v>1</v>
      </c>
      <c r="FK57">
        <v>1</v>
      </c>
      <c r="FL57">
        <v>1</v>
      </c>
      <c r="FM57">
        <v>1</v>
      </c>
      <c r="FN57">
        <v>1</v>
      </c>
      <c r="FO57">
        <v>1</v>
      </c>
      <c r="FP57">
        <v>1</v>
      </c>
      <c r="FQ57">
        <v>1</v>
      </c>
      <c r="FR57">
        <v>1</v>
      </c>
      <c r="FS57">
        <v>1</v>
      </c>
      <c r="FT57">
        <v>1</v>
      </c>
      <c r="FU57">
        <v>1</v>
      </c>
      <c r="FV57">
        <v>1</v>
      </c>
      <c r="FW57">
        <v>1</v>
      </c>
      <c r="FX57">
        <v>1</v>
      </c>
      <c r="FY57">
        <v>1</v>
      </c>
    </row>
    <row r="58" spans="81:181">
      <c r="CH58">
        <v>-208.5</v>
      </c>
      <c r="CI58">
        <v>8.6999999999999993</v>
      </c>
      <c r="CJ58">
        <v>21.4</v>
      </c>
      <c r="CK58">
        <v>21</v>
      </c>
      <c r="CL58">
        <v>1.3</v>
      </c>
      <c r="CM58">
        <v>250</v>
      </c>
      <c r="CN58">
        <v>36.6</v>
      </c>
      <c r="CO58">
        <v>31</v>
      </c>
      <c r="CP58">
        <v>58.4</v>
      </c>
      <c r="CQ58">
        <v>3</v>
      </c>
      <c r="CR58">
        <v>3</v>
      </c>
      <c r="CS58">
        <v>3</v>
      </c>
      <c r="CT58">
        <v>0.71199999999999997</v>
      </c>
      <c r="CU58">
        <v>0.71199999999999997</v>
      </c>
      <c r="CV58">
        <v>75.5</v>
      </c>
      <c r="CW58">
        <v>196</v>
      </c>
      <c r="CX58">
        <v>235.8</v>
      </c>
      <c r="CY58">
        <v>0</v>
      </c>
      <c r="CZ58">
        <v>38.9</v>
      </c>
      <c r="DA58">
        <v>320.60000000000002</v>
      </c>
      <c r="DB58">
        <v>434</v>
      </c>
      <c r="DC58">
        <v>298.8</v>
      </c>
      <c r="DD58">
        <v>310</v>
      </c>
      <c r="DE58">
        <v>310</v>
      </c>
      <c r="DF58">
        <v>310</v>
      </c>
      <c r="DG58">
        <v>310</v>
      </c>
      <c r="DH58">
        <v>312.7</v>
      </c>
      <c r="DI58">
        <v>312.7</v>
      </c>
      <c r="DJ58">
        <v>312.7</v>
      </c>
      <c r="DK58">
        <v>312.7</v>
      </c>
      <c r="DL58">
        <v>312.7</v>
      </c>
      <c r="DM58">
        <v>273</v>
      </c>
      <c r="DN58">
        <v>273</v>
      </c>
      <c r="DO58">
        <v>240</v>
      </c>
      <c r="DP58">
        <v>240</v>
      </c>
      <c r="DQ58">
        <v>240</v>
      </c>
      <c r="DR58">
        <v>240</v>
      </c>
      <c r="DS58">
        <v>307</v>
      </c>
      <c r="DT58">
        <v>17.100000000000001</v>
      </c>
      <c r="DU58">
        <v>17.100000000000001</v>
      </c>
      <c r="DV58">
        <v>17.100000000000001</v>
      </c>
      <c r="DW58">
        <v>17.100000000000001</v>
      </c>
      <c r="DX58">
        <v>17.100000000000001</v>
      </c>
      <c r="DY58">
        <v>17.100000000000001</v>
      </c>
      <c r="DZ58">
        <v>17.100000000000001</v>
      </c>
      <c r="EA58">
        <v>17.100000000000001</v>
      </c>
      <c r="EB58">
        <v>17.100000000000001</v>
      </c>
      <c r="EC58">
        <v>17.100000000000001</v>
      </c>
      <c r="ED58">
        <v>17.100000000000001</v>
      </c>
      <c r="EE58">
        <v>17.100000000000001</v>
      </c>
      <c r="EF58">
        <v>17.100000000000001</v>
      </c>
      <c r="EG58">
        <v>17.100000000000001</v>
      </c>
      <c r="EH58">
        <v>17.100000000000001</v>
      </c>
      <c r="EI58">
        <v>17.100000000000001</v>
      </c>
      <c r="EK58">
        <f t="shared" si="0"/>
        <v>0</v>
      </c>
      <c r="EM58">
        <v>0.71199999999999997</v>
      </c>
      <c r="EN58">
        <v>0.71199999999999997</v>
      </c>
      <c r="EO58">
        <v>0.71199999999999997</v>
      </c>
      <c r="EP58">
        <v>0.71199999999999997</v>
      </c>
      <c r="EQ58">
        <v>0.71199999999999997</v>
      </c>
      <c r="ER58">
        <v>0.71199999999999997</v>
      </c>
      <c r="ES58">
        <v>0.71199999999999997</v>
      </c>
      <c r="ET58">
        <v>0.71199999999999997</v>
      </c>
      <c r="EU58">
        <v>0.71199999999999997</v>
      </c>
      <c r="EV58">
        <v>0.71199999999999997</v>
      </c>
      <c r="EW58">
        <v>0.71199999999999997</v>
      </c>
      <c r="EX58">
        <v>0.71199999999999997</v>
      </c>
    </row>
    <row r="59" spans="81:181">
      <c r="CH59">
        <v>17</v>
      </c>
      <c r="CI59">
        <v>-208.5</v>
      </c>
      <c r="CJ59">
        <v>8.6999999999999993</v>
      </c>
      <c r="CK59">
        <v>8.6999999999999993</v>
      </c>
      <c r="CL59">
        <v>8.6999999999999993</v>
      </c>
      <c r="CM59">
        <v>8.6999999999999993</v>
      </c>
      <c r="CN59">
        <v>201</v>
      </c>
      <c r="CO59">
        <v>209</v>
      </c>
      <c r="CP59">
        <v>202.5</v>
      </c>
      <c r="CQ59">
        <v>0.7</v>
      </c>
      <c r="CR59">
        <v>0.7</v>
      </c>
      <c r="CS59">
        <v>0.7</v>
      </c>
      <c r="CT59">
        <v>0.7</v>
      </c>
      <c r="CU59">
        <v>0.7</v>
      </c>
      <c r="CV59">
        <v>189.6</v>
      </c>
      <c r="CW59">
        <v>405</v>
      </c>
      <c r="CX59">
        <v>253</v>
      </c>
      <c r="CY59">
        <v>254</v>
      </c>
      <c r="CZ59">
        <v>545.5</v>
      </c>
      <c r="DA59">
        <v>365.2</v>
      </c>
      <c r="DB59">
        <v>244.5</v>
      </c>
      <c r="DC59">
        <v>211</v>
      </c>
      <c r="DD59">
        <v>0</v>
      </c>
      <c r="DE59">
        <v>35.5</v>
      </c>
      <c r="DF59">
        <v>55</v>
      </c>
      <c r="DG59">
        <v>26.3</v>
      </c>
      <c r="DH59">
        <v>69.8</v>
      </c>
      <c r="DJ59">
        <v>6</v>
      </c>
      <c r="DK59">
        <v>6</v>
      </c>
      <c r="DL59">
        <v>6</v>
      </c>
      <c r="DM59">
        <v>313</v>
      </c>
      <c r="DN59">
        <v>313</v>
      </c>
      <c r="DO59">
        <v>313</v>
      </c>
      <c r="DP59">
        <v>313</v>
      </c>
      <c r="DQ59">
        <v>313</v>
      </c>
      <c r="DR59">
        <v>334</v>
      </c>
      <c r="DS59">
        <v>334</v>
      </c>
      <c r="DT59">
        <v>307</v>
      </c>
      <c r="DU59">
        <v>307</v>
      </c>
      <c r="DV59">
        <v>307</v>
      </c>
      <c r="DW59">
        <v>307</v>
      </c>
      <c r="DX59">
        <v>307</v>
      </c>
      <c r="DY59">
        <v>307</v>
      </c>
      <c r="DZ59">
        <v>307</v>
      </c>
      <c r="EA59">
        <v>283</v>
      </c>
      <c r="EB59">
        <v>283</v>
      </c>
      <c r="EC59">
        <v>283</v>
      </c>
      <c r="ED59">
        <v>283</v>
      </c>
      <c r="EE59">
        <v>283</v>
      </c>
      <c r="EF59">
        <v>283</v>
      </c>
      <c r="EG59">
        <v>283</v>
      </c>
      <c r="EH59">
        <v>283</v>
      </c>
      <c r="EI59">
        <v>283</v>
      </c>
      <c r="EK59">
        <f t="shared" si="0"/>
        <v>0</v>
      </c>
      <c r="EM59">
        <v>0.7</v>
      </c>
      <c r="EN59">
        <v>0.7</v>
      </c>
      <c r="EO59">
        <v>0.7</v>
      </c>
      <c r="EP59">
        <v>0.7</v>
      </c>
      <c r="EQ59">
        <v>0.7</v>
      </c>
      <c r="ER59">
        <v>0.7</v>
      </c>
      <c r="ES59">
        <v>0.7</v>
      </c>
      <c r="ET59">
        <v>0.7</v>
      </c>
    </row>
    <row r="60" spans="81:181">
      <c r="CH60">
        <v>56</v>
      </c>
      <c r="CI60">
        <v>17</v>
      </c>
      <c r="CJ60">
        <v>-8.6999999999999993</v>
      </c>
      <c r="CK60">
        <v>-8.6999999999999993</v>
      </c>
      <c r="CL60">
        <v>-8.6999999999999993</v>
      </c>
      <c r="CM60">
        <v>-8.6999999999999993</v>
      </c>
      <c r="CN60">
        <v>8.6999999999999993</v>
      </c>
      <c r="CO60">
        <v>8.6999999999999993</v>
      </c>
      <c r="CP60">
        <v>8.6999999999999993</v>
      </c>
      <c r="CQ60">
        <v>3</v>
      </c>
      <c r="CR60">
        <v>3</v>
      </c>
      <c r="CS60">
        <v>3</v>
      </c>
      <c r="CT60">
        <v>3</v>
      </c>
      <c r="CU60">
        <v>3</v>
      </c>
      <c r="CV60">
        <v>8.6999999999999993</v>
      </c>
      <c r="CW60">
        <v>8.6999999999999993</v>
      </c>
      <c r="CX60">
        <v>8.6999999999999993</v>
      </c>
      <c r="CY60">
        <v>8.6999999999999993</v>
      </c>
      <c r="CZ60">
        <v>8.6999999999999993</v>
      </c>
      <c r="DA60">
        <v>8.6999999999999993</v>
      </c>
      <c r="DB60">
        <v>8.6999999999999993</v>
      </c>
      <c r="DC60">
        <v>8.6999999999999993</v>
      </c>
      <c r="DD60">
        <v>158.5</v>
      </c>
      <c r="DE60">
        <v>134.5</v>
      </c>
      <c r="DF60">
        <v>77.400000000000006</v>
      </c>
      <c r="DG60">
        <v>40</v>
      </c>
      <c r="DH60">
        <v>11.5</v>
      </c>
      <c r="DI60">
        <v>2.5</v>
      </c>
      <c r="DJ60">
        <v>22</v>
      </c>
      <c r="DK60">
        <v>74.400000000000006</v>
      </c>
      <c r="DL60">
        <v>105.3</v>
      </c>
      <c r="DM60">
        <v>6</v>
      </c>
      <c r="DN60">
        <v>6</v>
      </c>
      <c r="DO60">
        <v>6</v>
      </c>
      <c r="DP60">
        <v>6</v>
      </c>
      <c r="DQ60">
        <v>6</v>
      </c>
      <c r="DR60">
        <v>6</v>
      </c>
      <c r="DS60">
        <v>6</v>
      </c>
      <c r="DT60">
        <v>300</v>
      </c>
      <c r="DU60">
        <v>304</v>
      </c>
      <c r="DV60">
        <v>304</v>
      </c>
      <c r="DW60">
        <v>304</v>
      </c>
      <c r="DX60">
        <v>307</v>
      </c>
      <c r="DY60">
        <v>307</v>
      </c>
      <c r="DZ60">
        <v>312.5</v>
      </c>
      <c r="EA60">
        <v>313</v>
      </c>
      <c r="EB60">
        <v>313</v>
      </c>
      <c r="EC60">
        <v>315</v>
      </c>
      <c r="ED60">
        <v>257</v>
      </c>
      <c r="EE60">
        <v>258</v>
      </c>
      <c r="EF60">
        <v>258</v>
      </c>
      <c r="EG60">
        <v>265</v>
      </c>
      <c r="EH60">
        <v>301.5</v>
      </c>
      <c r="EI60">
        <v>301.5</v>
      </c>
      <c r="EK60">
        <f t="shared" si="0"/>
        <v>0</v>
      </c>
      <c r="EM60">
        <v>3</v>
      </c>
      <c r="EN60">
        <v>3</v>
      </c>
      <c r="EO60">
        <v>3</v>
      </c>
      <c r="EP60">
        <v>3</v>
      </c>
      <c r="EQ60">
        <v>3</v>
      </c>
      <c r="ER60">
        <v>3</v>
      </c>
      <c r="ES60">
        <v>3</v>
      </c>
      <c r="ET60">
        <v>3</v>
      </c>
      <c r="EU60">
        <v>3</v>
      </c>
      <c r="EV60">
        <v>3</v>
      </c>
      <c r="EW60">
        <v>3</v>
      </c>
      <c r="EX60">
        <v>3</v>
      </c>
      <c r="EY60">
        <v>3</v>
      </c>
      <c r="EZ60">
        <v>3</v>
      </c>
      <c r="FA60">
        <v>3</v>
      </c>
      <c r="FB60">
        <v>3</v>
      </c>
      <c r="FC60">
        <v>3</v>
      </c>
      <c r="FD60">
        <v>3</v>
      </c>
      <c r="FE60">
        <v>3</v>
      </c>
      <c r="FF60">
        <v>3</v>
      </c>
      <c r="FG60">
        <v>3</v>
      </c>
      <c r="FH60">
        <v>3</v>
      </c>
      <c r="FI60">
        <v>3</v>
      </c>
      <c r="FJ60">
        <v>3</v>
      </c>
      <c r="FK60">
        <v>3</v>
      </c>
      <c r="FL60">
        <v>3</v>
      </c>
      <c r="FM60">
        <v>3</v>
      </c>
      <c r="FN60">
        <v>3</v>
      </c>
      <c r="FO60">
        <v>3</v>
      </c>
      <c r="FP60">
        <v>3</v>
      </c>
      <c r="FQ60">
        <v>3</v>
      </c>
      <c r="FR60">
        <v>3</v>
      </c>
      <c r="FS60">
        <v>3</v>
      </c>
      <c r="FT60">
        <v>3</v>
      </c>
      <c r="FU60">
        <v>3</v>
      </c>
      <c r="FV60">
        <v>3</v>
      </c>
      <c r="FW60">
        <v>3</v>
      </c>
      <c r="FX60">
        <v>3</v>
      </c>
      <c r="FY60">
        <v>3</v>
      </c>
    </row>
    <row r="61" spans="81:181">
      <c r="CH61">
        <v>56</v>
      </c>
      <c r="CI61">
        <v>56</v>
      </c>
      <c r="CJ61">
        <v>-721.35</v>
      </c>
      <c r="CK61">
        <v>-721.35</v>
      </c>
      <c r="CL61">
        <v>-755.7</v>
      </c>
      <c r="CM61">
        <f>-755.7+500+114.5</f>
        <v>-141.20000000000005</v>
      </c>
      <c r="CN61">
        <v>-8.6999999999999993</v>
      </c>
      <c r="CO61">
        <v>11.5</v>
      </c>
      <c r="CP61">
        <v>11.5</v>
      </c>
      <c r="CQ61">
        <v>11.4</v>
      </c>
      <c r="CR61">
        <v>11.4</v>
      </c>
      <c r="CS61">
        <v>11.4</v>
      </c>
      <c r="CT61">
        <v>11.4</v>
      </c>
      <c r="CU61">
        <v>11.4</v>
      </c>
      <c r="CV61">
        <v>11.5</v>
      </c>
      <c r="CW61">
        <v>-951.5</v>
      </c>
      <c r="CX61">
        <v>-951</v>
      </c>
      <c r="CY61">
        <v>-877</v>
      </c>
      <c r="CZ61">
        <v>-277</v>
      </c>
      <c r="DA61">
        <v>-1387.4</v>
      </c>
      <c r="DB61">
        <v>-788.5</v>
      </c>
      <c r="DC61">
        <v>-788.5</v>
      </c>
      <c r="DD61">
        <v>11.6</v>
      </c>
      <c r="DE61">
        <v>11.6</v>
      </c>
      <c r="DF61">
        <v>11.6</v>
      </c>
      <c r="DG61">
        <v>11.6</v>
      </c>
      <c r="DH61">
        <v>11.6</v>
      </c>
      <c r="DI61">
        <v>11.6</v>
      </c>
      <c r="DJ61">
        <v>11.6</v>
      </c>
      <c r="DK61">
        <v>275</v>
      </c>
      <c r="DL61">
        <v>392</v>
      </c>
      <c r="DM61">
        <v>154.5</v>
      </c>
      <c r="DN61">
        <v>206.1</v>
      </c>
      <c r="DO61">
        <v>18.3</v>
      </c>
      <c r="DP61">
        <v>73.8</v>
      </c>
      <c r="DQ61">
        <v>125.9</v>
      </c>
      <c r="DR61">
        <v>156.80000000000001</v>
      </c>
      <c r="DS61">
        <v>217.2</v>
      </c>
      <c r="DT61">
        <v>6</v>
      </c>
      <c r="DU61">
        <v>6</v>
      </c>
      <c r="DV61">
        <v>6</v>
      </c>
      <c r="DW61">
        <v>6</v>
      </c>
      <c r="DX61">
        <v>6</v>
      </c>
      <c r="DY61">
        <v>6</v>
      </c>
      <c r="DZ61">
        <v>6</v>
      </c>
      <c r="EA61">
        <v>6</v>
      </c>
      <c r="EB61">
        <v>6</v>
      </c>
      <c r="EC61">
        <v>6</v>
      </c>
      <c r="ED61">
        <v>6</v>
      </c>
      <c r="EE61">
        <v>6</v>
      </c>
      <c r="EF61">
        <v>6</v>
      </c>
      <c r="EG61">
        <v>6</v>
      </c>
      <c r="EH61">
        <v>6</v>
      </c>
      <c r="EI61">
        <v>6</v>
      </c>
      <c r="EK61">
        <f t="shared" si="0"/>
        <v>0</v>
      </c>
      <c r="EM61">
        <f>11.4+11.5-2.28-2.3</f>
        <v>18.319999999999997</v>
      </c>
      <c r="EN61">
        <v>18.32</v>
      </c>
      <c r="EO61">
        <v>18.32</v>
      </c>
      <c r="EP61">
        <v>18.32</v>
      </c>
      <c r="EQ61">
        <v>18.32</v>
      </c>
      <c r="ER61">
        <v>18.32</v>
      </c>
      <c r="ES61">
        <v>18.32</v>
      </c>
      <c r="ET61">
        <v>18.32</v>
      </c>
    </row>
    <row r="62" spans="81:181">
      <c r="CH62">
        <v>609.70000000000005</v>
      </c>
      <c r="CI62">
        <v>56</v>
      </c>
      <c r="CJ62">
        <v>17</v>
      </c>
      <c r="CK62">
        <v>17</v>
      </c>
      <c r="CL62">
        <v>17</v>
      </c>
      <c r="CM62">
        <v>17</v>
      </c>
      <c r="CN62">
        <v>-142.5</v>
      </c>
      <c r="CO62">
        <v>-944</v>
      </c>
      <c r="CP62">
        <v>-544</v>
      </c>
      <c r="CQ62">
        <v>3</v>
      </c>
      <c r="CR62">
        <v>3</v>
      </c>
      <c r="CV62">
        <v>-544</v>
      </c>
      <c r="CW62">
        <v>17</v>
      </c>
      <c r="CX62">
        <v>17</v>
      </c>
      <c r="CY62">
        <v>17</v>
      </c>
      <c r="CZ62">
        <v>17</v>
      </c>
      <c r="DA62">
        <v>34.700000000000003</v>
      </c>
      <c r="DB62">
        <v>34.700000000000003</v>
      </c>
      <c r="DC62">
        <v>9.6999999999999993</v>
      </c>
      <c r="DD62">
        <v>-1057.2</v>
      </c>
      <c r="DE62">
        <v>-1007.2</v>
      </c>
      <c r="DF62">
        <v>-1757.4</v>
      </c>
      <c r="DG62">
        <v>-1316.2</v>
      </c>
      <c r="DH62">
        <v>-1281.8499999999999</v>
      </c>
      <c r="DI62">
        <v>-998</v>
      </c>
      <c r="DJ62">
        <v>-948.1</v>
      </c>
      <c r="DK62">
        <v>11.6</v>
      </c>
      <c r="DL62">
        <v>11.6</v>
      </c>
      <c r="DM62">
        <v>346.5</v>
      </c>
      <c r="DN62">
        <v>323.2</v>
      </c>
      <c r="DO62">
        <v>288.5</v>
      </c>
      <c r="DP62">
        <v>231.5</v>
      </c>
      <c r="DQ62">
        <v>185</v>
      </c>
      <c r="DR62">
        <v>164</v>
      </c>
      <c r="DS62">
        <v>173.4</v>
      </c>
      <c r="DT62">
        <v>208</v>
      </c>
      <c r="DU62">
        <v>199.8</v>
      </c>
      <c r="DV62">
        <v>217</v>
      </c>
      <c r="DW62">
        <v>0</v>
      </c>
      <c r="DX62">
        <v>17.28</v>
      </c>
      <c r="DY62">
        <v>32.200000000000003</v>
      </c>
      <c r="DZ62">
        <v>0</v>
      </c>
      <c r="EA62">
        <v>56.3</v>
      </c>
      <c r="EB62">
        <v>17.3</v>
      </c>
      <c r="EC62">
        <v>53.3</v>
      </c>
      <c r="ED62">
        <v>-27.8</v>
      </c>
      <c r="EE62">
        <v>-55.68</v>
      </c>
      <c r="EF62">
        <v>-83.5</v>
      </c>
      <c r="EG62">
        <v>-83.5</v>
      </c>
      <c r="EH62">
        <v>-83.5</v>
      </c>
      <c r="EI62">
        <v>-83.5</v>
      </c>
      <c r="EK62">
        <f t="shared" si="0"/>
        <v>0</v>
      </c>
    </row>
    <row r="63" spans="81:181">
      <c r="CI63">
        <v>562.20000000000005</v>
      </c>
      <c r="CJ63">
        <v>56</v>
      </c>
      <c r="CK63">
        <v>56</v>
      </c>
      <c r="CL63">
        <v>56</v>
      </c>
      <c r="CM63">
        <v>56</v>
      </c>
      <c r="CN63">
        <v>17</v>
      </c>
      <c r="CO63">
        <v>17</v>
      </c>
      <c r="CP63">
        <v>17</v>
      </c>
      <c r="CR63">
        <v>1</v>
      </c>
      <c r="CS63">
        <v>1.5</v>
      </c>
      <c r="CT63">
        <v>0.5</v>
      </c>
      <c r="CV63">
        <v>17</v>
      </c>
      <c r="CW63">
        <v>-33</v>
      </c>
      <c r="CX63">
        <v>17.3</v>
      </c>
      <c r="DD63">
        <v>1560</v>
      </c>
      <c r="DE63">
        <v>62</v>
      </c>
      <c r="DF63">
        <v>62</v>
      </c>
      <c r="DG63">
        <v>62</v>
      </c>
      <c r="DH63">
        <v>62</v>
      </c>
      <c r="DI63">
        <v>72.900000000000006</v>
      </c>
      <c r="DJ63">
        <v>72.900000000000006</v>
      </c>
      <c r="DK63">
        <v>-1438.1</v>
      </c>
      <c r="DL63">
        <v>-1167.3</v>
      </c>
      <c r="DM63">
        <v>11.6</v>
      </c>
      <c r="DN63">
        <v>11.6</v>
      </c>
      <c r="DO63">
        <v>11.6</v>
      </c>
      <c r="DP63">
        <v>11.6</v>
      </c>
      <c r="DQ63">
        <v>11.6</v>
      </c>
      <c r="DR63">
        <v>11.6</v>
      </c>
      <c r="DS63">
        <v>11.6</v>
      </c>
      <c r="DT63">
        <v>115.5</v>
      </c>
      <c r="DU63">
        <v>172</v>
      </c>
      <c r="DV63">
        <v>201</v>
      </c>
      <c r="DW63">
        <v>200</v>
      </c>
      <c r="DX63">
        <v>83</v>
      </c>
      <c r="DY63">
        <v>71.3</v>
      </c>
      <c r="DZ63">
        <v>95.5</v>
      </c>
      <c r="EA63">
        <v>116.5</v>
      </c>
      <c r="EB63">
        <v>262.7</v>
      </c>
      <c r="EC63">
        <v>311.60000000000002</v>
      </c>
      <c r="ED63">
        <v>17.3</v>
      </c>
      <c r="EE63">
        <v>35.65</v>
      </c>
      <c r="EF63">
        <v>49.88</v>
      </c>
      <c r="EG63">
        <v>62.6</v>
      </c>
      <c r="EH63">
        <v>18.559999999999999</v>
      </c>
      <c r="EI63">
        <v>40.6</v>
      </c>
      <c r="EK63">
        <f t="shared" si="0"/>
        <v>-22.040000000000003</v>
      </c>
    </row>
    <row r="64" spans="81:181">
      <c r="CJ64">
        <v>56</v>
      </c>
      <c r="CK64">
        <v>56</v>
      </c>
      <c r="CN64">
        <v>56</v>
      </c>
      <c r="CO64">
        <v>56</v>
      </c>
      <c r="CP64">
        <v>56</v>
      </c>
      <c r="CR64">
        <v>5.2</v>
      </c>
      <c r="CS64">
        <v>5.2</v>
      </c>
      <c r="CT64">
        <v>1.52</v>
      </c>
      <c r="CU64">
        <v>1.52</v>
      </c>
      <c r="CV64">
        <v>56</v>
      </c>
      <c r="CW64">
        <v>28</v>
      </c>
      <c r="CX64">
        <v>51.3</v>
      </c>
      <c r="DE64">
        <v>1344.7</v>
      </c>
      <c r="DF64">
        <v>2134.1</v>
      </c>
      <c r="DG64">
        <v>1936</v>
      </c>
      <c r="DH64">
        <v>-17.5</v>
      </c>
      <c r="DK64">
        <v>92.1</v>
      </c>
      <c r="DL64">
        <v>92.1</v>
      </c>
      <c r="DM64">
        <v>-1063.0999999999999</v>
      </c>
      <c r="DN64">
        <v>-1063.0999999999999</v>
      </c>
      <c r="DO64">
        <v>-1424.6</v>
      </c>
      <c r="DP64">
        <v>-1124</v>
      </c>
      <c r="DQ64">
        <v>-1124</v>
      </c>
      <c r="DR64">
        <v>-1926.1</v>
      </c>
      <c r="DS64">
        <v>-2429.1</v>
      </c>
      <c r="DT64">
        <v>11.6</v>
      </c>
      <c r="DU64">
        <v>11.6</v>
      </c>
      <c r="DV64">
        <v>11.6</v>
      </c>
      <c r="DW64">
        <v>11.6</v>
      </c>
      <c r="DX64">
        <v>11.6</v>
      </c>
      <c r="DY64">
        <v>11.6</v>
      </c>
      <c r="DZ64">
        <v>11.6</v>
      </c>
      <c r="EA64">
        <v>11.6</v>
      </c>
      <c r="EB64">
        <v>11.6</v>
      </c>
      <c r="EC64">
        <v>11.6</v>
      </c>
      <c r="ED64">
        <v>325.5</v>
      </c>
      <c r="EE64">
        <v>376.5</v>
      </c>
      <c r="EF64">
        <v>236</v>
      </c>
      <c r="EG64">
        <v>261.2</v>
      </c>
      <c r="EH64">
        <v>254</v>
      </c>
      <c r="EI64">
        <v>275.60000000000002</v>
      </c>
      <c r="EK64">
        <f t="shared" si="0"/>
        <v>-21.600000000000023</v>
      </c>
      <c r="EM64">
        <v>1.52</v>
      </c>
      <c r="EN64">
        <v>1.52</v>
      </c>
      <c r="EO64">
        <v>1.52</v>
      </c>
    </row>
    <row r="65" spans="88:181">
      <c r="CJ65">
        <v>1075.0999999999999</v>
      </c>
      <c r="CK65">
        <v>963</v>
      </c>
      <c r="CL65">
        <v>814</v>
      </c>
      <c r="CM65">
        <v>732.8</v>
      </c>
      <c r="CN65">
        <v>473</v>
      </c>
      <c r="CO65">
        <v>1192.4000000000001</v>
      </c>
      <c r="CP65">
        <v>1032</v>
      </c>
      <c r="CR65">
        <v>1.5</v>
      </c>
      <c r="CS65">
        <v>1.5</v>
      </c>
      <c r="CV65">
        <v>695.5</v>
      </c>
      <c r="CW65">
        <v>1272.5</v>
      </c>
      <c r="CX65">
        <v>1012.6</v>
      </c>
      <c r="CY65">
        <v>1009.2</v>
      </c>
      <c r="CZ65">
        <v>869.5</v>
      </c>
      <c r="DA65">
        <v>1573.68</v>
      </c>
      <c r="DB65">
        <v>1249.5999999999999</v>
      </c>
      <c r="DC65">
        <v>986.3</v>
      </c>
      <c r="DD65">
        <v>180</v>
      </c>
      <c r="DE65">
        <v>180</v>
      </c>
      <c r="DH65">
        <v>1711.08</v>
      </c>
      <c r="DI65">
        <v>1351.5</v>
      </c>
      <c r="DJ65">
        <v>1049.8</v>
      </c>
      <c r="DK65">
        <v>1607</v>
      </c>
      <c r="DL65">
        <v>1094.5</v>
      </c>
      <c r="DM65">
        <v>92.1</v>
      </c>
      <c r="DN65">
        <v>-21.7</v>
      </c>
      <c r="DO65">
        <v>-21.7</v>
      </c>
      <c r="DP65">
        <v>-21.7</v>
      </c>
      <c r="DQ65">
        <v>-21.7</v>
      </c>
      <c r="DR65">
        <v>-21.7</v>
      </c>
      <c r="DS65">
        <v>-43.5</v>
      </c>
      <c r="DT65">
        <v>-2329.3000000000002</v>
      </c>
      <c r="DU65">
        <v>34.6</v>
      </c>
      <c r="DY65">
        <v>17</v>
      </c>
      <c r="DZ65">
        <v>0</v>
      </c>
      <c r="ED65">
        <v>34.6</v>
      </c>
      <c r="EE65">
        <v>11.6</v>
      </c>
      <c r="EF65">
        <v>11.6</v>
      </c>
      <c r="EG65">
        <v>11.6</v>
      </c>
      <c r="EH65">
        <v>74</v>
      </c>
      <c r="EI65">
        <v>17.149999999999999</v>
      </c>
      <c r="EK65">
        <f t="shared" si="0"/>
        <v>56.85</v>
      </c>
    </row>
    <row r="66" spans="88:181">
      <c r="CS66">
        <v>2</v>
      </c>
      <c r="CT66">
        <v>2</v>
      </c>
      <c r="CU66">
        <v>2.2000000000000002</v>
      </c>
      <c r="CX66">
        <v>28</v>
      </c>
      <c r="CY66">
        <v>28</v>
      </c>
      <c r="DC66">
        <v>176.3</v>
      </c>
      <c r="DD66">
        <v>43.7</v>
      </c>
      <c r="DK66">
        <v>33.5</v>
      </c>
      <c r="DN66">
        <v>92.1</v>
      </c>
      <c r="DO66">
        <v>71.099999999999994</v>
      </c>
      <c r="DP66">
        <v>39.700000000000003</v>
      </c>
      <c r="DQ66">
        <v>39.700000000000003</v>
      </c>
      <c r="DR66">
        <v>39.700000000000003</v>
      </c>
      <c r="DS66">
        <v>90.7</v>
      </c>
      <c r="DT66">
        <v>-43.5</v>
      </c>
      <c r="DU66">
        <v>-2329.3000000000002</v>
      </c>
      <c r="DV66">
        <v>-2329.3000000000002</v>
      </c>
      <c r="DW66">
        <v>-2700</v>
      </c>
      <c r="DX66">
        <v>-2595</v>
      </c>
      <c r="DY66">
        <v>-2495</v>
      </c>
      <c r="DZ66">
        <v>-3265</v>
      </c>
      <c r="EA66">
        <v>-3196.9</v>
      </c>
      <c r="EB66">
        <v>-3620</v>
      </c>
      <c r="EC66">
        <v>-3603</v>
      </c>
      <c r="ED66">
        <v>11.6</v>
      </c>
      <c r="EE66">
        <v>-3143</v>
      </c>
      <c r="EF66">
        <v>-3961</v>
      </c>
      <c r="EG66">
        <v>34.200000000000003</v>
      </c>
      <c r="EH66">
        <v>11.6</v>
      </c>
      <c r="EI66">
        <v>74</v>
      </c>
      <c r="EK66">
        <f t="shared" si="0"/>
        <v>-62.4</v>
      </c>
      <c r="EM66">
        <v>2.2000000000000002</v>
      </c>
      <c r="EN66">
        <v>2.2000000000000002</v>
      </c>
      <c r="EO66">
        <v>2.2000000000000002</v>
      </c>
      <c r="EP66">
        <v>2.2000000000000002</v>
      </c>
      <c r="EQ66">
        <v>2.2000000000000002</v>
      </c>
      <c r="ER66">
        <v>2.2000000000000002</v>
      </c>
      <c r="ES66">
        <v>2.2000000000000002</v>
      </c>
      <c r="ET66">
        <v>2.2000000000000002</v>
      </c>
      <c r="EU66">
        <v>2.2000000000000002</v>
      </c>
      <c r="EV66">
        <v>2.2000000000000002</v>
      </c>
      <c r="EW66">
        <v>2.2000000000000002</v>
      </c>
      <c r="EX66">
        <v>2.2000000000000002</v>
      </c>
      <c r="EY66">
        <v>2.2000000000000002</v>
      </c>
      <c r="EZ66">
        <v>2.2000000000000002</v>
      </c>
      <c r="FA66">
        <v>2.2000000000000002</v>
      </c>
      <c r="FB66">
        <v>2.2000000000000002</v>
      </c>
      <c r="FC66">
        <v>2.2000000000000002</v>
      </c>
      <c r="FD66">
        <v>2.2000000000000002</v>
      </c>
      <c r="FE66">
        <v>2.2000000000000002</v>
      </c>
      <c r="FF66">
        <v>2.2000000000000002</v>
      </c>
      <c r="FG66">
        <v>2.2000000000000002</v>
      </c>
      <c r="FH66">
        <v>2.2000000000000002</v>
      </c>
      <c r="FI66">
        <v>2.2000000000000002</v>
      </c>
      <c r="FJ66">
        <v>2.2000000000000002</v>
      </c>
      <c r="FK66">
        <v>2.2000000000000002</v>
      </c>
      <c r="FL66">
        <v>2.2000000000000002</v>
      </c>
      <c r="FM66">
        <v>2.2000000000000002</v>
      </c>
      <c r="FN66">
        <v>2.2000000000000002</v>
      </c>
      <c r="FO66">
        <v>2.2000000000000002</v>
      </c>
      <c r="FP66">
        <v>2.2000000000000002</v>
      </c>
      <c r="FQ66">
        <v>2.2000000000000002</v>
      </c>
      <c r="FR66">
        <v>2.2000000000000002</v>
      </c>
      <c r="FS66">
        <v>2.2000000000000002</v>
      </c>
      <c r="FT66">
        <v>2.2000000000000002</v>
      </c>
      <c r="FU66">
        <v>2.2000000000000002</v>
      </c>
      <c r="FV66">
        <v>2.2000000000000002</v>
      </c>
      <c r="FW66">
        <v>2.2000000000000002</v>
      </c>
      <c r="FX66">
        <v>2.2000000000000002</v>
      </c>
      <c r="FY66">
        <v>2.2000000000000002</v>
      </c>
    </row>
    <row r="67" spans="88:181">
      <c r="CS67">
        <v>3</v>
      </c>
      <c r="CT67">
        <v>3</v>
      </c>
      <c r="CU67">
        <v>3</v>
      </c>
      <c r="DM67">
        <v>883.3</v>
      </c>
      <c r="DN67">
        <v>687</v>
      </c>
      <c r="DO67">
        <v>1292.7</v>
      </c>
      <c r="DP67">
        <v>1080.0999999999999</v>
      </c>
      <c r="DQ67">
        <v>920.5</v>
      </c>
      <c r="DR67">
        <v>1657.9</v>
      </c>
      <c r="DS67">
        <v>2225.3000000000002</v>
      </c>
      <c r="DT67">
        <v>40.700000000000003</v>
      </c>
      <c r="DU67">
        <v>-43.5</v>
      </c>
      <c r="DV67">
        <v>-43.5</v>
      </c>
      <c r="DW67">
        <v>-43.5</v>
      </c>
      <c r="DX67">
        <v>-43.5</v>
      </c>
      <c r="DY67">
        <v>-43.5</v>
      </c>
      <c r="DZ67">
        <v>-43.5</v>
      </c>
      <c r="EA67">
        <v>-43.5</v>
      </c>
      <c r="EB67">
        <v>-65</v>
      </c>
      <c r="EC67">
        <v>-65.5</v>
      </c>
      <c r="ED67">
        <v>-3361</v>
      </c>
      <c r="EE67">
        <v>-65.5</v>
      </c>
      <c r="EF67">
        <v>-65.5</v>
      </c>
      <c r="EG67">
        <v>55.5</v>
      </c>
      <c r="EI67">
        <v>11.6</v>
      </c>
      <c r="EK67">
        <f t="shared" si="0"/>
        <v>-11.6</v>
      </c>
      <c r="EM67">
        <f>3+1</f>
        <v>4</v>
      </c>
      <c r="EN67">
        <v>4</v>
      </c>
      <c r="EO67">
        <v>4</v>
      </c>
      <c r="EP67">
        <v>4</v>
      </c>
      <c r="EQ67">
        <v>4</v>
      </c>
      <c r="ER67">
        <v>4</v>
      </c>
      <c r="ES67">
        <v>4</v>
      </c>
      <c r="ET67">
        <v>4</v>
      </c>
      <c r="EU67">
        <v>4</v>
      </c>
      <c r="EV67">
        <v>4</v>
      </c>
      <c r="EW67">
        <v>4</v>
      </c>
      <c r="EX67">
        <v>4</v>
      </c>
      <c r="EY67">
        <v>4</v>
      </c>
      <c r="EZ67">
        <v>4</v>
      </c>
      <c r="FA67">
        <v>4</v>
      </c>
      <c r="FB67">
        <v>4</v>
      </c>
      <c r="FC67">
        <v>4</v>
      </c>
      <c r="FD67">
        <v>4</v>
      </c>
      <c r="FE67">
        <v>4</v>
      </c>
      <c r="FF67">
        <v>4</v>
      </c>
      <c r="FG67">
        <v>4</v>
      </c>
      <c r="FH67">
        <v>4</v>
      </c>
      <c r="FI67">
        <v>4</v>
      </c>
      <c r="FJ67">
        <v>4</v>
      </c>
      <c r="FK67">
        <v>4</v>
      </c>
      <c r="FL67">
        <v>4</v>
      </c>
      <c r="FM67">
        <v>4</v>
      </c>
      <c r="FN67">
        <v>4</v>
      </c>
      <c r="FO67">
        <v>4</v>
      </c>
      <c r="FP67">
        <v>4</v>
      </c>
    </row>
    <row r="68" spans="88:181">
      <c r="CT68">
        <v>2</v>
      </c>
      <c r="CU68">
        <v>2</v>
      </c>
      <c r="DT68">
        <v>2093.6</v>
      </c>
      <c r="DU68">
        <v>91.76</v>
      </c>
      <c r="DV68">
        <v>91.76</v>
      </c>
      <c r="DW68">
        <v>91.76</v>
      </c>
      <c r="DX68">
        <v>91.76</v>
      </c>
      <c r="DY68">
        <v>91.76</v>
      </c>
      <c r="DZ68">
        <v>41.76</v>
      </c>
      <c r="EA68">
        <v>41.76</v>
      </c>
      <c r="EB68">
        <v>-8.24</v>
      </c>
      <c r="EC68">
        <v>3</v>
      </c>
      <c r="ED68">
        <v>-65.5</v>
      </c>
      <c r="EG68">
        <v>-3961</v>
      </c>
      <c r="EH68">
        <v>-3789</v>
      </c>
      <c r="EI68">
        <v>-3789</v>
      </c>
      <c r="EK68">
        <f t="shared" si="0"/>
        <v>0</v>
      </c>
      <c r="EM68">
        <v>2</v>
      </c>
      <c r="EN68">
        <v>2</v>
      </c>
      <c r="EO68">
        <v>2</v>
      </c>
      <c r="EP68">
        <v>2</v>
      </c>
      <c r="EQ68">
        <v>2</v>
      </c>
      <c r="ER68">
        <v>2</v>
      </c>
      <c r="ES68">
        <v>2</v>
      </c>
      <c r="ET68">
        <v>2</v>
      </c>
      <c r="EU68">
        <v>2</v>
      </c>
      <c r="EV68">
        <v>2</v>
      </c>
      <c r="EW68">
        <v>2</v>
      </c>
      <c r="EX68">
        <v>2</v>
      </c>
      <c r="EY68">
        <v>2</v>
      </c>
      <c r="EZ68">
        <v>2</v>
      </c>
      <c r="FA68">
        <v>2</v>
      </c>
      <c r="FB68">
        <v>2</v>
      </c>
      <c r="FC68">
        <v>2</v>
      </c>
      <c r="FD68">
        <v>2</v>
      </c>
      <c r="FE68">
        <v>2</v>
      </c>
      <c r="FF68">
        <v>2</v>
      </c>
      <c r="FG68">
        <v>2</v>
      </c>
      <c r="FH68">
        <v>2</v>
      </c>
      <c r="FI68">
        <v>2</v>
      </c>
      <c r="FJ68">
        <v>2</v>
      </c>
      <c r="FK68">
        <v>2</v>
      </c>
      <c r="FL68">
        <v>2</v>
      </c>
      <c r="FM68">
        <v>2</v>
      </c>
      <c r="FN68">
        <v>2</v>
      </c>
      <c r="FO68">
        <v>2</v>
      </c>
      <c r="FP68">
        <v>4.2</v>
      </c>
      <c r="FQ68">
        <v>4.2</v>
      </c>
      <c r="FR68">
        <v>4.2</v>
      </c>
      <c r="FS68">
        <v>4.7</v>
      </c>
      <c r="FT68">
        <v>4.7</v>
      </c>
      <c r="FU68">
        <v>4.7</v>
      </c>
      <c r="FV68">
        <v>4.7</v>
      </c>
      <c r="FW68">
        <v>4.7</v>
      </c>
      <c r="FX68">
        <v>4.7</v>
      </c>
      <c r="FY68">
        <v>4.7</v>
      </c>
    </row>
    <row r="69" spans="88:181">
      <c r="CU69">
        <v>1.2</v>
      </c>
      <c r="DU69">
        <v>1869.21</v>
      </c>
      <c r="DV69">
        <v>1753.5</v>
      </c>
      <c r="DW69">
        <v>2371.8000000000002</v>
      </c>
      <c r="DX69">
        <v>1993.4</v>
      </c>
      <c r="DY69">
        <v>1691</v>
      </c>
      <c r="DZ69">
        <v>2351</v>
      </c>
      <c r="EA69">
        <v>2029</v>
      </c>
      <c r="EB69">
        <v>2760.5</v>
      </c>
      <c r="EC69">
        <v>2425</v>
      </c>
      <c r="ED69">
        <v>3</v>
      </c>
      <c r="EE69">
        <v>2057.3000000000002</v>
      </c>
      <c r="EF69">
        <v>2798.5</v>
      </c>
      <c r="EG69">
        <v>-65.5</v>
      </c>
      <c r="EH69">
        <v>-44</v>
      </c>
      <c r="EI69">
        <v>-44</v>
      </c>
      <c r="EK69">
        <f t="shared" si="0"/>
        <v>0</v>
      </c>
      <c r="EM69">
        <v>1.2</v>
      </c>
      <c r="EN69">
        <v>1.2</v>
      </c>
      <c r="EO69">
        <v>1.2</v>
      </c>
      <c r="EP69">
        <v>1.2</v>
      </c>
      <c r="EQ69">
        <v>1.2</v>
      </c>
      <c r="ER69">
        <v>1.2</v>
      </c>
      <c r="ES69">
        <v>1.2</v>
      </c>
      <c r="ET69">
        <v>1.2</v>
      </c>
      <c r="EU69">
        <v>1.2</v>
      </c>
      <c r="EV69">
        <v>1.2</v>
      </c>
      <c r="EW69">
        <v>1.2</v>
      </c>
      <c r="EX69">
        <v>1.2</v>
      </c>
      <c r="EY69">
        <v>1.2</v>
      </c>
      <c r="EZ69">
        <v>1.2</v>
      </c>
      <c r="FA69">
        <v>1.2</v>
      </c>
      <c r="FB69">
        <v>1.2</v>
      </c>
      <c r="FC69">
        <v>1.2</v>
      </c>
      <c r="FD69">
        <v>1.2</v>
      </c>
      <c r="FE69">
        <v>1.2</v>
      </c>
      <c r="FF69">
        <v>1.2</v>
      </c>
      <c r="FG69">
        <v>1.2</v>
      </c>
      <c r="FH69">
        <v>1.2</v>
      </c>
      <c r="FI69">
        <v>1.2</v>
      </c>
      <c r="FJ69">
        <v>1.2</v>
      </c>
      <c r="FK69">
        <v>1.2</v>
      </c>
      <c r="FL69">
        <v>1.2</v>
      </c>
      <c r="FM69">
        <v>1.2</v>
      </c>
      <c r="FN69">
        <v>1.2</v>
      </c>
      <c r="FO69">
        <v>1.2</v>
      </c>
      <c r="FP69">
        <v>1.2</v>
      </c>
      <c r="FQ69">
        <v>1.2</v>
      </c>
      <c r="FR69">
        <v>1.2</v>
      </c>
      <c r="FS69">
        <v>1.2</v>
      </c>
      <c r="FT69">
        <v>1.2</v>
      </c>
      <c r="FU69">
        <v>1.2</v>
      </c>
      <c r="FV69">
        <v>1.2</v>
      </c>
      <c r="FW69">
        <v>1.2</v>
      </c>
      <c r="FX69">
        <v>1.2</v>
      </c>
      <c r="FY69">
        <v>1.2</v>
      </c>
    </row>
    <row r="70" spans="88:181">
      <c r="CU70">
        <v>3.03</v>
      </c>
      <c r="ED70">
        <v>2260.9</v>
      </c>
      <c r="EG70">
        <v>2585</v>
      </c>
      <c r="EH70">
        <v>2568.8000000000002</v>
      </c>
      <c r="EI70">
        <v>2332.1</v>
      </c>
      <c r="EK70">
        <f t="shared" si="0"/>
        <v>236.70000000000027</v>
      </c>
      <c r="EM70">
        <v>0</v>
      </c>
    </row>
    <row r="71" spans="88:181">
      <c r="EF71">
        <v>17.100000000000001</v>
      </c>
      <c r="EM71">
        <v>-10</v>
      </c>
    </row>
    <row r="72" spans="88:181">
      <c r="DL72">
        <v>5910.64</v>
      </c>
      <c r="EM72">
        <v>0.1</v>
      </c>
      <c r="EN72">
        <v>0.1</v>
      </c>
      <c r="EO72">
        <v>0.1</v>
      </c>
      <c r="EP72">
        <v>0.1</v>
      </c>
      <c r="EQ72">
        <v>0.5</v>
      </c>
    </row>
    <row r="73" spans="88:181">
      <c r="DL73">
        <v>1989.4</v>
      </c>
      <c r="EM73">
        <v>10.050000000000001</v>
      </c>
      <c r="EN73">
        <v>10.050000000000001</v>
      </c>
      <c r="EO73">
        <v>10.050000000000001</v>
      </c>
    </row>
    <row r="74" spans="88:181">
      <c r="EN74">
        <v>15.15</v>
      </c>
      <c r="EO74">
        <v>15.15</v>
      </c>
      <c r="EP74">
        <v>15.15</v>
      </c>
      <c r="EQ74">
        <v>15.15</v>
      </c>
      <c r="ER74">
        <v>15.15</v>
      </c>
      <c r="ES74">
        <v>15.15</v>
      </c>
      <c r="ET74">
        <v>15.15</v>
      </c>
      <c r="EU74">
        <v>15.15</v>
      </c>
      <c r="EV74">
        <v>15.15</v>
      </c>
      <c r="EW74">
        <v>15.15</v>
      </c>
      <c r="EX74">
        <v>15.15</v>
      </c>
      <c r="EY74">
        <v>15.15</v>
      </c>
      <c r="EZ74">
        <v>15.15</v>
      </c>
      <c r="FA74">
        <v>15.15</v>
      </c>
      <c r="FB74">
        <v>15.15</v>
      </c>
      <c r="FC74">
        <v>15.15</v>
      </c>
      <c r="FD74">
        <v>15.15</v>
      </c>
      <c r="FE74">
        <v>15.15</v>
      </c>
      <c r="FF74">
        <v>15.15</v>
      </c>
      <c r="FG74">
        <v>15.15</v>
      </c>
      <c r="FH74">
        <v>15.15</v>
      </c>
      <c r="FI74">
        <v>15.15</v>
      </c>
      <c r="FJ74">
        <v>15.15</v>
      </c>
      <c r="FK74">
        <v>15.15</v>
      </c>
      <c r="FL74">
        <v>15.15</v>
      </c>
      <c r="FM74">
        <v>15.15</v>
      </c>
      <c r="FN74">
        <v>15.15</v>
      </c>
      <c r="FO74">
        <v>15.15</v>
      </c>
      <c r="FP74">
        <v>15.15</v>
      </c>
      <c r="FQ74">
        <v>15.15</v>
      </c>
      <c r="FR74">
        <v>15.15</v>
      </c>
      <c r="FS74">
        <v>15.15</v>
      </c>
      <c r="FT74">
        <v>15.15</v>
      </c>
      <c r="FU74">
        <v>15.15</v>
      </c>
      <c r="FV74">
        <v>15.15</v>
      </c>
      <c r="FW74">
        <v>15.15</v>
      </c>
      <c r="FX74">
        <v>15.15</v>
      </c>
      <c r="FY74">
        <v>15.15</v>
      </c>
    </row>
    <row r="75" spans="88:181">
      <c r="EO75">
        <v>2.7</v>
      </c>
      <c r="EP75">
        <v>2.7</v>
      </c>
      <c r="EQ75">
        <v>2.7</v>
      </c>
      <c r="ER75">
        <v>0.7</v>
      </c>
      <c r="ES75">
        <v>0.7</v>
      </c>
      <c r="ET75">
        <v>0.7</v>
      </c>
      <c r="EU75">
        <v>0.7</v>
      </c>
      <c r="EV75">
        <v>0.7</v>
      </c>
      <c r="EW75">
        <v>0.7</v>
      </c>
      <c r="EX75">
        <v>0.7</v>
      </c>
      <c r="EY75">
        <v>0.7</v>
      </c>
      <c r="EZ75">
        <v>0.7</v>
      </c>
      <c r="FA75">
        <v>0.7</v>
      </c>
      <c r="FB75">
        <v>0.7</v>
      </c>
      <c r="FC75">
        <v>0.7</v>
      </c>
      <c r="FD75">
        <v>0.7</v>
      </c>
    </row>
    <row r="76" spans="88:181">
      <c r="EO76">
        <v>10</v>
      </c>
      <c r="EP76">
        <v>10</v>
      </c>
      <c r="EQ76">
        <v>10</v>
      </c>
      <c r="ER76">
        <v>10</v>
      </c>
      <c r="ES76">
        <v>10</v>
      </c>
      <c r="ET76">
        <v>10</v>
      </c>
      <c r="EU76">
        <v>10</v>
      </c>
      <c r="EV76">
        <v>10</v>
      </c>
      <c r="EW76">
        <v>10</v>
      </c>
      <c r="EX76">
        <v>10</v>
      </c>
      <c r="EY76">
        <v>15</v>
      </c>
      <c r="EZ76">
        <v>15</v>
      </c>
      <c r="FA76">
        <v>15</v>
      </c>
      <c r="FB76">
        <v>15</v>
      </c>
      <c r="FC76">
        <v>15</v>
      </c>
      <c r="FD76">
        <v>15</v>
      </c>
      <c r="FE76">
        <v>15</v>
      </c>
      <c r="FF76">
        <v>15</v>
      </c>
      <c r="FG76">
        <v>15</v>
      </c>
      <c r="FH76">
        <v>15</v>
      </c>
      <c r="FI76">
        <v>15</v>
      </c>
      <c r="FJ76">
        <v>15</v>
      </c>
      <c r="FK76">
        <v>15</v>
      </c>
      <c r="FL76">
        <v>15</v>
      </c>
      <c r="FM76">
        <v>15</v>
      </c>
      <c r="FN76">
        <v>15</v>
      </c>
      <c r="FO76">
        <v>15</v>
      </c>
      <c r="FP76">
        <v>15</v>
      </c>
    </row>
    <row r="77" spans="88:181">
      <c r="EO77">
        <v>0.77</v>
      </c>
      <c r="EP77">
        <v>0.77</v>
      </c>
      <c r="EQ77">
        <v>0.77</v>
      </c>
      <c r="ER77">
        <v>0.77</v>
      </c>
      <c r="ES77">
        <v>0.77</v>
      </c>
      <c r="ET77">
        <v>0.77</v>
      </c>
      <c r="EU77">
        <v>0.77</v>
      </c>
      <c r="EV77">
        <v>0.77</v>
      </c>
      <c r="EW77">
        <v>0.77</v>
      </c>
      <c r="EX77">
        <v>0.77</v>
      </c>
      <c r="EY77">
        <v>0.77</v>
      </c>
      <c r="EZ77">
        <v>0.77</v>
      </c>
      <c r="FA77">
        <v>0.77</v>
      </c>
      <c r="FB77">
        <v>0.77</v>
      </c>
      <c r="FC77">
        <v>0.77</v>
      </c>
      <c r="FD77">
        <v>0.8</v>
      </c>
      <c r="FE77">
        <v>0.8</v>
      </c>
      <c r="FF77">
        <v>0.8</v>
      </c>
      <c r="FG77">
        <v>0.8</v>
      </c>
      <c r="FH77">
        <v>0.8</v>
      </c>
      <c r="FI77">
        <v>0.8</v>
      </c>
      <c r="FJ77">
        <v>0.8</v>
      </c>
      <c r="FK77">
        <v>0.8</v>
      </c>
      <c r="FL77">
        <v>0.8</v>
      </c>
      <c r="FM77">
        <v>0.8</v>
      </c>
      <c r="FN77">
        <v>0.8</v>
      </c>
      <c r="FO77">
        <v>0.8</v>
      </c>
      <c r="FP77">
        <v>0.8</v>
      </c>
      <c r="FQ77">
        <v>0.8</v>
      </c>
      <c r="FR77">
        <v>0.8</v>
      </c>
      <c r="FS77">
        <v>0.8</v>
      </c>
      <c r="FT77">
        <v>0.8</v>
      </c>
      <c r="FU77">
        <v>0.8</v>
      </c>
      <c r="FV77">
        <v>0.8</v>
      </c>
      <c r="FW77">
        <v>0.8</v>
      </c>
      <c r="FX77">
        <v>0.8</v>
      </c>
      <c r="FY77">
        <v>0.8</v>
      </c>
    </row>
    <row r="78" spans="88:181">
      <c r="EP78">
        <v>5</v>
      </c>
      <c r="EQ78">
        <v>5</v>
      </c>
      <c r="ER78">
        <v>5</v>
      </c>
      <c r="ES78">
        <v>5</v>
      </c>
      <c r="ET78">
        <f>5+18.4</f>
        <v>23.4</v>
      </c>
      <c r="EU78">
        <v>23.4</v>
      </c>
      <c r="EV78">
        <v>23.4</v>
      </c>
      <c r="EW78">
        <v>23.4</v>
      </c>
      <c r="EX78">
        <v>23.4</v>
      </c>
      <c r="EY78">
        <v>23.4</v>
      </c>
      <c r="EZ78">
        <v>23.4</v>
      </c>
      <c r="FA78">
        <v>23.4</v>
      </c>
      <c r="FB78">
        <v>23.4</v>
      </c>
      <c r="FC78">
        <v>23.4</v>
      </c>
      <c r="FD78">
        <v>23.4</v>
      </c>
      <c r="FE78">
        <v>23.4</v>
      </c>
    </row>
    <row r="79" spans="88:181">
      <c r="EP79">
        <v>6</v>
      </c>
      <c r="EQ79">
        <v>6</v>
      </c>
    </row>
    <row r="80" spans="88:181">
      <c r="EP80">
        <v>0.315</v>
      </c>
      <c r="EQ80">
        <v>0.315</v>
      </c>
    </row>
    <row r="81" spans="147:181">
      <c r="EQ81">
        <v>3</v>
      </c>
      <c r="ER81">
        <v>3</v>
      </c>
      <c r="ES81">
        <v>3</v>
      </c>
      <c r="ET81">
        <v>3</v>
      </c>
      <c r="EU81">
        <v>3</v>
      </c>
      <c r="EV81">
        <v>3</v>
      </c>
      <c r="EW81">
        <v>3</v>
      </c>
    </row>
    <row r="82" spans="147:181">
      <c r="EQ82">
        <v>2.2000000000000002</v>
      </c>
      <c r="ER82">
        <v>2.2000000000000002</v>
      </c>
      <c r="ES82">
        <v>2.2000000000000002</v>
      </c>
      <c r="ET82">
        <v>2.2000000000000002</v>
      </c>
      <c r="EU82">
        <v>2.2000000000000002</v>
      </c>
      <c r="EV82">
        <v>2.2000000000000002</v>
      </c>
      <c r="EW82">
        <v>2.2000000000000002</v>
      </c>
      <c r="EX82">
        <v>2.2000000000000002</v>
      </c>
      <c r="EY82">
        <v>2.2000000000000002</v>
      </c>
      <c r="EZ82">
        <v>2.2000000000000002</v>
      </c>
      <c r="FA82">
        <v>2.2000000000000002</v>
      </c>
      <c r="FB82">
        <v>2.2000000000000002</v>
      </c>
      <c r="FC82">
        <v>2.2000000000000002</v>
      </c>
      <c r="FD82">
        <v>2.2000000000000002</v>
      </c>
    </row>
    <row r="83" spans="147:181">
      <c r="ER83">
        <v>1.9</v>
      </c>
    </row>
    <row r="84" spans="147:181">
      <c r="ES84">
        <v>5</v>
      </c>
      <c r="ET84">
        <v>5</v>
      </c>
      <c r="EU84">
        <v>5</v>
      </c>
      <c r="EV84">
        <v>5</v>
      </c>
      <c r="EW84">
        <v>5</v>
      </c>
      <c r="EX84">
        <v>5</v>
      </c>
      <c r="EY84">
        <v>5</v>
      </c>
      <c r="EZ84">
        <v>5</v>
      </c>
      <c r="FA84">
        <v>5</v>
      </c>
      <c r="FB84">
        <v>5</v>
      </c>
      <c r="FC84">
        <v>5</v>
      </c>
      <c r="FD84">
        <v>5</v>
      </c>
      <c r="FE84">
        <v>5</v>
      </c>
      <c r="FF84">
        <v>5</v>
      </c>
      <c r="FG84">
        <v>5</v>
      </c>
      <c r="FH84">
        <v>5</v>
      </c>
      <c r="FI84">
        <v>5</v>
      </c>
      <c r="FJ84">
        <v>5</v>
      </c>
      <c r="FK84">
        <v>5</v>
      </c>
      <c r="FL84">
        <v>5</v>
      </c>
      <c r="FM84">
        <v>5</v>
      </c>
      <c r="FN84">
        <v>5</v>
      </c>
      <c r="FO84">
        <v>5</v>
      </c>
      <c r="FP84">
        <v>-23</v>
      </c>
    </row>
    <row r="85" spans="147:181">
      <c r="ES85">
        <v>0.21299999999999999</v>
      </c>
    </row>
    <row r="86" spans="147:181">
      <c r="ES86">
        <v>5.5</v>
      </c>
      <c r="ET86">
        <v>5.5</v>
      </c>
      <c r="EU86">
        <v>5.5</v>
      </c>
      <c r="EV86">
        <v>5.5</v>
      </c>
      <c r="EW86">
        <v>5.5</v>
      </c>
      <c r="EX86">
        <v>5.5</v>
      </c>
      <c r="EY86">
        <v>5.5</v>
      </c>
      <c r="EZ86">
        <v>5.5</v>
      </c>
      <c r="FA86">
        <v>5.5</v>
      </c>
      <c r="FB86">
        <v>5.5</v>
      </c>
      <c r="FC86">
        <v>5.5</v>
      </c>
      <c r="FD86">
        <v>5.5</v>
      </c>
      <c r="FE86">
        <v>5.5</v>
      </c>
      <c r="FF86">
        <v>5.5</v>
      </c>
      <c r="FG86">
        <v>5.5</v>
      </c>
      <c r="FH86">
        <v>5.5</v>
      </c>
      <c r="FI86">
        <v>5.5</v>
      </c>
      <c r="FJ86">
        <v>5.5</v>
      </c>
      <c r="FK86">
        <v>5.5</v>
      </c>
      <c r="FL86">
        <v>5.5</v>
      </c>
      <c r="FM86">
        <v>5.5</v>
      </c>
      <c r="FN86">
        <v>5.5</v>
      </c>
      <c r="FO86">
        <v>5.5</v>
      </c>
      <c r="FP86">
        <v>5.5</v>
      </c>
      <c r="FQ86">
        <v>5.5</v>
      </c>
      <c r="FR86">
        <v>5.5</v>
      </c>
      <c r="FS86">
        <v>5.5</v>
      </c>
      <c r="FT86">
        <v>5.5</v>
      </c>
      <c r="FU86">
        <v>5.5</v>
      </c>
      <c r="FV86">
        <v>5.5</v>
      </c>
      <c r="FW86">
        <v>5.5</v>
      </c>
      <c r="FX86">
        <v>5.5</v>
      </c>
      <c r="FY86">
        <v>5.5</v>
      </c>
    </row>
    <row r="87" spans="147:181">
      <c r="ES87">
        <v>4.66</v>
      </c>
    </row>
    <row r="88" spans="147:181">
      <c r="ES88">
        <v>10</v>
      </c>
      <c r="ET88">
        <v>10</v>
      </c>
      <c r="EU88">
        <v>10</v>
      </c>
      <c r="EV88">
        <v>10</v>
      </c>
      <c r="EW88">
        <v>10</v>
      </c>
      <c r="EX88">
        <v>10</v>
      </c>
      <c r="EY88">
        <v>10</v>
      </c>
      <c r="EZ88">
        <v>10</v>
      </c>
      <c r="FA88">
        <v>10</v>
      </c>
      <c r="FB88">
        <v>10</v>
      </c>
      <c r="FC88">
        <v>10</v>
      </c>
      <c r="FD88">
        <v>10</v>
      </c>
    </row>
    <row r="89" spans="147:181">
      <c r="ES89">
        <v>-20</v>
      </c>
      <c r="ET89">
        <v>-20</v>
      </c>
      <c r="EU89">
        <v>-20</v>
      </c>
      <c r="EV89">
        <v>-15</v>
      </c>
      <c r="EW89">
        <v>-15</v>
      </c>
      <c r="EX89">
        <v>-15</v>
      </c>
      <c r="EY89">
        <v>-8</v>
      </c>
      <c r="EZ89">
        <v>-8</v>
      </c>
      <c r="FA89">
        <v>-8</v>
      </c>
      <c r="FB89">
        <v>-8</v>
      </c>
      <c r="FC89">
        <v>-8</v>
      </c>
      <c r="FD89">
        <v>-8</v>
      </c>
      <c r="FE89">
        <v>-8</v>
      </c>
      <c r="FF89">
        <v>0</v>
      </c>
    </row>
    <row r="90" spans="147:181">
      <c r="ES90">
        <v>18</v>
      </c>
      <c r="ET90">
        <v>18</v>
      </c>
      <c r="EU90">
        <v>18</v>
      </c>
      <c r="EV90">
        <v>18</v>
      </c>
    </row>
    <row r="91" spans="147:181">
      <c r="ES91">
        <v>34.200000000000003</v>
      </c>
    </row>
    <row r="92" spans="147:181">
      <c r="ES92">
        <v>16.100000000000001</v>
      </c>
    </row>
    <row r="93" spans="147:181">
      <c r="ES93">
        <v>-28</v>
      </c>
      <c r="ET93">
        <v>-28</v>
      </c>
      <c r="EU93">
        <v>-28</v>
      </c>
      <c r="EV93">
        <v>-28</v>
      </c>
      <c r="EW93">
        <v>-28</v>
      </c>
    </row>
    <row r="94" spans="147:181">
      <c r="ET94">
        <v>1.5</v>
      </c>
      <c r="EU94">
        <v>1.5</v>
      </c>
      <c r="EV94">
        <v>1.5</v>
      </c>
      <c r="EW94">
        <v>1.5</v>
      </c>
      <c r="EX94">
        <v>1.5</v>
      </c>
      <c r="EY94">
        <v>1.5</v>
      </c>
      <c r="EZ94">
        <v>1.5</v>
      </c>
      <c r="FA94">
        <v>1.5</v>
      </c>
      <c r="FB94">
        <v>1.5</v>
      </c>
      <c r="FC94">
        <v>1.5</v>
      </c>
      <c r="FD94">
        <v>1.5</v>
      </c>
      <c r="FE94">
        <v>1.5</v>
      </c>
      <c r="FF94">
        <v>1.5</v>
      </c>
      <c r="FG94">
        <v>1.5</v>
      </c>
      <c r="FH94">
        <v>1.5</v>
      </c>
      <c r="FI94">
        <v>1.5</v>
      </c>
      <c r="FJ94">
        <v>1.5</v>
      </c>
      <c r="FK94">
        <v>1.5</v>
      </c>
    </row>
    <row r="95" spans="147:181">
      <c r="ET95">
        <v>3.5</v>
      </c>
      <c r="EU95">
        <v>3.5</v>
      </c>
      <c r="EV95">
        <v>3.5</v>
      </c>
      <c r="EW95">
        <v>3.5</v>
      </c>
      <c r="EX95">
        <v>3.5</v>
      </c>
      <c r="EY95">
        <v>3.5</v>
      </c>
      <c r="EZ95">
        <v>3.5</v>
      </c>
      <c r="FA95">
        <v>3.5</v>
      </c>
      <c r="FB95">
        <v>3.5</v>
      </c>
      <c r="FC95">
        <v>3.5</v>
      </c>
      <c r="FD95">
        <v>3.5</v>
      </c>
      <c r="FE95">
        <v>3.5</v>
      </c>
    </row>
    <row r="96" spans="147:181">
      <c r="EU96">
        <v>2.5</v>
      </c>
      <c r="EV96">
        <v>2.5</v>
      </c>
      <c r="EW96">
        <v>1.5</v>
      </c>
      <c r="EX96">
        <v>1.5</v>
      </c>
      <c r="EY96">
        <v>1.5</v>
      </c>
      <c r="EZ96">
        <v>1.5</v>
      </c>
      <c r="FA96">
        <v>1.5</v>
      </c>
      <c r="FB96">
        <v>1.5</v>
      </c>
      <c r="FC96">
        <v>1.5</v>
      </c>
      <c r="FD96">
        <v>1.5</v>
      </c>
      <c r="FE96">
        <v>1</v>
      </c>
      <c r="FF96">
        <v>1</v>
      </c>
      <c r="FG96">
        <v>1</v>
      </c>
      <c r="FH96">
        <v>1</v>
      </c>
      <c r="FI96">
        <v>1</v>
      </c>
      <c r="FJ96">
        <v>1</v>
      </c>
      <c r="FK96">
        <v>1</v>
      </c>
      <c r="FL96">
        <v>1</v>
      </c>
      <c r="FM96">
        <v>1</v>
      </c>
      <c r="FN96">
        <v>1</v>
      </c>
      <c r="FO96">
        <v>1</v>
      </c>
      <c r="FP96">
        <v>1</v>
      </c>
      <c r="FQ96">
        <v>1</v>
      </c>
      <c r="FR96">
        <v>1</v>
      </c>
      <c r="FS96">
        <v>1</v>
      </c>
      <c r="FT96">
        <v>1</v>
      </c>
      <c r="FU96">
        <v>1</v>
      </c>
      <c r="FV96">
        <v>1</v>
      </c>
      <c r="FW96">
        <v>1</v>
      </c>
      <c r="FX96">
        <v>1</v>
      </c>
      <c r="FY96">
        <v>1</v>
      </c>
    </row>
    <row r="97" spans="151:181">
      <c r="EU97">
        <v>18</v>
      </c>
      <c r="EV97">
        <v>18</v>
      </c>
      <c r="EW97">
        <v>18</v>
      </c>
    </row>
    <row r="98" spans="151:181">
      <c r="EV98">
        <v>1</v>
      </c>
      <c r="EW98">
        <v>1</v>
      </c>
      <c r="EX98">
        <v>1</v>
      </c>
      <c r="EY98">
        <v>1</v>
      </c>
      <c r="EZ98">
        <v>1</v>
      </c>
      <c r="FA98">
        <v>1</v>
      </c>
      <c r="FB98">
        <v>1</v>
      </c>
      <c r="FC98">
        <v>1</v>
      </c>
      <c r="FD98">
        <v>1</v>
      </c>
      <c r="FE98">
        <v>1</v>
      </c>
      <c r="FF98">
        <v>1</v>
      </c>
      <c r="FG98">
        <v>1</v>
      </c>
      <c r="FH98">
        <v>1</v>
      </c>
      <c r="FI98">
        <v>1</v>
      </c>
      <c r="FJ98">
        <v>1</v>
      </c>
      <c r="FK98">
        <v>1</v>
      </c>
      <c r="FL98">
        <v>1</v>
      </c>
      <c r="FM98">
        <v>1</v>
      </c>
      <c r="FN98">
        <v>1</v>
      </c>
      <c r="FO98">
        <v>1</v>
      </c>
      <c r="FP98">
        <v>1</v>
      </c>
    </row>
    <row r="99" spans="151:181">
      <c r="EV99">
        <v>6.8</v>
      </c>
      <c r="EW99">
        <v>6.8</v>
      </c>
      <c r="EX99">
        <v>6.8</v>
      </c>
      <c r="EY99">
        <v>6.8</v>
      </c>
      <c r="EZ99">
        <v>0.6</v>
      </c>
    </row>
    <row r="100" spans="151:181">
      <c r="EV100">
        <v>20</v>
      </c>
    </row>
    <row r="101" spans="151:181">
      <c r="EW101">
        <v>-2</v>
      </c>
      <c r="EX101">
        <v>-2</v>
      </c>
      <c r="EY101">
        <v>-2</v>
      </c>
      <c r="EZ101">
        <v>-2</v>
      </c>
      <c r="FA101">
        <v>-2</v>
      </c>
      <c r="FB101">
        <v>-2</v>
      </c>
      <c r="FC101">
        <v>-2</v>
      </c>
      <c r="FD101">
        <v>-2</v>
      </c>
      <c r="FE101">
        <v>-2</v>
      </c>
      <c r="FF101">
        <v>-2</v>
      </c>
      <c r="FG101">
        <v>-2</v>
      </c>
      <c r="FH101">
        <v>-2</v>
      </c>
      <c r="FI101">
        <v>-2</v>
      </c>
      <c r="FJ101">
        <v>-2</v>
      </c>
      <c r="FK101">
        <v>-2</v>
      </c>
      <c r="FL101">
        <v>-2</v>
      </c>
      <c r="FM101">
        <v>-2</v>
      </c>
      <c r="FN101">
        <v>-2</v>
      </c>
      <c r="FO101">
        <v>-2</v>
      </c>
      <c r="FP101">
        <v>-2</v>
      </c>
      <c r="FQ101">
        <v>-2</v>
      </c>
      <c r="FR101">
        <v>-2</v>
      </c>
      <c r="FS101">
        <v>-2</v>
      </c>
      <c r="FT101">
        <v>-2</v>
      </c>
      <c r="FU101">
        <v>-2</v>
      </c>
      <c r="FV101">
        <v>-2</v>
      </c>
      <c r="FW101">
        <v>-2</v>
      </c>
      <c r="FX101">
        <v>-2</v>
      </c>
      <c r="FY101">
        <v>-2</v>
      </c>
    </row>
    <row r="102" spans="151:181">
      <c r="EW102">
        <v>5.7</v>
      </c>
    </row>
    <row r="103" spans="151:181">
      <c r="EW103">
        <v>1</v>
      </c>
      <c r="EX103">
        <v>1</v>
      </c>
      <c r="EY103">
        <v>1</v>
      </c>
      <c r="EZ103">
        <v>1</v>
      </c>
      <c r="FA103">
        <v>1</v>
      </c>
      <c r="FB103">
        <v>1</v>
      </c>
      <c r="FC103">
        <v>1</v>
      </c>
      <c r="FD103">
        <v>1</v>
      </c>
      <c r="FE103">
        <v>1</v>
      </c>
      <c r="FF103">
        <v>1</v>
      </c>
      <c r="FG103">
        <v>1</v>
      </c>
      <c r="FH103">
        <v>1</v>
      </c>
      <c r="FI103">
        <v>1</v>
      </c>
      <c r="FJ103">
        <v>1</v>
      </c>
      <c r="FK103">
        <v>1</v>
      </c>
      <c r="FL103">
        <v>1</v>
      </c>
      <c r="FM103">
        <v>1</v>
      </c>
      <c r="FN103">
        <v>1</v>
      </c>
      <c r="FO103">
        <v>1</v>
      </c>
      <c r="FP103">
        <v>1</v>
      </c>
      <c r="FQ103">
        <v>1</v>
      </c>
      <c r="FR103">
        <v>1</v>
      </c>
      <c r="FS103">
        <v>1</v>
      </c>
      <c r="FT103">
        <v>1</v>
      </c>
      <c r="FU103">
        <v>1</v>
      </c>
      <c r="FV103">
        <v>1</v>
      </c>
      <c r="FW103">
        <v>1</v>
      </c>
      <c r="FX103">
        <v>1</v>
      </c>
      <c r="FY103">
        <v>1</v>
      </c>
    </row>
    <row r="104" spans="151:181">
      <c r="EX104">
        <v>6.5</v>
      </c>
      <c r="EY104">
        <v>6.5</v>
      </c>
      <c r="EZ104">
        <v>6.5</v>
      </c>
      <c r="FA104">
        <v>6.5</v>
      </c>
      <c r="FB104">
        <v>6.5</v>
      </c>
      <c r="FC104">
        <v>6.5</v>
      </c>
      <c r="FD104">
        <v>6.5</v>
      </c>
      <c r="FE104">
        <v>6.5</v>
      </c>
    </row>
    <row r="105" spans="151:181">
      <c r="EY105">
        <v>3</v>
      </c>
      <c r="EZ105">
        <v>3</v>
      </c>
      <c r="FA105">
        <v>3</v>
      </c>
      <c r="FB105">
        <v>3</v>
      </c>
      <c r="FC105">
        <v>3</v>
      </c>
      <c r="FD105">
        <v>6</v>
      </c>
      <c r="FE105">
        <v>6</v>
      </c>
      <c r="FF105">
        <v>6</v>
      </c>
      <c r="FG105">
        <v>6</v>
      </c>
      <c r="FH105">
        <v>6</v>
      </c>
      <c r="FI105">
        <v>6</v>
      </c>
      <c r="FJ105">
        <v>6</v>
      </c>
      <c r="FK105">
        <v>6</v>
      </c>
      <c r="FL105">
        <v>6</v>
      </c>
      <c r="FM105">
        <v>6</v>
      </c>
      <c r="FN105">
        <v>6</v>
      </c>
      <c r="FO105">
        <v>6</v>
      </c>
      <c r="FP105">
        <v>6</v>
      </c>
      <c r="FQ105">
        <v>6</v>
      </c>
      <c r="FR105">
        <v>6</v>
      </c>
      <c r="FS105">
        <v>6</v>
      </c>
      <c r="FT105">
        <v>6</v>
      </c>
      <c r="FU105">
        <v>6</v>
      </c>
      <c r="FV105">
        <v>6</v>
      </c>
      <c r="FW105">
        <v>6</v>
      </c>
      <c r="FX105">
        <v>6</v>
      </c>
      <c r="FY105">
        <v>6</v>
      </c>
    </row>
    <row r="106" spans="151:181">
      <c r="EY106">
        <v>17.5</v>
      </c>
      <c r="EZ106">
        <v>10</v>
      </c>
      <c r="FA106">
        <v>17</v>
      </c>
      <c r="FB106">
        <v>17</v>
      </c>
      <c r="FC106">
        <v>17</v>
      </c>
      <c r="FD106">
        <v>17</v>
      </c>
      <c r="FE106">
        <v>17</v>
      </c>
      <c r="FF106">
        <v>17</v>
      </c>
      <c r="FG106">
        <v>17</v>
      </c>
      <c r="FH106">
        <v>17</v>
      </c>
      <c r="FI106">
        <v>17</v>
      </c>
      <c r="FJ106">
        <v>17</v>
      </c>
      <c r="FK106">
        <v>17</v>
      </c>
      <c r="FL106">
        <v>17</v>
      </c>
      <c r="FM106">
        <v>17</v>
      </c>
      <c r="FN106">
        <v>17</v>
      </c>
      <c r="FO106">
        <v>17</v>
      </c>
      <c r="FP106">
        <v>17</v>
      </c>
      <c r="FQ106">
        <v>17</v>
      </c>
      <c r="FR106">
        <v>17</v>
      </c>
      <c r="FS106">
        <v>17</v>
      </c>
      <c r="FT106">
        <v>17</v>
      </c>
      <c r="FU106">
        <v>17</v>
      </c>
      <c r="FV106">
        <v>17</v>
      </c>
      <c r="FW106">
        <v>17</v>
      </c>
      <c r="FX106">
        <v>17</v>
      </c>
      <c r="FY106">
        <v>17</v>
      </c>
    </row>
    <row r="107" spans="151:181">
      <c r="FA107">
        <v>0.4</v>
      </c>
      <c r="FB107">
        <v>0.4</v>
      </c>
      <c r="FC107">
        <v>0.4</v>
      </c>
      <c r="FD107">
        <v>0.4</v>
      </c>
      <c r="FE107">
        <v>0.4</v>
      </c>
      <c r="FF107">
        <v>0.4</v>
      </c>
      <c r="FG107">
        <v>0.4</v>
      </c>
      <c r="FH107">
        <v>0.4</v>
      </c>
      <c r="FI107">
        <v>0.4</v>
      </c>
      <c r="FJ107">
        <v>0.4</v>
      </c>
      <c r="FK107">
        <v>0.4</v>
      </c>
      <c r="FL107">
        <v>0.4</v>
      </c>
      <c r="FM107">
        <v>0.4</v>
      </c>
      <c r="FN107">
        <v>0.4</v>
      </c>
      <c r="FO107">
        <v>0.4</v>
      </c>
      <c r="FP107">
        <v>0.4</v>
      </c>
      <c r="FQ107">
        <v>0.4</v>
      </c>
      <c r="FR107">
        <v>0.4</v>
      </c>
      <c r="FS107">
        <v>0.4</v>
      </c>
      <c r="FT107">
        <v>0.4</v>
      </c>
    </row>
    <row r="108" spans="151:181">
      <c r="FA108">
        <v>17.100000000000001</v>
      </c>
      <c r="FB108">
        <v>17.100000000000001</v>
      </c>
      <c r="FC108">
        <v>17.100000000000001</v>
      </c>
      <c r="FD108">
        <v>17.100000000000001</v>
      </c>
      <c r="FE108">
        <v>17.100000000000001</v>
      </c>
      <c r="FF108">
        <v>17.100000000000001</v>
      </c>
      <c r="FG108">
        <v>17.100000000000001</v>
      </c>
      <c r="FH108">
        <v>17.100000000000001</v>
      </c>
      <c r="FI108">
        <v>17.100000000000001</v>
      </c>
      <c r="FJ108">
        <v>17.100000000000001</v>
      </c>
      <c r="FK108">
        <v>17.100000000000001</v>
      </c>
      <c r="FL108">
        <v>17.100000000000001</v>
      </c>
      <c r="FM108">
        <v>17.100000000000001</v>
      </c>
      <c r="FN108">
        <v>17.100000000000001</v>
      </c>
      <c r="FO108">
        <v>17.100000000000001</v>
      </c>
    </row>
    <row r="109" spans="151:181">
      <c r="FC109">
        <v>4.4000000000000004</v>
      </c>
      <c r="FD109">
        <v>4.4000000000000004</v>
      </c>
      <c r="FE109">
        <v>4.4000000000000004</v>
      </c>
    </row>
    <row r="110" spans="151:181">
      <c r="FD110">
        <v>5.8</v>
      </c>
      <c r="FE110">
        <v>5.8</v>
      </c>
      <c r="FF110">
        <v>5.8</v>
      </c>
      <c r="FG110">
        <v>5.8</v>
      </c>
      <c r="FH110">
        <v>5.8</v>
      </c>
      <c r="FI110">
        <v>3</v>
      </c>
      <c r="FJ110">
        <v>3</v>
      </c>
      <c r="FK110">
        <v>3</v>
      </c>
      <c r="FL110">
        <v>3</v>
      </c>
      <c r="FM110">
        <v>3</v>
      </c>
      <c r="FN110">
        <v>3</v>
      </c>
      <c r="FO110">
        <v>3</v>
      </c>
      <c r="FP110">
        <v>3</v>
      </c>
      <c r="FQ110">
        <v>3</v>
      </c>
      <c r="FR110">
        <v>3</v>
      </c>
      <c r="FS110">
        <v>3</v>
      </c>
      <c r="FT110">
        <v>3</v>
      </c>
      <c r="FU110">
        <v>3</v>
      </c>
      <c r="FV110">
        <v>3</v>
      </c>
      <c r="FW110">
        <v>2</v>
      </c>
      <c r="FX110">
        <v>2</v>
      </c>
      <c r="FY110">
        <v>2</v>
      </c>
    </row>
    <row r="111" spans="151:181">
      <c r="FD111">
        <v>16.5</v>
      </c>
      <c r="FE111">
        <v>16.5</v>
      </c>
      <c r="FF111">
        <v>16.5</v>
      </c>
      <c r="FG111">
        <v>16.5</v>
      </c>
      <c r="FH111">
        <v>16.5</v>
      </c>
      <c r="FI111">
        <v>16.5</v>
      </c>
      <c r="FJ111">
        <v>16.5</v>
      </c>
    </row>
    <row r="112" spans="151:181">
      <c r="FD112">
        <v>5.2</v>
      </c>
      <c r="FE112">
        <v>5.2</v>
      </c>
      <c r="FF112">
        <v>5.2</v>
      </c>
      <c r="FG112">
        <v>5.2</v>
      </c>
      <c r="FH112">
        <v>5.2</v>
      </c>
      <c r="FI112">
        <v>5.2</v>
      </c>
      <c r="FJ112">
        <v>5.2</v>
      </c>
      <c r="FK112">
        <v>5.2</v>
      </c>
      <c r="FL112">
        <v>5.2</v>
      </c>
      <c r="FM112">
        <v>5.2</v>
      </c>
      <c r="FN112">
        <v>5.2</v>
      </c>
      <c r="FO112">
        <v>5.2</v>
      </c>
      <c r="FP112">
        <v>5.2</v>
      </c>
      <c r="FQ112">
        <v>5.2</v>
      </c>
      <c r="FR112">
        <v>5.2</v>
      </c>
      <c r="FS112">
        <v>5.2</v>
      </c>
      <c r="FT112">
        <v>5.2</v>
      </c>
      <c r="FU112">
        <v>5.2</v>
      </c>
      <c r="FV112">
        <v>5.2</v>
      </c>
      <c r="FW112">
        <v>5.2</v>
      </c>
      <c r="FX112">
        <v>5.2</v>
      </c>
      <c r="FY112">
        <v>5.2</v>
      </c>
    </row>
    <row r="113" spans="161:181">
      <c r="FE113">
        <v>5.75</v>
      </c>
    </row>
    <row r="114" spans="161:181">
      <c r="FE114">
        <v>6</v>
      </c>
      <c r="FF114">
        <v>6</v>
      </c>
      <c r="FG114">
        <v>6</v>
      </c>
      <c r="FH114">
        <v>6</v>
      </c>
      <c r="FI114">
        <v>6</v>
      </c>
      <c r="FJ114">
        <v>6</v>
      </c>
      <c r="FK114">
        <v>6</v>
      </c>
      <c r="FL114">
        <v>6</v>
      </c>
      <c r="FM114">
        <v>6</v>
      </c>
      <c r="FN114">
        <v>6</v>
      </c>
      <c r="FO114">
        <v>6</v>
      </c>
      <c r="FP114">
        <v>6</v>
      </c>
      <c r="FQ114">
        <v>6</v>
      </c>
      <c r="FR114">
        <v>6</v>
      </c>
      <c r="FS114">
        <v>6</v>
      </c>
      <c r="FT114">
        <v>6</v>
      </c>
      <c r="FU114">
        <v>6</v>
      </c>
      <c r="FV114">
        <v>6</v>
      </c>
      <c r="FW114">
        <v>6</v>
      </c>
      <c r="FX114">
        <v>3</v>
      </c>
      <c r="FY114">
        <v>3</v>
      </c>
    </row>
    <row r="115" spans="161:181">
      <c r="FF115">
        <v>3.5</v>
      </c>
      <c r="FG115">
        <v>3.5</v>
      </c>
      <c r="FH115">
        <v>3.5</v>
      </c>
      <c r="FI115">
        <v>3.5</v>
      </c>
      <c r="FJ115">
        <v>3.5</v>
      </c>
      <c r="FK115">
        <v>3.5</v>
      </c>
      <c r="FL115">
        <v>3.5</v>
      </c>
      <c r="FM115">
        <v>3.5</v>
      </c>
      <c r="FN115">
        <v>3.5</v>
      </c>
      <c r="FO115">
        <v>3.5</v>
      </c>
      <c r="FP115">
        <v>3.5</v>
      </c>
      <c r="FQ115">
        <v>3.5</v>
      </c>
      <c r="FR115">
        <v>3.5</v>
      </c>
      <c r="FS115">
        <v>3.5</v>
      </c>
      <c r="FT115">
        <v>2</v>
      </c>
      <c r="FU115">
        <v>2</v>
      </c>
      <c r="FV115">
        <v>2</v>
      </c>
      <c r="FW115">
        <v>2</v>
      </c>
      <c r="FX115">
        <v>2</v>
      </c>
      <c r="FY115">
        <v>2</v>
      </c>
    </row>
    <row r="116" spans="161:181">
      <c r="FF116">
        <v>13.5</v>
      </c>
      <c r="FG116">
        <v>13.5</v>
      </c>
      <c r="FH116">
        <v>13.5</v>
      </c>
      <c r="FI116">
        <v>13.5</v>
      </c>
      <c r="FJ116">
        <v>13.5</v>
      </c>
      <c r="FK116">
        <v>13.5</v>
      </c>
      <c r="FL116">
        <v>13.5</v>
      </c>
      <c r="FM116">
        <v>13.5</v>
      </c>
      <c r="FN116">
        <v>13.5</v>
      </c>
      <c r="FO116">
        <v>13.5</v>
      </c>
      <c r="FP116">
        <v>13.5</v>
      </c>
      <c r="FQ116">
        <v>13.5</v>
      </c>
      <c r="FR116">
        <v>13.5</v>
      </c>
      <c r="FS116">
        <v>13.5</v>
      </c>
      <c r="FT116">
        <v>13.5</v>
      </c>
      <c r="FU116">
        <v>13.5</v>
      </c>
      <c r="FV116">
        <v>13.5</v>
      </c>
      <c r="FW116">
        <v>13.5</v>
      </c>
      <c r="FX116">
        <v>13.5</v>
      </c>
      <c r="FY116">
        <v>13.5</v>
      </c>
    </row>
    <row r="117" spans="161:181">
      <c r="FF117">
        <v>0.6</v>
      </c>
    </row>
    <row r="118" spans="161:181">
      <c r="FF118">
        <v>0.65</v>
      </c>
      <c r="FG118">
        <v>0.65</v>
      </c>
      <c r="FH118">
        <v>0.65</v>
      </c>
      <c r="FI118">
        <v>0.65</v>
      </c>
      <c r="FJ118">
        <v>0.65</v>
      </c>
      <c r="FK118">
        <v>0.65</v>
      </c>
      <c r="FL118">
        <v>0.65</v>
      </c>
      <c r="FM118">
        <v>0.65</v>
      </c>
      <c r="FN118">
        <v>0.65</v>
      </c>
      <c r="FO118">
        <v>0.65</v>
      </c>
      <c r="FP118">
        <v>0.65</v>
      </c>
    </row>
    <row r="119" spans="161:181">
      <c r="FF119">
        <v>10</v>
      </c>
      <c r="FG119">
        <v>10</v>
      </c>
      <c r="FH119">
        <v>10</v>
      </c>
    </row>
    <row r="120" spans="161:181">
      <c r="FG120">
        <v>0.9</v>
      </c>
      <c r="FH120">
        <v>0.9</v>
      </c>
    </row>
    <row r="121" spans="161:181">
      <c r="FG121">
        <v>4</v>
      </c>
      <c r="FH121">
        <v>4</v>
      </c>
      <c r="FI121">
        <v>4</v>
      </c>
      <c r="FJ121">
        <v>4</v>
      </c>
      <c r="FK121">
        <v>4</v>
      </c>
      <c r="FL121">
        <v>4</v>
      </c>
      <c r="FM121">
        <v>4</v>
      </c>
      <c r="FN121">
        <v>4</v>
      </c>
      <c r="FO121">
        <v>4</v>
      </c>
      <c r="FP121">
        <v>4</v>
      </c>
      <c r="FQ121">
        <v>4</v>
      </c>
      <c r="FR121">
        <v>4</v>
      </c>
      <c r="FS121">
        <v>4</v>
      </c>
      <c r="FT121">
        <v>4</v>
      </c>
      <c r="FU121">
        <v>4</v>
      </c>
      <c r="FV121">
        <v>4</v>
      </c>
      <c r="FW121">
        <v>4</v>
      </c>
      <c r="FX121">
        <v>4</v>
      </c>
      <c r="FY121">
        <v>4</v>
      </c>
    </row>
    <row r="122" spans="161:181">
      <c r="FG122">
        <v>-9.8000000000000007</v>
      </c>
      <c r="FH122">
        <v>-9.8000000000000007</v>
      </c>
      <c r="FI122">
        <v>-9.8000000000000007</v>
      </c>
      <c r="FJ122">
        <v>-9.8000000000000007</v>
      </c>
      <c r="FK122">
        <v>-9.8000000000000007</v>
      </c>
      <c r="FL122">
        <v>-14</v>
      </c>
      <c r="FM122">
        <v>-14</v>
      </c>
      <c r="FN122">
        <v>-14</v>
      </c>
      <c r="FO122">
        <v>-19.78</v>
      </c>
      <c r="FP122">
        <v>-19.78</v>
      </c>
      <c r="FQ122">
        <v>-19.78</v>
      </c>
    </row>
    <row r="123" spans="161:181">
      <c r="FG123">
        <v>5.2</v>
      </c>
      <c r="FH123">
        <v>5.2</v>
      </c>
    </row>
    <row r="124" spans="161:181">
      <c r="FH124">
        <v>13.35</v>
      </c>
      <c r="FI124">
        <v>13.35</v>
      </c>
      <c r="FJ124">
        <v>13.35</v>
      </c>
      <c r="FK124">
        <v>13.35</v>
      </c>
      <c r="FL124">
        <v>13.35</v>
      </c>
      <c r="FM124">
        <v>13.35</v>
      </c>
      <c r="FN124">
        <v>13.35</v>
      </c>
      <c r="FO124">
        <v>13.35</v>
      </c>
      <c r="FP124">
        <v>13.35</v>
      </c>
      <c r="FQ124">
        <v>13.35</v>
      </c>
      <c r="FR124">
        <v>13.35</v>
      </c>
      <c r="FS124">
        <v>13.35</v>
      </c>
      <c r="FT124">
        <v>13.35</v>
      </c>
      <c r="FU124">
        <v>13.35</v>
      </c>
      <c r="FV124">
        <v>13.35</v>
      </c>
      <c r="FW124">
        <v>10</v>
      </c>
    </row>
    <row r="125" spans="161:181">
      <c r="FH125">
        <v>6.3</v>
      </c>
      <c r="FI125">
        <v>6.3</v>
      </c>
      <c r="FJ125">
        <v>6.3</v>
      </c>
      <c r="FK125">
        <v>6.3</v>
      </c>
      <c r="FL125">
        <v>6.3</v>
      </c>
      <c r="FM125">
        <v>6.3</v>
      </c>
      <c r="FN125">
        <v>6.3</v>
      </c>
      <c r="FO125">
        <v>6.3</v>
      </c>
      <c r="FP125">
        <v>6.3</v>
      </c>
      <c r="FQ125">
        <v>6.3</v>
      </c>
      <c r="FR125">
        <v>6.3</v>
      </c>
      <c r="FS125">
        <v>6.3</v>
      </c>
      <c r="FT125">
        <v>6.3</v>
      </c>
      <c r="FU125">
        <v>0.1</v>
      </c>
      <c r="FV125">
        <v>0.1</v>
      </c>
      <c r="FW125">
        <v>0.1</v>
      </c>
      <c r="FX125">
        <v>0.1</v>
      </c>
      <c r="FY125">
        <v>0.1</v>
      </c>
    </row>
    <row r="126" spans="161:181">
      <c r="FI126">
        <v>0.8</v>
      </c>
      <c r="FJ126">
        <v>0.8</v>
      </c>
      <c r="FK126">
        <v>0.8</v>
      </c>
      <c r="FL126">
        <v>0.8</v>
      </c>
      <c r="FM126">
        <v>0.8</v>
      </c>
      <c r="FN126">
        <v>0.8</v>
      </c>
      <c r="FO126">
        <v>0.8</v>
      </c>
      <c r="FP126">
        <v>0.8</v>
      </c>
      <c r="FQ126">
        <v>0.8</v>
      </c>
      <c r="FR126">
        <v>0.8</v>
      </c>
      <c r="FS126">
        <v>0.8</v>
      </c>
      <c r="FT126">
        <v>0.8</v>
      </c>
      <c r="FU126">
        <v>0.8</v>
      </c>
      <c r="FV126">
        <v>0.8</v>
      </c>
      <c r="FW126">
        <v>0.8</v>
      </c>
      <c r="FX126">
        <v>0.8</v>
      </c>
      <c r="FY126">
        <v>0.8</v>
      </c>
    </row>
    <row r="127" spans="161:181">
      <c r="FI127">
        <v>17.100000000000001</v>
      </c>
      <c r="FJ127">
        <v>17.100000000000001</v>
      </c>
      <c r="FK127">
        <v>34.200000000000003</v>
      </c>
      <c r="FL127">
        <v>10.199999999999999</v>
      </c>
      <c r="FM127">
        <v>10.199999999999999</v>
      </c>
      <c r="FN127">
        <v>10.199999999999999</v>
      </c>
      <c r="FO127">
        <v>10.199999999999999</v>
      </c>
      <c r="FP127">
        <v>10.199999999999999</v>
      </c>
      <c r="FQ127">
        <v>10.199999999999999</v>
      </c>
      <c r="FR127">
        <v>10.199999999999999</v>
      </c>
      <c r="FS127">
        <v>10.199999999999999</v>
      </c>
      <c r="FT127">
        <v>10.199999999999999</v>
      </c>
      <c r="FU127">
        <v>10.199999999999999</v>
      </c>
      <c r="FV127">
        <v>10.199999999999999</v>
      </c>
    </row>
    <row r="129" spans="166:181">
      <c r="FJ129">
        <v>2.2999999999999998</v>
      </c>
      <c r="FK129">
        <v>2.2999999999999998</v>
      </c>
      <c r="FL129">
        <v>2.2999999999999998</v>
      </c>
      <c r="FM129">
        <v>2.2999999999999998</v>
      </c>
      <c r="FN129">
        <v>2.2999999999999998</v>
      </c>
      <c r="FO129">
        <v>2.2999999999999998</v>
      </c>
      <c r="FP129">
        <v>2.2999999999999998</v>
      </c>
      <c r="FQ129">
        <v>2.2999999999999998</v>
      </c>
      <c r="FR129">
        <v>2.2999999999999998</v>
      </c>
      <c r="FS129">
        <v>2.2999999999999998</v>
      </c>
      <c r="FT129">
        <v>2.2999999999999998</v>
      </c>
      <c r="FU129">
        <v>2.2999999999999998</v>
      </c>
      <c r="FV129">
        <v>2.2999999999999998</v>
      </c>
      <c r="FW129">
        <v>2.2999999999999998</v>
      </c>
      <c r="FX129">
        <v>2.2999999999999998</v>
      </c>
      <c r="FY129">
        <v>2.2999999999999998</v>
      </c>
    </row>
    <row r="130" spans="166:181">
      <c r="FK130">
        <v>21</v>
      </c>
      <c r="FL130">
        <v>21</v>
      </c>
      <c r="FM130">
        <v>21</v>
      </c>
      <c r="FN130">
        <v>21</v>
      </c>
      <c r="FO130">
        <v>0</v>
      </c>
    </row>
    <row r="131" spans="166:181">
      <c r="FK131">
        <v>0.3</v>
      </c>
      <c r="FL131">
        <v>0.3</v>
      </c>
      <c r="FM131">
        <v>0.3</v>
      </c>
      <c r="FN131">
        <v>0.3</v>
      </c>
      <c r="FO131">
        <v>0.3</v>
      </c>
      <c r="FP131">
        <v>0.3</v>
      </c>
    </row>
    <row r="133" spans="166:181">
      <c r="FM133">
        <v>1</v>
      </c>
      <c r="FN133">
        <v>1</v>
      </c>
      <c r="FO133">
        <v>1</v>
      </c>
      <c r="FP133">
        <v>1</v>
      </c>
      <c r="FQ133">
        <v>1</v>
      </c>
      <c r="FR133">
        <v>1</v>
      </c>
      <c r="FS133">
        <v>1</v>
      </c>
      <c r="FT133">
        <v>1</v>
      </c>
      <c r="FU133">
        <v>1</v>
      </c>
      <c r="FV133">
        <v>1</v>
      </c>
      <c r="FW133">
        <v>1</v>
      </c>
      <c r="FX133">
        <v>1</v>
      </c>
      <c r="FY133">
        <v>1</v>
      </c>
    </row>
    <row r="134" spans="166:181">
      <c r="FM134">
        <v>17</v>
      </c>
      <c r="FN134">
        <v>17</v>
      </c>
      <c r="FO134">
        <v>17</v>
      </c>
      <c r="FP134">
        <v>17</v>
      </c>
      <c r="FQ134">
        <v>17</v>
      </c>
      <c r="FR134">
        <v>17</v>
      </c>
      <c r="FS134">
        <v>17</v>
      </c>
      <c r="FT134">
        <v>17</v>
      </c>
      <c r="FU134">
        <v>17</v>
      </c>
    </row>
    <row r="135" spans="166:181">
      <c r="FM135">
        <v>17.149999999999999</v>
      </c>
      <c r="FN135">
        <v>17.149999999999999</v>
      </c>
      <c r="FO135">
        <v>17.149999999999999</v>
      </c>
    </row>
    <row r="136" spans="166:181">
      <c r="FN136">
        <v>3</v>
      </c>
      <c r="FO136">
        <v>3</v>
      </c>
      <c r="FP136">
        <v>3</v>
      </c>
      <c r="FQ136">
        <v>3</v>
      </c>
    </row>
    <row r="137" spans="166:181">
      <c r="FN137">
        <v>4</v>
      </c>
      <c r="FO137">
        <v>4</v>
      </c>
      <c r="FP137">
        <v>4</v>
      </c>
      <c r="FQ137">
        <v>4</v>
      </c>
      <c r="FR137">
        <v>4</v>
      </c>
      <c r="FS137">
        <v>4</v>
      </c>
      <c r="FT137">
        <v>4</v>
      </c>
      <c r="FU137">
        <v>4</v>
      </c>
      <c r="FV137">
        <v>4</v>
      </c>
      <c r="FW137">
        <v>4</v>
      </c>
      <c r="FX137">
        <v>4</v>
      </c>
      <c r="FY137">
        <v>4</v>
      </c>
    </row>
    <row r="138" spans="166:181">
      <c r="FN138">
        <v>6.2</v>
      </c>
      <c r="FO138">
        <v>6.2</v>
      </c>
      <c r="FP138">
        <v>6.2</v>
      </c>
      <c r="FQ138">
        <v>6.2</v>
      </c>
      <c r="FR138">
        <v>6.2</v>
      </c>
      <c r="FS138">
        <v>6.2</v>
      </c>
      <c r="FT138">
        <v>6.2</v>
      </c>
      <c r="FU138">
        <v>6.2</v>
      </c>
      <c r="FV138">
        <v>6.2</v>
      </c>
      <c r="FW138">
        <v>6.2</v>
      </c>
      <c r="FX138">
        <v>6.2</v>
      </c>
      <c r="FY138">
        <v>6.2</v>
      </c>
    </row>
    <row r="139" spans="166:181">
      <c r="FN139">
        <v>2.7</v>
      </c>
      <c r="FO139">
        <v>2.7</v>
      </c>
      <c r="FP139">
        <v>2.7</v>
      </c>
      <c r="FQ139">
        <v>2.7</v>
      </c>
      <c r="FR139">
        <v>2.7</v>
      </c>
      <c r="FS139">
        <v>2.7</v>
      </c>
      <c r="FT139">
        <v>2.7</v>
      </c>
      <c r="FU139">
        <v>2.7</v>
      </c>
      <c r="FV139">
        <v>2.7</v>
      </c>
      <c r="FW139">
        <v>2.7</v>
      </c>
      <c r="FX139">
        <v>2.7</v>
      </c>
      <c r="FY139">
        <v>2.7</v>
      </c>
    </row>
    <row r="140" spans="166:181">
      <c r="FN140">
        <v>10</v>
      </c>
      <c r="FO140">
        <v>10</v>
      </c>
      <c r="FP140">
        <v>10</v>
      </c>
      <c r="FQ140">
        <v>10</v>
      </c>
      <c r="FR140">
        <v>10</v>
      </c>
      <c r="FS140">
        <v>10</v>
      </c>
      <c r="FT140">
        <v>10</v>
      </c>
      <c r="FU140">
        <v>10</v>
      </c>
      <c r="FV140">
        <v>10</v>
      </c>
      <c r="FW140">
        <v>10</v>
      </c>
      <c r="FX140">
        <v>10</v>
      </c>
      <c r="FY140">
        <v>10</v>
      </c>
    </row>
    <row r="141" spans="166:181">
      <c r="FO141">
        <v>17.25</v>
      </c>
      <c r="FP141">
        <v>17.25</v>
      </c>
      <c r="FQ141">
        <v>17.25</v>
      </c>
      <c r="FR141">
        <v>17.25</v>
      </c>
      <c r="FS141">
        <v>17.25</v>
      </c>
    </row>
    <row r="142" spans="166:181">
      <c r="FP142">
        <v>0.86</v>
      </c>
      <c r="FQ142">
        <v>0.86</v>
      </c>
      <c r="FR142">
        <v>0.86</v>
      </c>
      <c r="FS142">
        <v>0.86</v>
      </c>
      <c r="FT142">
        <v>0.86</v>
      </c>
      <c r="FU142">
        <v>0.86</v>
      </c>
      <c r="FV142">
        <v>0.86</v>
      </c>
      <c r="FW142">
        <v>0.86</v>
      </c>
      <c r="FX142">
        <v>0.86</v>
      </c>
      <c r="FY142">
        <v>0.86</v>
      </c>
    </row>
    <row r="143" spans="166:181">
      <c r="FQ143">
        <v>5</v>
      </c>
      <c r="FR143">
        <v>5</v>
      </c>
      <c r="FS143">
        <v>5</v>
      </c>
      <c r="FT143">
        <v>5</v>
      </c>
      <c r="FU143">
        <v>5</v>
      </c>
      <c r="FV143">
        <v>5</v>
      </c>
      <c r="FW143">
        <v>5</v>
      </c>
      <c r="FX143">
        <v>5</v>
      </c>
      <c r="FY143">
        <v>5</v>
      </c>
    </row>
    <row r="144" spans="166:181">
      <c r="FQ144">
        <v>1</v>
      </c>
      <c r="FR144">
        <v>1</v>
      </c>
      <c r="FS144">
        <v>1</v>
      </c>
      <c r="FT144">
        <v>1</v>
      </c>
      <c r="FU144">
        <v>1</v>
      </c>
      <c r="FV144">
        <v>1</v>
      </c>
      <c r="FW144">
        <v>1</v>
      </c>
      <c r="FX144">
        <v>1</v>
      </c>
      <c r="FY144">
        <v>1</v>
      </c>
    </row>
    <row r="145" spans="173:181">
      <c r="FQ145">
        <v>4</v>
      </c>
      <c r="FR145">
        <v>4</v>
      </c>
      <c r="FS145">
        <v>4</v>
      </c>
      <c r="FT145">
        <v>4</v>
      </c>
      <c r="FU145">
        <v>0.2</v>
      </c>
      <c r="FV145">
        <v>0.2</v>
      </c>
      <c r="FW145">
        <v>0.2</v>
      </c>
      <c r="FX145">
        <v>0.2</v>
      </c>
      <c r="FY145">
        <v>0.2</v>
      </c>
    </row>
    <row r="146" spans="173:181">
      <c r="FQ146">
        <v>2</v>
      </c>
      <c r="FR146">
        <v>2</v>
      </c>
      <c r="FS146">
        <v>2</v>
      </c>
      <c r="FT146">
        <v>2</v>
      </c>
      <c r="FU146">
        <v>2</v>
      </c>
      <c r="FV146">
        <v>2</v>
      </c>
      <c r="FW146">
        <v>2</v>
      </c>
      <c r="FX146">
        <v>2</v>
      </c>
      <c r="FY146">
        <v>2</v>
      </c>
    </row>
    <row r="147" spans="173:181">
      <c r="FQ147">
        <v>7.5</v>
      </c>
      <c r="FR147">
        <v>7.5</v>
      </c>
      <c r="FS147">
        <v>7.5</v>
      </c>
      <c r="FT147">
        <v>7.5</v>
      </c>
      <c r="FU147">
        <v>7.5</v>
      </c>
      <c r="FV147">
        <v>7.5</v>
      </c>
      <c r="FW147">
        <v>7.5</v>
      </c>
      <c r="FX147">
        <v>7.5</v>
      </c>
      <c r="FY147">
        <v>7.5</v>
      </c>
    </row>
    <row r="148" spans="173:181">
      <c r="FQ148">
        <v>10.199999999999999</v>
      </c>
      <c r="FR148">
        <v>10.199999999999999</v>
      </c>
      <c r="FS148">
        <v>10.199999999999999</v>
      </c>
      <c r="FT148">
        <v>10.199999999999999</v>
      </c>
      <c r="FU148">
        <v>10.199999999999999</v>
      </c>
      <c r="FV148">
        <v>10.199999999999999</v>
      </c>
      <c r="FW148">
        <v>10.199999999999999</v>
      </c>
      <c r="FX148">
        <v>10.199999999999999</v>
      </c>
      <c r="FY148">
        <v>10.199999999999999</v>
      </c>
    </row>
    <row r="149" spans="173:181">
      <c r="FQ149">
        <v>1.3</v>
      </c>
      <c r="FR149">
        <v>1.3</v>
      </c>
      <c r="FS149">
        <v>1.3</v>
      </c>
      <c r="FT149">
        <v>1.3</v>
      </c>
      <c r="FU149">
        <v>1.3</v>
      </c>
      <c r="FV149">
        <v>1.3</v>
      </c>
      <c r="FW149">
        <v>1.3</v>
      </c>
      <c r="FX149">
        <v>1.3</v>
      </c>
      <c r="FY149">
        <v>1.3</v>
      </c>
    </row>
    <row r="150" spans="173:181">
      <c r="FR150">
        <v>2.5</v>
      </c>
      <c r="FS150">
        <v>2.5</v>
      </c>
      <c r="FT150">
        <v>2.5</v>
      </c>
      <c r="FU150">
        <v>2.5</v>
      </c>
      <c r="FV150">
        <v>2.5</v>
      </c>
    </row>
    <row r="151" spans="173:181">
      <c r="FR151">
        <v>3.7</v>
      </c>
      <c r="FS151">
        <v>3.7</v>
      </c>
      <c r="FT151">
        <v>3.7</v>
      </c>
      <c r="FU151">
        <v>3.7</v>
      </c>
      <c r="FV151">
        <v>3.7</v>
      </c>
    </row>
    <row r="152" spans="173:181">
      <c r="FR152">
        <v>-11.5</v>
      </c>
      <c r="FS152">
        <v>-11.5</v>
      </c>
      <c r="FT152">
        <v>-11.5</v>
      </c>
      <c r="FU152">
        <v>-11.5</v>
      </c>
      <c r="FV152">
        <v>-11.5</v>
      </c>
      <c r="FW152">
        <v>-11.5</v>
      </c>
      <c r="FX152">
        <v>-11.5</v>
      </c>
      <c r="FY152">
        <v>-11.5</v>
      </c>
    </row>
    <row r="153" spans="173:181">
      <c r="FT153">
        <v>21.7</v>
      </c>
      <c r="FU153">
        <v>21.7</v>
      </c>
      <c r="FV153">
        <v>13</v>
      </c>
      <c r="FW153">
        <v>13</v>
      </c>
      <c r="FX153">
        <v>13</v>
      </c>
      <c r="FY153">
        <v>11.2</v>
      </c>
    </row>
    <row r="154" spans="173:181">
      <c r="FT154">
        <v>21.9</v>
      </c>
      <c r="FU154">
        <v>21.9</v>
      </c>
      <c r="FV154">
        <v>21.7</v>
      </c>
      <c r="FW154">
        <v>21.7</v>
      </c>
      <c r="FX154">
        <v>21.7</v>
      </c>
      <c r="FY154">
        <v>21.7</v>
      </c>
    </row>
    <row r="155" spans="173:181">
      <c r="FU155">
        <v>17.899999999999999</v>
      </c>
      <c r="FV155">
        <v>21.9</v>
      </c>
      <c r="FW155">
        <v>21.9</v>
      </c>
      <c r="FX155">
        <v>21.9</v>
      </c>
      <c r="FY155">
        <v>21.9</v>
      </c>
    </row>
    <row r="156" spans="173:181">
      <c r="FU156">
        <v>1</v>
      </c>
      <c r="FV156">
        <v>17.899999999999999</v>
      </c>
      <c r="FW156">
        <v>17.899999999999999</v>
      </c>
      <c r="FX156">
        <v>17.899999999999999</v>
      </c>
      <c r="FY156">
        <v>17.899999999999999</v>
      </c>
    </row>
    <row r="157" spans="173:181">
      <c r="FV157">
        <v>1</v>
      </c>
      <c r="FW157">
        <v>2</v>
      </c>
      <c r="FX157">
        <v>2</v>
      </c>
      <c r="FY157">
        <v>2.2999999999999998</v>
      </c>
    </row>
    <row r="158" spans="173:181">
      <c r="FV158">
        <v>0.8</v>
      </c>
      <c r="FW158">
        <v>0.8</v>
      </c>
      <c r="FX158">
        <v>0.8</v>
      </c>
      <c r="FY158">
        <v>0.8</v>
      </c>
    </row>
    <row r="159" spans="173:181">
      <c r="FW159">
        <v>24.8</v>
      </c>
      <c r="FX159">
        <v>24.8</v>
      </c>
      <c r="FY159">
        <v>24.8</v>
      </c>
    </row>
    <row r="160" spans="173:181">
      <c r="FW160">
        <v>17.149999999999999</v>
      </c>
      <c r="FX160">
        <v>17.149999999999999</v>
      </c>
      <c r="FY160">
        <v>0.15</v>
      </c>
    </row>
    <row r="161" spans="180:181">
      <c r="FX161">
        <v>1</v>
      </c>
      <c r="FY161">
        <v>1</v>
      </c>
    </row>
    <row r="162" spans="180:181">
      <c r="FX162">
        <v>17.2</v>
      </c>
      <c r="FY162">
        <v>0.9</v>
      </c>
    </row>
  </sheetData>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B32:H38"/>
  <sheetViews>
    <sheetView workbookViewId="0">
      <selection activeCell="F5" sqref="F5"/>
    </sheetView>
  </sheetViews>
  <sheetFormatPr defaultRowHeight="14.4"/>
  <cols>
    <col min="8" max="8" width="12.77734375" customWidth="1"/>
  </cols>
  <sheetData>
    <row r="32" spans="8:8">
      <c r="H32">
        <v>56000000</v>
      </c>
    </row>
    <row r="37" spans="2:2">
      <c r="B37" s="240"/>
    </row>
    <row r="38" spans="2:2">
      <c r="B38" s="240"/>
    </row>
  </sheetData>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workbookViewId="0">
      <selection activeCell="G3" sqref="G3"/>
    </sheetView>
  </sheetViews>
  <sheetFormatPr defaultRowHeight="14.4"/>
  <cols>
    <col min="1" max="1" width="3" bestFit="1" customWidth="1"/>
    <col min="2" max="2" width="14.109375" customWidth="1"/>
    <col min="3" max="3" width="6.44140625" bestFit="1" customWidth="1"/>
    <col min="4" max="4" width="16.21875" style="3" bestFit="1" customWidth="1"/>
    <col min="5" max="5" width="14.21875" style="3" bestFit="1" customWidth="1"/>
    <col min="7" max="7" width="15.21875" style="3" bestFit="1" customWidth="1"/>
    <col min="10" max="10" width="14.21875" style="3" bestFit="1" customWidth="1"/>
    <col min="11" max="11" width="16.21875" style="3" bestFit="1" customWidth="1"/>
    <col min="13" max="13" width="16.21875" bestFit="1" customWidth="1"/>
  </cols>
  <sheetData>
    <row r="1" spans="1:13">
      <c r="A1" s="853" t="s">
        <v>0</v>
      </c>
      <c r="B1" s="866" t="s">
        <v>3321</v>
      </c>
      <c r="C1" s="853"/>
      <c r="D1" s="865"/>
      <c r="E1" s="865" t="s">
        <v>3324</v>
      </c>
    </row>
    <row r="2" spans="1:13">
      <c r="A2" s="759">
        <v>1</v>
      </c>
      <c r="B2" s="864">
        <v>5</v>
      </c>
      <c r="C2" s="853" t="s">
        <v>3323</v>
      </c>
      <c r="D2" s="49">
        <v>18000000</v>
      </c>
      <c r="E2" s="49">
        <f>D2/B2</f>
        <v>3600000</v>
      </c>
    </row>
    <row r="3" spans="1:13">
      <c r="A3" s="759">
        <v>2</v>
      </c>
      <c r="B3" s="864">
        <v>10</v>
      </c>
      <c r="C3" s="853" t="s">
        <v>3323</v>
      </c>
      <c r="D3" s="49">
        <v>36000000</v>
      </c>
      <c r="E3" s="49">
        <f>D3/B3</f>
        <v>3600000</v>
      </c>
    </row>
    <row r="4" spans="1:13">
      <c r="A4" s="759">
        <v>3</v>
      </c>
      <c r="B4" s="864">
        <v>15</v>
      </c>
      <c r="C4" s="853" t="s">
        <v>3323</v>
      </c>
      <c r="D4" s="49">
        <v>52000000</v>
      </c>
      <c r="E4" s="49">
        <f>D4/B4</f>
        <v>3466666.6666666665</v>
      </c>
    </row>
    <row r="5" spans="1:13">
      <c r="A5" s="759">
        <v>4</v>
      </c>
      <c r="B5" s="864">
        <v>20</v>
      </c>
      <c r="C5" s="853" t="s">
        <v>3323</v>
      </c>
      <c r="D5" s="49">
        <v>68000000</v>
      </c>
      <c r="E5" s="49">
        <f>D5/B5</f>
        <v>3400000</v>
      </c>
      <c r="F5">
        <v>3500000</v>
      </c>
      <c r="G5" s="3">
        <f>B5*F5</f>
        <v>70000000</v>
      </c>
    </row>
    <row r="6" spans="1:13">
      <c r="A6" s="759">
        <v>5</v>
      </c>
      <c r="B6" s="864">
        <v>30</v>
      </c>
      <c r="C6" s="853" t="s">
        <v>3323</v>
      </c>
      <c r="D6" s="49">
        <v>100000000</v>
      </c>
      <c r="E6" s="49">
        <f>D6/B6</f>
        <v>3333333.3333333335</v>
      </c>
    </row>
    <row r="7" spans="1:13">
      <c r="A7" s="759">
        <v>6</v>
      </c>
      <c r="B7" s="864">
        <v>50</v>
      </c>
      <c r="C7" s="853" t="s">
        <v>3323</v>
      </c>
      <c r="D7" s="49">
        <f>B7*E7</f>
        <v>160000000</v>
      </c>
      <c r="E7" s="49">
        <v>3200000</v>
      </c>
    </row>
    <row r="8" spans="1:13">
      <c r="A8" s="759">
        <v>7</v>
      </c>
      <c r="B8" s="759">
        <v>60</v>
      </c>
      <c r="C8" s="853" t="s">
        <v>3323</v>
      </c>
      <c r="D8" s="49">
        <f>B8*E8</f>
        <v>192000000</v>
      </c>
      <c r="E8" s="49">
        <v>3200000</v>
      </c>
    </row>
    <row r="9" spans="1:13">
      <c r="A9" s="759">
        <v>8</v>
      </c>
      <c r="B9" s="864">
        <v>80</v>
      </c>
      <c r="C9" s="853" t="s">
        <v>3323</v>
      </c>
      <c r="D9" s="49">
        <f>B9*E9</f>
        <v>256000000</v>
      </c>
      <c r="E9" s="49">
        <v>3200000</v>
      </c>
    </row>
    <row r="10" spans="1:13">
      <c r="A10" s="759">
        <v>9</v>
      </c>
      <c r="B10" s="864">
        <v>100</v>
      </c>
      <c r="C10" s="853" t="s">
        <v>3323</v>
      </c>
      <c r="D10" s="49">
        <f>B10*E10</f>
        <v>320000000</v>
      </c>
      <c r="E10" s="49">
        <v>3200000</v>
      </c>
    </row>
    <row r="15" spans="1:13">
      <c r="H15" s="272"/>
      <c r="I15" s="272"/>
      <c r="J15" s="803"/>
      <c r="K15" s="803"/>
      <c r="L15" s="272"/>
      <c r="M15" s="272"/>
    </row>
    <row r="16" spans="1:13">
      <c r="H16" s="804"/>
      <c r="I16" s="804"/>
      <c r="J16" s="805"/>
      <c r="K16" s="803"/>
      <c r="L16" s="272"/>
      <c r="M16" s="272"/>
    </row>
    <row r="17" spans="8:13">
      <c r="H17" s="806"/>
      <c r="I17" s="807"/>
      <c r="J17" s="805"/>
      <c r="K17" s="810"/>
      <c r="L17" s="272"/>
      <c r="M17" s="803"/>
    </row>
    <row r="18" spans="8:13">
      <c r="H18" s="804"/>
      <c r="I18" s="804"/>
      <c r="J18" s="805"/>
      <c r="K18" s="803"/>
      <c r="L18" s="272"/>
      <c r="M18" s="803"/>
    </row>
    <row r="19" spans="8:13">
      <c r="H19" s="272"/>
      <c r="I19" s="272"/>
      <c r="J19" s="803"/>
      <c r="K19" s="803"/>
      <c r="L19" s="272"/>
      <c r="M19" s="811"/>
    </row>
    <row r="20" spans="8:13">
      <c r="H20" s="272"/>
      <c r="I20" s="272"/>
      <c r="J20" s="803"/>
      <c r="K20" s="803"/>
      <c r="L20" s="272"/>
      <c r="M20" s="272"/>
    </row>
    <row r="21" spans="8:13">
      <c r="H21" s="272"/>
      <c r="I21" s="272"/>
      <c r="J21" s="803"/>
      <c r="K21" s="803"/>
      <c r="L21" s="272"/>
      <c r="M21" s="811"/>
    </row>
    <row r="22" spans="8:13">
      <c r="H22" s="272"/>
      <c r="I22" s="272"/>
      <c r="J22" s="803"/>
      <c r="K22" s="803"/>
      <c r="L22" s="272"/>
      <c r="M22" s="27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71"/>
  <sheetViews>
    <sheetView topLeftCell="X43" workbookViewId="0">
      <selection activeCell="Z74" sqref="Z74"/>
    </sheetView>
  </sheetViews>
  <sheetFormatPr defaultRowHeight="14.4"/>
  <cols>
    <col min="1" max="1" width="4.33203125" bestFit="1" customWidth="1"/>
    <col min="2" max="2" width="16.88671875" customWidth="1"/>
    <col min="3" max="3" width="33.44140625" customWidth="1"/>
    <col min="4" max="4" width="36.77734375" customWidth="1"/>
    <col min="5" max="5" width="17.77734375" customWidth="1"/>
    <col min="6" max="6" width="15.21875" bestFit="1" customWidth="1"/>
    <col min="7" max="8" width="16.21875" bestFit="1" customWidth="1"/>
    <col min="9" max="9" width="15" customWidth="1"/>
    <col min="10" max="10" width="15.21875" bestFit="1" customWidth="1"/>
    <col min="11" max="11" width="15.88671875" customWidth="1"/>
    <col min="12" max="12" width="16" customWidth="1"/>
    <col min="13" max="13" width="15.44140625" customWidth="1"/>
    <col min="14" max="14" width="19.77734375" bestFit="1" customWidth="1"/>
    <col min="15" max="16" width="16.21875" bestFit="1" customWidth="1"/>
    <col min="17" max="18" width="15" customWidth="1"/>
    <col min="19" max="21" width="16.21875" bestFit="1" customWidth="1"/>
    <col min="22" max="22" width="14.21875" style="3" bestFit="1" customWidth="1"/>
    <col min="23" max="23" width="16.21875" style="3" bestFit="1" customWidth="1"/>
    <col min="24" max="24" width="18.88671875" style="3" customWidth="1"/>
    <col min="25" max="25" width="18.6640625" style="3" customWidth="1"/>
    <col min="26" max="26" width="16.21875" bestFit="1" customWidth="1"/>
    <col min="27" max="27" width="18.33203125" customWidth="1"/>
    <col min="28" max="28" width="17.21875" customWidth="1"/>
    <col min="29" max="29" width="15.21875" bestFit="1" customWidth="1"/>
    <col min="30" max="31" width="16.21875" bestFit="1" customWidth="1"/>
    <col min="32" max="32" width="15.88671875" customWidth="1"/>
    <col min="33" max="33" width="17.5546875" customWidth="1"/>
    <col min="34" max="34" width="18.44140625" customWidth="1"/>
  </cols>
  <sheetData>
    <row r="1" spans="1:25">
      <c r="A1" s="3"/>
      <c r="C1" s="874"/>
    </row>
    <row r="2" spans="1:25" s="648" customFormat="1">
      <c r="A2" s="898" t="s">
        <v>0</v>
      </c>
      <c r="B2" s="899" t="s">
        <v>3350</v>
      </c>
      <c r="C2" s="900" t="s">
        <v>3354</v>
      </c>
      <c r="D2" s="899" t="s">
        <v>3353</v>
      </c>
      <c r="E2" s="899" t="s">
        <v>3355</v>
      </c>
      <c r="F2" s="899" t="s">
        <v>3342</v>
      </c>
      <c r="V2" s="677"/>
      <c r="W2" s="677"/>
      <c r="X2" s="677"/>
      <c r="Y2" s="677"/>
    </row>
    <row r="3" spans="1:25">
      <c r="A3" s="639">
        <v>1</v>
      </c>
      <c r="B3" s="902">
        <v>45859</v>
      </c>
      <c r="C3" s="48" t="s">
        <v>3356</v>
      </c>
      <c r="D3" s="48" t="s">
        <v>3357</v>
      </c>
      <c r="E3" s="897" t="s">
        <v>3358</v>
      </c>
      <c r="F3" s="901">
        <v>23000000</v>
      </c>
    </row>
    <row r="4" spans="1:25">
      <c r="A4" s="639">
        <v>2</v>
      </c>
      <c r="B4" s="902">
        <v>45859</v>
      </c>
      <c r="C4" s="48" t="s">
        <v>3360</v>
      </c>
      <c r="D4" t="s">
        <v>3361</v>
      </c>
      <c r="E4" s="48" t="s">
        <v>3362</v>
      </c>
      <c r="F4" s="679">
        <v>21000000</v>
      </c>
    </row>
    <row r="5" spans="1:25">
      <c r="A5" s="639">
        <v>3</v>
      </c>
      <c r="B5" s="48"/>
      <c r="C5" s="48"/>
      <c r="D5" s="48"/>
      <c r="E5" s="48"/>
      <c r="F5" s="48"/>
    </row>
    <row r="6" spans="1:25">
      <c r="A6" s="639">
        <v>4</v>
      </c>
      <c r="B6" s="48"/>
      <c r="C6" s="48"/>
      <c r="D6" s="48"/>
      <c r="E6" s="48"/>
      <c r="F6" s="48"/>
    </row>
    <row r="7" spans="1:25">
      <c r="A7" s="639">
        <v>5</v>
      </c>
      <c r="B7" s="48"/>
      <c r="C7" s="48"/>
      <c r="D7" s="48"/>
      <c r="E7" s="48" t="s">
        <v>3359</v>
      </c>
      <c r="F7" s="48"/>
    </row>
    <row r="12" spans="1:25">
      <c r="B12" s="905" t="s">
        <v>3371</v>
      </c>
    </row>
    <row r="13" spans="1:25">
      <c r="E13" t="s">
        <v>3365</v>
      </c>
      <c r="G13" t="s">
        <v>3211</v>
      </c>
      <c r="I13" t="s">
        <v>3366</v>
      </c>
    </row>
    <row r="14" spans="1:25">
      <c r="E14" s="3">
        <v>20000000</v>
      </c>
      <c r="G14" s="3">
        <v>625000</v>
      </c>
      <c r="I14" s="3">
        <v>3000</v>
      </c>
      <c r="J14" t="s">
        <v>3367</v>
      </c>
    </row>
    <row r="15" spans="1:25">
      <c r="G15" s="3">
        <v>87000</v>
      </c>
      <c r="I15" s="3">
        <v>200</v>
      </c>
      <c r="J15" t="s">
        <v>3370</v>
      </c>
    </row>
    <row r="16" spans="1:25">
      <c r="G16" s="3">
        <v>600000</v>
      </c>
      <c r="I16" s="3">
        <v>300</v>
      </c>
      <c r="J16" t="s">
        <v>3370</v>
      </c>
    </row>
    <row r="17" spans="2:9">
      <c r="G17" s="3">
        <v>150000</v>
      </c>
      <c r="I17" s="3">
        <v>1000</v>
      </c>
    </row>
    <row r="18" spans="2:9">
      <c r="E18" s="904">
        <f>SUM(E14:E17)</f>
        <v>20000000</v>
      </c>
      <c r="G18" s="904">
        <f>SUM(G14:G17)</f>
        <v>1462000</v>
      </c>
      <c r="I18" s="904">
        <f>I14-I15-I16-I17+200</f>
        <v>1700</v>
      </c>
    </row>
    <row r="20" spans="2:9">
      <c r="F20" s="661">
        <f>E18-G18</f>
        <v>18538000</v>
      </c>
    </row>
    <row r="21" spans="2:9">
      <c r="F21" s="3">
        <v>4000000</v>
      </c>
    </row>
    <row r="22" spans="2:9">
      <c r="F22" s="3">
        <v>5500000</v>
      </c>
    </row>
    <row r="23" spans="2:9">
      <c r="C23" s="906" t="s">
        <v>3368</v>
      </c>
      <c r="D23" s="3">
        <v>11000000</v>
      </c>
      <c r="F23" s="3">
        <v>14333000</v>
      </c>
    </row>
    <row r="24" spans="2:9">
      <c r="C24" s="906" t="s">
        <v>3369</v>
      </c>
      <c r="D24" s="3">
        <f>1700*12700</f>
        <v>21590000</v>
      </c>
      <c r="F24" s="3">
        <f>F20+F21-F22-F23</f>
        <v>2705000</v>
      </c>
    </row>
    <row r="25" spans="2:9">
      <c r="D25" s="661">
        <f>SUM(D23:D24)</f>
        <v>32590000</v>
      </c>
    </row>
    <row r="28" spans="2:9">
      <c r="B28" s="905" t="s">
        <v>3372</v>
      </c>
    </row>
    <row r="31" spans="2:9">
      <c r="E31" s="613" t="s">
        <v>3373</v>
      </c>
      <c r="F31" s="613" t="s">
        <v>3375</v>
      </c>
      <c r="G31" s="613" t="s">
        <v>3376</v>
      </c>
      <c r="H31" s="613" t="s">
        <v>3366</v>
      </c>
    </row>
    <row r="32" spans="2:9">
      <c r="E32" s="3">
        <v>11000000</v>
      </c>
      <c r="F32" s="3">
        <v>1500</v>
      </c>
      <c r="G32" s="3">
        <v>250000</v>
      </c>
      <c r="H32" s="3">
        <v>1700</v>
      </c>
    </row>
    <row r="33" spans="2:34">
      <c r="E33" s="3"/>
      <c r="F33" s="3"/>
      <c r="G33" s="3">
        <v>300000</v>
      </c>
      <c r="H33" s="3"/>
    </row>
    <row r="34" spans="2:34">
      <c r="E34" s="3"/>
      <c r="F34" s="3"/>
      <c r="G34" s="3">
        <v>2250000</v>
      </c>
      <c r="H34" s="3"/>
    </row>
    <row r="35" spans="2:34">
      <c r="E35" s="3"/>
      <c r="F35" s="3"/>
      <c r="G35" s="3">
        <v>1900000</v>
      </c>
      <c r="H35" s="3"/>
    </row>
    <row r="36" spans="2:34">
      <c r="E36" s="3"/>
      <c r="F36" s="3"/>
      <c r="G36" s="3"/>
      <c r="H36" s="3"/>
      <c r="U36" s="3">
        <v>339000</v>
      </c>
    </row>
    <row r="37" spans="2:34">
      <c r="E37" s="3"/>
      <c r="F37" s="3"/>
      <c r="G37" s="3"/>
      <c r="H37" s="3"/>
      <c r="U37">
        <v>7280</v>
      </c>
    </row>
    <row r="38" spans="2:34">
      <c r="E38" s="3"/>
      <c r="F38" s="3"/>
      <c r="G38" s="3"/>
      <c r="H38" s="3"/>
      <c r="U38">
        <v>17100</v>
      </c>
    </row>
    <row r="39" spans="2:34">
      <c r="E39" s="3"/>
      <c r="F39" s="3"/>
      <c r="G39" s="3"/>
      <c r="H39" s="3"/>
    </row>
    <row r="40" spans="2:34">
      <c r="E40" s="3"/>
      <c r="F40" s="3"/>
      <c r="G40" s="3"/>
      <c r="H40" s="3"/>
    </row>
    <row r="41" spans="2:34">
      <c r="E41" s="661">
        <f>SUM(E32:E40)</f>
        <v>11000000</v>
      </c>
      <c r="F41" s="661">
        <f>SUM(F32:F40)</f>
        <v>1500</v>
      </c>
      <c r="G41" s="661">
        <f>SUM(G32:G40)</f>
        <v>4700000</v>
      </c>
      <c r="H41" s="661">
        <f>SUM(H32:H38)</f>
        <v>1700</v>
      </c>
      <c r="X41" s="3">
        <v>441240000</v>
      </c>
    </row>
    <row r="43" spans="2:34">
      <c r="G43" s="661"/>
    </row>
    <row r="44" spans="2:34">
      <c r="C44" s="907">
        <v>45861</v>
      </c>
      <c r="F44" s="907"/>
      <c r="G44" s="907">
        <v>45862</v>
      </c>
      <c r="J44" s="1568">
        <v>45863</v>
      </c>
      <c r="K44" s="1568"/>
      <c r="L44" s="1568"/>
      <c r="M44" s="1568"/>
      <c r="N44" s="1568">
        <v>45864</v>
      </c>
      <c r="O44" s="1568"/>
      <c r="P44" s="1568"/>
      <c r="Q44" s="1568"/>
      <c r="R44" s="919">
        <v>45866</v>
      </c>
      <c r="S44" s="919"/>
      <c r="T44" s="919"/>
      <c r="U44" s="919"/>
      <c r="V44" s="1568">
        <v>45867</v>
      </c>
      <c r="W44" s="1568"/>
      <c r="X44" s="1568"/>
      <c r="Y44" s="923">
        <f>+Y47-16710000</f>
        <v>379580000</v>
      </c>
      <c r="Z44" s="1568">
        <v>45868</v>
      </c>
      <c r="AA44" s="1568"/>
      <c r="AB44" s="1568"/>
      <c r="AC44" s="1568">
        <v>45869</v>
      </c>
      <c r="AD44" s="1569"/>
      <c r="AE44" s="1569"/>
      <c r="AF44" s="1568">
        <v>45870</v>
      </c>
      <c r="AG44" s="1569"/>
      <c r="AH44" s="1569"/>
    </row>
    <row r="45" spans="2:34">
      <c r="B45" s="48"/>
      <c r="C45" s="638" t="s">
        <v>3377</v>
      </c>
      <c r="D45" s="638" t="s">
        <v>3373</v>
      </c>
      <c r="E45" s="638" t="s">
        <v>3374</v>
      </c>
      <c r="F45" s="638" t="s">
        <v>3377</v>
      </c>
      <c r="G45" s="909" t="s">
        <v>3373</v>
      </c>
      <c r="H45" s="909" t="s">
        <v>3374</v>
      </c>
      <c r="I45" s="909" t="s">
        <v>3377</v>
      </c>
      <c r="J45" s="614" t="s">
        <v>3377</v>
      </c>
      <c r="K45" s="614" t="s">
        <v>3373</v>
      </c>
      <c r="L45" s="614" t="s">
        <v>3374</v>
      </c>
      <c r="M45" s="614" t="s">
        <v>3377</v>
      </c>
      <c r="N45" s="48" t="s">
        <v>3377</v>
      </c>
      <c r="O45" s="48" t="s">
        <v>3373</v>
      </c>
      <c r="P45" s="48" t="s">
        <v>3374</v>
      </c>
      <c r="Q45" s="48" t="s">
        <v>3377</v>
      </c>
      <c r="R45" s="642" t="s">
        <v>3377</v>
      </c>
      <c r="S45" s="642" t="s">
        <v>3373</v>
      </c>
      <c r="T45" s="642" t="s">
        <v>3374</v>
      </c>
      <c r="U45" s="642" t="s">
        <v>3377</v>
      </c>
      <c r="V45" s="645" t="s">
        <v>3377</v>
      </c>
      <c r="W45" s="645" t="s">
        <v>3373</v>
      </c>
      <c r="X45" s="645" t="s">
        <v>3374</v>
      </c>
      <c r="Y45" s="645" t="s">
        <v>3377</v>
      </c>
      <c r="Z45" s="645" t="s">
        <v>3373</v>
      </c>
      <c r="AA45" s="645" t="s">
        <v>3374</v>
      </c>
      <c r="AB45" s="645" t="s">
        <v>3377</v>
      </c>
      <c r="AC45" s="645" t="s">
        <v>3373</v>
      </c>
      <c r="AD45" s="645" t="s">
        <v>3374</v>
      </c>
      <c r="AE45" s="645" t="s">
        <v>3377</v>
      </c>
      <c r="AF45" s="645" t="s">
        <v>3373</v>
      </c>
      <c r="AG45" s="645" t="s">
        <v>3374</v>
      </c>
      <c r="AH45" s="645" t="s">
        <v>3377</v>
      </c>
    </row>
    <row r="46" spans="2:34">
      <c r="B46" s="48" t="s">
        <v>3378</v>
      </c>
      <c r="C46" s="644">
        <v>2700000</v>
      </c>
      <c r="D46" s="644">
        <v>10000000</v>
      </c>
      <c r="E46" s="644">
        <f>11000000+300000</f>
        <v>11300000</v>
      </c>
      <c r="F46" s="908">
        <f>+C46+D46-E46</f>
        <v>1400000</v>
      </c>
      <c r="G46" s="909"/>
      <c r="H46" s="910">
        <v>500000</v>
      </c>
      <c r="I46" s="911">
        <f>+F46+G46-H46</f>
        <v>900000</v>
      </c>
      <c r="J46" s="913">
        <v>900000</v>
      </c>
      <c r="K46" s="914">
        <v>3360000</v>
      </c>
      <c r="L46" s="914">
        <f>3360000+338000+200000</f>
        <v>3898000</v>
      </c>
      <c r="M46" s="914">
        <f>+J46+K46-L46</f>
        <v>362000</v>
      </c>
      <c r="N46" s="878">
        <f>+M46</f>
        <v>362000</v>
      </c>
      <c r="O46" s="49"/>
      <c r="P46" s="49">
        <f>300000+37500</f>
        <v>337500</v>
      </c>
      <c r="Q46" s="49">
        <f>+N46+O46-P46</f>
        <v>24500</v>
      </c>
      <c r="R46" s="645">
        <v>24500</v>
      </c>
      <c r="S46" s="645">
        <f>8575000+1000000</f>
        <v>9575000</v>
      </c>
      <c r="T46" s="645">
        <f>4760000+500000</f>
        <v>5260000</v>
      </c>
      <c r="U46" s="917">
        <f>+Q46+S46-T46</f>
        <v>4339500</v>
      </c>
      <c r="V46" s="914">
        <f>U46</f>
        <v>4339500</v>
      </c>
      <c r="W46" s="914"/>
      <c r="X46" s="914">
        <f>600000+300000</f>
        <v>900000</v>
      </c>
      <c r="Y46" s="914">
        <f>+V46+W46-X46</f>
        <v>3439500</v>
      </c>
      <c r="Z46" s="49">
        <f>5000000+5000000</f>
        <v>10000000</v>
      </c>
      <c r="AA46" s="49">
        <f>2280000+40000+9500000+337500</f>
        <v>12157500</v>
      </c>
      <c r="AB46" s="49">
        <f>+Y46+Z46-AA46</f>
        <v>1282000</v>
      </c>
      <c r="AC46" s="914">
        <v>125000</v>
      </c>
      <c r="AD46" s="914">
        <f>500000+144000</f>
        <v>644000</v>
      </c>
      <c r="AE46" s="914">
        <f>+AB46+AC46-AD46</f>
        <v>763000</v>
      </c>
      <c r="AF46" s="49">
        <v>3000000</v>
      </c>
      <c r="AG46" s="49">
        <f>500000+50000+30000</f>
        <v>580000</v>
      </c>
      <c r="AH46" s="49">
        <f>+AE46+AF46-AG46</f>
        <v>3183000</v>
      </c>
    </row>
    <row r="47" spans="2:34">
      <c r="B47" s="48" t="s">
        <v>3379</v>
      </c>
      <c r="C47" s="644">
        <v>11000000</v>
      </c>
      <c r="D47" s="644">
        <f>64000000+30000000</f>
        <v>94000000</v>
      </c>
      <c r="E47" s="644">
        <f>250000+2250000+1900000+19320000+10390000+29700000+35000+217000+29700000+10000000+100000</f>
        <v>103862000</v>
      </c>
      <c r="F47" s="908">
        <f>+C47+D47-E47</f>
        <v>1138000</v>
      </c>
      <c r="G47" s="911">
        <f>140000000+8000000+6000000+60000000</f>
        <v>214000000</v>
      </c>
      <c r="H47" s="911">
        <f>5000000+24000000+30690000+30690000+30360000+30360000+1400000+300000+20000000+1000000+8550000+25400000+5365000</f>
        <v>213115000</v>
      </c>
      <c r="I47" s="911">
        <f>+F47+G47-H47-138000</f>
        <v>1885000</v>
      </c>
      <c r="J47" s="913">
        <v>1885000</v>
      </c>
      <c r="K47" s="914">
        <f>198000000+1550000+1000000+1260000+77000000</f>
        <v>278810000</v>
      </c>
      <c r="L47" s="914">
        <f>19320000+30690000+27900000+24700000+600000+24300000+27000000+2200000+23410000+30950000+34950000+860000+540000+100000+32200000</f>
        <v>279720000</v>
      </c>
      <c r="M47" s="914">
        <f>+J47+K47-L47</f>
        <v>975000</v>
      </c>
      <c r="N47" s="878">
        <f>M47</f>
        <v>975000</v>
      </c>
      <c r="O47" s="49">
        <f>17000000+1500000+1270000+70000000</f>
        <v>89770000</v>
      </c>
      <c r="P47" s="49">
        <f>100000+100000+600000+100000+5000000+2300000+9500000+100000+100000+150000+1600000+70000000</f>
        <v>89650000</v>
      </c>
      <c r="Q47" s="49">
        <f>+N47+O47-P47</f>
        <v>1095000</v>
      </c>
      <c r="R47" s="645">
        <v>1095000</v>
      </c>
      <c r="S47" s="917">
        <f>60000000+100000000+8580000+250000</f>
        <v>168830000</v>
      </c>
      <c r="T47" s="645">
        <f>270000+80000+660000+5400000+60000000+45000000+1085000+22750000+100000+85000+8500000+4000000+22000000</f>
        <v>169930000</v>
      </c>
      <c r="U47" s="917">
        <f>+Q47+S47-T47</f>
        <v>-5000</v>
      </c>
      <c r="V47" s="914">
        <v>0</v>
      </c>
      <c r="W47" s="924">
        <f>40000000+792990000+600000</f>
        <v>833590000</v>
      </c>
      <c r="X47" s="924">
        <f>30360000+174600000+30360000+22500000+91000000+39560000+5000000+9200000+13800000+20920000</f>
        <v>437300000</v>
      </c>
      <c r="Y47" s="914">
        <f>+V47+W47-X47</f>
        <v>396290000</v>
      </c>
      <c r="Z47" s="921">
        <f>50000000+521730000+2280000+40000</f>
        <v>574050000</v>
      </c>
      <c r="AA47" s="49">
        <f>500000+2000000+50000+3100000+5000000+2000000+5135000+5000000+5730000+1000000+2000000+7280000+17100000+92500000+22860000+7500000+9500000+46500000+30690000</f>
        <v>265445000</v>
      </c>
      <c r="AB47" s="49">
        <f>+Y47+Z47-AA47-605000000</f>
        <v>99895000</v>
      </c>
      <c r="AC47" s="924">
        <f>4450000+6500000+36000000</f>
        <v>46950000</v>
      </c>
      <c r="AD47" s="914">
        <f>5700000+144000+200000+2200000+2800000+200000+200000+47000000+15960000+13800000+9000000+21160000+17540000</f>
        <v>135904000</v>
      </c>
      <c r="AE47" s="914">
        <f>+AB47+AC47-AD47</f>
        <v>10941000</v>
      </c>
      <c r="AF47" s="49">
        <f>96000000+3300000+800000+369270000</f>
        <v>469370000</v>
      </c>
      <c r="AG47" s="49">
        <f>23140000+11500000+780000+22760000+17600000+2000000+100000+770000+270000+272600000</f>
        <v>351520000</v>
      </c>
      <c r="AH47" s="878">
        <f>AE47+AF47-AG47</f>
        <v>128791000</v>
      </c>
    </row>
    <row r="48" spans="2:34">
      <c r="B48" s="48" t="s">
        <v>3380</v>
      </c>
      <c r="C48" s="644">
        <v>1700</v>
      </c>
      <c r="D48" s="638">
        <v>0</v>
      </c>
      <c r="E48" s="638">
        <v>1500</v>
      </c>
      <c r="F48" s="908">
        <f>+C48+D48-E48</f>
        <v>200</v>
      </c>
      <c r="G48" s="909"/>
      <c r="H48" s="909"/>
      <c r="I48" s="911">
        <f>+F48+G48-H48</f>
        <v>200</v>
      </c>
      <c r="J48" s="913">
        <f>I48</f>
        <v>200</v>
      </c>
      <c r="K48" s="914"/>
      <c r="L48" s="914"/>
      <c r="M48" s="914">
        <f>+J48+K48-L48</f>
        <v>200</v>
      </c>
      <c r="N48" s="878">
        <f>+M48</f>
        <v>200</v>
      </c>
      <c r="O48" s="49">
        <v>3000</v>
      </c>
      <c r="P48" s="49">
        <f>2200+100</f>
        <v>2300</v>
      </c>
      <c r="Q48" s="49">
        <f>+N48+O48-P48</f>
        <v>900</v>
      </c>
      <c r="R48" s="645">
        <v>900</v>
      </c>
      <c r="S48" s="642"/>
      <c r="T48" s="642">
        <v>900</v>
      </c>
      <c r="U48" s="917">
        <f>+Q48+S48-T48</f>
        <v>0</v>
      </c>
      <c r="V48" s="914">
        <v>0</v>
      </c>
      <c r="W48" s="914">
        <v>300</v>
      </c>
      <c r="X48" s="914"/>
      <c r="Y48" s="914">
        <f>+V48+W48-X48</f>
        <v>300</v>
      </c>
      <c r="Z48" s="49"/>
      <c r="AA48" s="49">
        <v>100</v>
      </c>
      <c r="AB48" s="49">
        <f>+Y48+Z48-AA48</f>
        <v>200</v>
      </c>
      <c r="AC48" s="914">
        <v>800</v>
      </c>
      <c r="AD48" s="914"/>
      <c r="AE48" s="914">
        <f>+AB48+AC48-AD48</f>
        <v>1000</v>
      </c>
      <c r="AF48" s="48"/>
      <c r="AG48" s="48"/>
      <c r="AH48" s="48">
        <v>1000</v>
      </c>
    </row>
    <row r="49" spans="3:34">
      <c r="C49">
        <f>+C48*1262</f>
        <v>2145400</v>
      </c>
      <c r="E49">
        <f>+E48*12750</f>
        <v>19125000</v>
      </c>
      <c r="O49" s="661">
        <f>12660*O48</f>
        <v>37980000</v>
      </c>
      <c r="P49">
        <f>+P48*12680</f>
        <v>29164000</v>
      </c>
      <c r="T49">
        <f>+T48*12600</f>
        <v>11340000</v>
      </c>
      <c r="Z49" s="661"/>
      <c r="AA49" s="661">
        <f>255695000-AA47</f>
        <v>-9750000</v>
      </c>
      <c r="AB49" s="661"/>
      <c r="AC49" s="3"/>
      <c r="AD49" s="3"/>
      <c r="AG49" s="661">
        <f>+AH47-AE47</f>
        <v>117850000</v>
      </c>
    </row>
    <row r="50" spans="3:34">
      <c r="E50" s="644"/>
      <c r="T50">
        <v>16740000</v>
      </c>
      <c r="AA50" s="3"/>
      <c r="AB50" s="661">
        <f>+AB47-710705</f>
        <v>99184295</v>
      </c>
      <c r="AC50" s="3"/>
      <c r="AD50" s="3"/>
    </row>
    <row r="51" spans="3:34">
      <c r="E51" s="644">
        <v>250000</v>
      </c>
      <c r="T51">
        <f>+T50-T49</f>
        <v>5400000</v>
      </c>
      <c r="AA51" s="3"/>
      <c r="AC51" s="3"/>
      <c r="AD51" s="3">
        <f>26000000*88%</f>
        <v>22880000</v>
      </c>
      <c r="AG51">
        <f>99000000+18850000</f>
        <v>117850000</v>
      </c>
      <c r="AH51" s="661">
        <f>+AH47-AE47</f>
        <v>117850000</v>
      </c>
    </row>
    <row r="52" spans="3:34">
      <c r="E52" s="644">
        <v>2250000</v>
      </c>
      <c r="AA52" s="3"/>
      <c r="AB52" s="661"/>
      <c r="AC52" s="3"/>
      <c r="AD52" s="3"/>
      <c r="AG52" s="661">
        <f>+AG51-AH51</f>
        <v>0</v>
      </c>
      <c r="AH52" s="3">
        <f>+AH47-AH51</f>
        <v>10941000</v>
      </c>
    </row>
    <row r="53" spans="3:34">
      <c r="E53" s="644">
        <v>1900000</v>
      </c>
      <c r="R53" s="927" t="s">
        <v>3400</v>
      </c>
      <c r="S53">
        <v>270000</v>
      </c>
      <c r="AA53">
        <f>29040+2200</f>
        <v>31240</v>
      </c>
      <c r="AC53" s="3"/>
      <c r="AD53" s="3"/>
      <c r="AH53" s="661"/>
    </row>
    <row r="54" spans="3:34">
      <c r="E54" s="644">
        <v>19320000</v>
      </c>
      <c r="R54" s="927" t="s">
        <v>3401</v>
      </c>
      <c r="S54">
        <v>80000</v>
      </c>
      <c r="AA54">
        <f>500*12550+8565000</f>
        <v>14840000</v>
      </c>
      <c r="AB54" s="661">
        <f>2700000+AA54</f>
        <v>17540000</v>
      </c>
      <c r="AC54" s="3"/>
      <c r="AD54" s="3"/>
    </row>
    <row r="55" spans="3:34">
      <c r="E55" s="644">
        <v>10390000</v>
      </c>
      <c r="R55" s="927" t="s">
        <v>3402</v>
      </c>
      <c r="S55">
        <v>660000</v>
      </c>
      <c r="AA55">
        <f>21160000</f>
        <v>21160000</v>
      </c>
      <c r="AB55">
        <v>29040000</v>
      </c>
      <c r="AC55" s="3"/>
      <c r="AD55" s="3"/>
    </row>
    <row r="56" spans="3:34">
      <c r="E56" s="644">
        <v>29700000</v>
      </c>
      <c r="R56" s="927" t="s">
        <v>3403</v>
      </c>
      <c r="S56">
        <v>100000</v>
      </c>
      <c r="AA56">
        <f>+AA54+AA55</f>
        <v>36000000</v>
      </c>
      <c r="AB56" s="661">
        <f>+AB55-AB54</f>
        <v>11500000</v>
      </c>
      <c r="AC56" s="3"/>
      <c r="AD56" s="3"/>
    </row>
    <row r="57" spans="3:34">
      <c r="E57" s="644">
        <v>35000</v>
      </c>
      <c r="R57" s="927" t="s">
        <v>3404</v>
      </c>
      <c r="S57">
        <v>85000</v>
      </c>
      <c r="AC57" s="3"/>
      <c r="AD57" s="3"/>
    </row>
    <row r="58" spans="3:34">
      <c r="E58" s="644">
        <v>217000</v>
      </c>
      <c r="R58" s="927" t="s">
        <v>3405</v>
      </c>
      <c r="S58">
        <v>8500000</v>
      </c>
      <c r="AC58" s="922"/>
      <c r="AD58" s="661"/>
    </row>
    <row r="59" spans="3:34">
      <c r="E59" s="644">
        <v>29700000</v>
      </c>
      <c r="S59">
        <v>5400000</v>
      </c>
      <c r="AD59" s="661"/>
    </row>
    <row r="60" spans="3:34">
      <c r="E60" s="932">
        <v>10000000</v>
      </c>
      <c r="S60">
        <v>45000000</v>
      </c>
      <c r="AD60" s="661"/>
    </row>
    <row r="61" spans="3:34">
      <c r="E61" s="932">
        <v>100000</v>
      </c>
      <c r="S61">
        <v>60000000</v>
      </c>
      <c r="AD61" s="661"/>
    </row>
    <row r="62" spans="3:34">
      <c r="E62" s="661">
        <f>SUM(E51:E61)</f>
        <v>103862000</v>
      </c>
      <c r="S62">
        <v>22750000</v>
      </c>
      <c r="AD62" s="661"/>
    </row>
    <row r="63" spans="3:34">
      <c r="S63">
        <v>4000000</v>
      </c>
      <c r="AA63">
        <v>1200000</v>
      </c>
      <c r="AD63" s="661"/>
    </row>
    <row r="64" spans="3:34">
      <c r="S64">
        <v>22000000</v>
      </c>
      <c r="AA64" t="e">
        <f>-AA63400000</f>
        <v>#NAME?</v>
      </c>
      <c r="AD64" s="661"/>
    </row>
    <row r="65" spans="12:30">
      <c r="S65">
        <v>1085000</v>
      </c>
      <c r="AD65" s="661"/>
    </row>
    <row r="66" spans="12:30">
      <c r="AD66" s="661"/>
    </row>
    <row r="67" spans="12:30">
      <c r="L67" s="3">
        <v>41455000</v>
      </c>
      <c r="N67" s="3">
        <v>300000000</v>
      </c>
      <c r="S67">
        <f>SUM(S53:S65)</f>
        <v>169930000</v>
      </c>
      <c r="AD67" s="661"/>
    </row>
    <row r="68" spans="12:30">
      <c r="L68" s="3">
        <v>70000000</v>
      </c>
      <c r="N68" s="3">
        <f>N67*98.5%</f>
        <v>295500000</v>
      </c>
      <c r="S68" s="661">
        <f>+S67-T47</f>
        <v>0</v>
      </c>
    </row>
    <row r="69" spans="12:30">
      <c r="L69" s="3">
        <v>60000000</v>
      </c>
    </row>
    <row r="70" spans="12:30">
      <c r="L70" s="3">
        <v>40000000</v>
      </c>
    </row>
    <row r="71" spans="12:30">
      <c r="L71" s="3">
        <f>SUM(L67:L70)</f>
        <v>211455000</v>
      </c>
      <c r="N71" s="661">
        <f>N68-L71</f>
        <v>84045000</v>
      </c>
    </row>
  </sheetData>
  <mergeCells count="6">
    <mergeCell ref="AF44:AH44"/>
    <mergeCell ref="N44:Q44"/>
    <mergeCell ref="J44:M44"/>
    <mergeCell ref="Z44:AB44"/>
    <mergeCell ref="V44:X44"/>
    <mergeCell ref="AC44:AE4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8"/>
  <sheetViews>
    <sheetView zoomScaleNormal="100" workbookViewId="0">
      <selection activeCell="A30" sqref="A30"/>
    </sheetView>
  </sheetViews>
  <sheetFormatPr defaultRowHeight="14.4"/>
  <cols>
    <col min="1" max="1" width="35.77734375" style="613" bestFit="1" customWidth="1"/>
    <col min="2" max="2" width="20.21875" customWidth="1"/>
    <col min="3" max="3" width="16.5546875" style="863" customWidth="1"/>
    <col min="4" max="4" width="16.21875" style="863" bestFit="1" customWidth="1"/>
    <col min="5" max="7" width="16.21875" bestFit="1" customWidth="1"/>
    <col min="8" max="8" width="15.21875" bestFit="1" customWidth="1"/>
    <col min="9" max="16" width="16.21875" bestFit="1" customWidth="1"/>
    <col min="17" max="17" width="14.21875" bestFit="1" customWidth="1"/>
    <col min="18" max="18" width="15.21875" bestFit="1" customWidth="1"/>
    <col min="19" max="19" width="16.21875" bestFit="1" customWidth="1"/>
    <col min="20" max="20" width="17.77734375" bestFit="1" customWidth="1"/>
    <col min="21" max="22" width="16.21875" bestFit="1" customWidth="1"/>
    <col min="23" max="23" width="17.88671875" customWidth="1"/>
    <col min="24" max="24" width="17.5546875" customWidth="1"/>
    <col min="25" max="25" width="18.21875" customWidth="1"/>
    <col min="26" max="27" width="16.21875" bestFit="1" customWidth="1"/>
    <col min="28" max="28" width="17.77734375" bestFit="1" customWidth="1"/>
    <col min="29" max="29" width="14.21875" bestFit="1" customWidth="1"/>
    <col min="30" max="31" width="16.21875" bestFit="1" customWidth="1"/>
    <col min="32" max="32" width="14.21875" bestFit="1" customWidth="1"/>
    <col min="33" max="33" width="16.21875" bestFit="1" customWidth="1"/>
    <col min="34" max="34" width="15.21875" bestFit="1" customWidth="1"/>
  </cols>
  <sheetData>
    <row r="1" spans="1:34">
      <c r="A1" s="862"/>
      <c r="B1" s="852"/>
    </row>
    <row r="2" spans="1:34">
      <c r="A2" s="915"/>
      <c r="B2" s="852"/>
    </row>
    <row r="3" spans="1:34">
      <c r="A3" s="613" t="s">
        <v>3391</v>
      </c>
      <c r="B3" s="852"/>
    </row>
    <row r="4" spans="1:34">
      <c r="B4" s="852"/>
    </row>
    <row r="5" spans="1:34">
      <c r="B5" s="852"/>
    </row>
    <row r="6" spans="1:34">
      <c r="A6" s="920"/>
      <c r="B6" s="918"/>
      <c r="E6" s="907">
        <v>45868</v>
      </c>
      <c r="H6" s="907">
        <v>45869</v>
      </c>
      <c r="K6" s="907">
        <v>45870</v>
      </c>
      <c r="N6" s="1568">
        <v>45871</v>
      </c>
      <c r="O6" s="1568"/>
      <c r="Q6" s="1568">
        <v>45873</v>
      </c>
      <c r="R6" s="1568"/>
      <c r="T6" s="1568">
        <v>45874</v>
      </c>
      <c r="U6" s="1569"/>
      <c r="W6" s="1568">
        <v>45875</v>
      </c>
      <c r="X6" s="1569"/>
      <c r="Z6" s="1568">
        <v>45876</v>
      </c>
      <c r="AA6" s="1569"/>
      <c r="AC6" s="1568">
        <v>45877</v>
      </c>
      <c r="AD6" s="1569"/>
      <c r="AF6" s="1568">
        <v>45878</v>
      </c>
      <c r="AG6" s="1569"/>
    </row>
    <row r="7" spans="1:34">
      <c r="A7" s="645" t="s">
        <v>3377</v>
      </c>
      <c r="B7" s="645" t="s">
        <v>3373</v>
      </c>
      <c r="C7" s="645" t="s">
        <v>3374</v>
      </c>
      <c r="D7" s="645" t="s">
        <v>3377</v>
      </c>
      <c r="E7" s="645" t="s">
        <v>3373</v>
      </c>
      <c r="F7" s="645" t="s">
        <v>3374</v>
      </c>
      <c r="G7" s="645" t="s">
        <v>3377</v>
      </c>
      <c r="H7" s="645" t="s">
        <v>3373</v>
      </c>
      <c r="I7" s="645" t="s">
        <v>3374</v>
      </c>
      <c r="J7" s="645" t="s">
        <v>3377</v>
      </c>
      <c r="K7" s="645" t="s">
        <v>3373</v>
      </c>
      <c r="L7" s="645" t="s">
        <v>3374</v>
      </c>
      <c r="M7" s="645" t="s">
        <v>3377</v>
      </c>
      <c r="N7" s="645" t="s">
        <v>3373</v>
      </c>
      <c r="O7" s="645" t="s">
        <v>3374</v>
      </c>
      <c r="P7" s="645" t="s">
        <v>3377</v>
      </c>
      <c r="Q7" s="645" t="s">
        <v>3373</v>
      </c>
      <c r="R7" s="645" t="s">
        <v>3374</v>
      </c>
      <c r="S7" s="645" t="s">
        <v>3377</v>
      </c>
      <c r="T7" s="645" t="s">
        <v>3373</v>
      </c>
      <c r="U7" s="645" t="s">
        <v>3374</v>
      </c>
      <c r="V7" s="645" t="s">
        <v>3377</v>
      </c>
      <c r="W7" s="645" t="s">
        <v>3373</v>
      </c>
      <c r="X7" s="645" t="s">
        <v>3374</v>
      </c>
      <c r="Y7" s="645" t="s">
        <v>3377</v>
      </c>
      <c r="Z7" s="645" t="s">
        <v>3373</v>
      </c>
      <c r="AA7" s="645" t="s">
        <v>3374</v>
      </c>
      <c r="AB7" s="645" t="s">
        <v>3377</v>
      </c>
      <c r="AC7" s="645" t="s">
        <v>3373</v>
      </c>
      <c r="AD7" s="645" t="s">
        <v>3374</v>
      </c>
      <c r="AE7" s="645" t="s">
        <v>3377</v>
      </c>
      <c r="AF7" s="645" t="s">
        <v>3373</v>
      </c>
      <c r="AG7" s="645" t="s">
        <v>3374</v>
      </c>
      <c r="AH7" s="645" t="s">
        <v>3377</v>
      </c>
    </row>
    <row r="8" spans="1:34">
      <c r="A8" s="914">
        <v>4339500</v>
      </c>
      <c r="B8" s="914"/>
      <c r="C8" s="914">
        <f>600000+300000</f>
        <v>900000</v>
      </c>
      <c r="D8" s="914">
        <f>+A8+B8-C8</f>
        <v>3439500</v>
      </c>
      <c r="E8" s="49">
        <f>5000000+5000000</f>
        <v>10000000</v>
      </c>
      <c r="F8" s="49">
        <f>2280000+40000+9500000+337500</f>
        <v>12157500</v>
      </c>
      <c r="G8" s="49">
        <f>+D8+E8-F8</f>
        <v>1282000</v>
      </c>
      <c r="H8" s="914">
        <v>125000</v>
      </c>
      <c r="I8" s="914">
        <f>500000+144000</f>
        <v>644000</v>
      </c>
      <c r="J8" s="914">
        <f>+G8+H8-I8</f>
        <v>763000</v>
      </c>
      <c r="K8" s="49">
        <v>3000000</v>
      </c>
      <c r="L8" s="49">
        <f>500000+50000+30000</f>
        <v>580000</v>
      </c>
      <c r="M8" s="49">
        <f>+J8+K8-L8</f>
        <v>3183000</v>
      </c>
      <c r="N8" s="49"/>
      <c r="O8" s="49">
        <v>125000</v>
      </c>
      <c r="P8" s="49">
        <f>+M8+N8-O8</f>
        <v>3058000</v>
      </c>
      <c r="Q8" s="49">
        <v>1000000</v>
      </c>
      <c r="R8" s="49"/>
      <c r="S8" s="49">
        <f>+P8+Q8-R8</f>
        <v>4058000</v>
      </c>
      <c r="T8" s="49">
        <v>0</v>
      </c>
      <c r="U8" s="49">
        <v>750000</v>
      </c>
      <c r="V8" s="49">
        <f>+S8+T8-U8</f>
        <v>3308000</v>
      </c>
      <c r="W8" s="49"/>
      <c r="X8" s="49">
        <f>41200+370000</f>
        <v>411200</v>
      </c>
      <c r="Y8" s="49">
        <f>+V8+W8-X8</f>
        <v>2896800</v>
      </c>
      <c r="Z8" s="49">
        <v>1000000</v>
      </c>
      <c r="AA8" s="49">
        <f>300000+500000</f>
        <v>800000</v>
      </c>
      <c r="AB8" s="49">
        <f>+Y8+Z8-AA8</f>
        <v>3096800</v>
      </c>
      <c r="AC8" s="49">
        <v>1500000</v>
      </c>
      <c r="AD8" s="49">
        <v>0</v>
      </c>
      <c r="AE8" s="49">
        <f>AB8+AC8-AD8</f>
        <v>4596800</v>
      </c>
      <c r="AF8" s="49">
        <v>0</v>
      </c>
      <c r="AG8" s="49">
        <v>0</v>
      </c>
      <c r="AH8" s="49">
        <f>AE8+AF8-AG8</f>
        <v>4596800</v>
      </c>
    </row>
    <row r="9" spans="1:34">
      <c r="A9" s="914">
        <v>0</v>
      </c>
      <c r="B9" s="924">
        <f>40000000+792990000+600000</f>
        <v>833590000</v>
      </c>
      <c r="C9" s="924">
        <f>30360000+174600000+30360000+23000000+10000000+91000000+10000000+23000000+5000000+9200000+13800000+20920000</f>
        <v>441240000</v>
      </c>
      <c r="D9" s="914">
        <f>+A9+B9-C9</f>
        <v>392350000</v>
      </c>
      <c r="E9" s="921">
        <f>50000000+2280000+40000+521730000</f>
        <v>574050000</v>
      </c>
      <c r="F9" s="49">
        <f>7280000+17100000+92500000+22860000+7500000+46500000+30690000+31515000</f>
        <v>255945000</v>
      </c>
      <c r="G9" s="49">
        <f>+D9+E9-F9-605000000</f>
        <v>105455000</v>
      </c>
      <c r="H9" s="924">
        <f>4450000+6500000+36000000</f>
        <v>46950000</v>
      </c>
      <c r="I9" s="914">
        <f>47000000+15960000+13800000+17540000+21160000+11444000+9000000</f>
        <v>135904000</v>
      </c>
      <c r="J9" s="914">
        <f>+G9+H9-I9</f>
        <v>16501000</v>
      </c>
      <c r="K9" s="49">
        <f>3300000+800000+96000000+369270000</f>
        <v>469370000</v>
      </c>
      <c r="L9" s="49">
        <f>17600000+22760000+23140000+780000+11500000+770000+272600000+2370000</f>
        <v>351520000</v>
      </c>
      <c r="M9" s="878">
        <f>J9+K9-L9</f>
        <v>134351000</v>
      </c>
      <c r="N9" s="49">
        <v>8970000</v>
      </c>
      <c r="O9" s="49">
        <f>300000+100000+300000+25320000+500000</f>
        <v>26520000</v>
      </c>
      <c r="P9" s="878">
        <f>M9+N9-O9</f>
        <v>116801000</v>
      </c>
      <c r="Q9" s="49"/>
      <c r="R9" s="49">
        <f>3000000+100000+2000000+600000+6500000+15000000+1000000+21160000+28500000+1250000+1000000+200000</f>
        <v>80310000</v>
      </c>
      <c r="S9" s="49">
        <f>P9+Q9-R9</f>
        <v>36491000</v>
      </c>
      <c r="T9" s="49">
        <v>154440000</v>
      </c>
      <c r="U9" s="49">
        <f>240000+350000+18600000+13300000+30690000+30690000+30360000+200000+1000000</f>
        <v>125430000</v>
      </c>
      <c r="V9" s="49">
        <f>S9+T9-U9</f>
        <v>65501000</v>
      </c>
      <c r="W9" s="49">
        <f>1000000+736362000</f>
        <v>737362000</v>
      </c>
      <c r="X9" s="49">
        <f>100000+536000+180000+800000+13500000+30360000+2850000</f>
        <v>48326000</v>
      </c>
      <c r="Y9" s="49">
        <f>V9+W9-X9</f>
        <v>754537000</v>
      </c>
      <c r="Z9" s="49"/>
      <c r="AA9" s="49">
        <f>9200000+22080000+13950000+4750000+50000+340000+500000000+1000000+5660000+200000</f>
        <v>557230000</v>
      </c>
      <c r="AB9" s="49">
        <f>Y9+Z9-AA9</f>
        <v>197307000</v>
      </c>
      <c r="AC9" s="49">
        <f>6500000+2500000</f>
        <v>9000000</v>
      </c>
      <c r="AD9" s="49">
        <f>250000+30360000+27000000+29700000+29700000+1920000+250000+100000</f>
        <v>119280000</v>
      </c>
      <c r="AE9" s="49">
        <f>AB9+AC9-AD9</f>
        <v>87027000</v>
      </c>
      <c r="AF9" s="49">
        <v>0</v>
      </c>
      <c r="AG9" s="49">
        <f>33690000+2520000+300000</f>
        <v>36510000</v>
      </c>
      <c r="AH9" s="49">
        <f>AE9+AF9-AG9</f>
        <v>50517000</v>
      </c>
    </row>
    <row r="10" spans="1:34">
      <c r="A10" s="914">
        <v>0</v>
      </c>
      <c r="B10" s="914">
        <v>300</v>
      </c>
      <c r="C10" s="914"/>
      <c r="D10" s="914">
        <f>+A10+B10-C10</f>
        <v>300</v>
      </c>
      <c r="E10" s="49"/>
      <c r="F10" s="49">
        <v>100</v>
      </c>
      <c r="G10" s="49">
        <f>+D10+E10-F10</f>
        <v>200</v>
      </c>
      <c r="H10" s="914">
        <v>800</v>
      </c>
      <c r="I10" s="914"/>
      <c r="J10" s="914">
        <f>+G10+H10-I10</f>
        <v>1000</v>
      </c>
      <c r="K10" s="48"/>
      <c r="L10" s="48"/>
      <c r="M10" s="48">
        <v>1000</v>
      </c>
      <c r="N10" s="48"/>
      <c r="O10" s="48"/>
      <c r="P10" s="48">
        <v>1000</v>
      </c>
      <c r="Q10" s="48">
        <f>1000+100</f>
        <v>1100</v>
      </c>
      <c r="R10" s="48"/>
      <c r="S10" s="49">
        <f>P10+Q10-R10</f>
        <v>2100</v>
      </c>
      <c r="T10" s="48">
        <v>0</v>
      </c>
      <c r="U10" s="48">
        <v>800</v>
      </c>
      <c r="V10" s="49">
        <f>S10+T10-U10</f>
        <v>1300</v>
      </c>
      <c r="W10" s="48">
        <v>100</v>
      </c>
      <c r="X10" s="48">
        <v>100</v>
      </c>
      <c r="Y10" s="49">
        <f>V10+W10-X10</f>
        <v>1300</v>
      </c>
      <c r="Z10" s="48"/>
      <c r="AA10" s="48"/>
      <c r="AB10" s="49">
        <f>Y10+Z10-AA10</f>
        <v>1300</v>
      </c>
      <c r="AC10" s="48"/>
      <c r="AD10" s="48"/>
      <c r="AE10" s="49">
        <f>AB10+AC10-AD10</f>
        <v>1300</v>
      </c>
      <c r="AF10" s="49">
        <v>200</v>
      </c>
      <c r="AG10" s="49"/>
      <c r="AH10" s="49">
        <f>AE10+AF10-AG10</f>
        <v>1500</v>
      </c>
    </row>
    <row r="11" spans="1:34">
      <c r="B11" s="852"/>
      <c r="S11" s="661">
        <f>+S9-7001000</f>
        <v>29490000</v>
      </c>
      <c r="AB11" s="661">
        <f>+AB9-7001000</f>
        <v>190306000</v>
      </c>
    </row>
    <row r="12" spans="1:34">
      <c r="B12" s="661">
        <f>+Остатка!W47</f>
        <v>833590000</v>
      </c>
      <c r="C12" s="661">
        <f>+Остатка!X47</f>
        <v>437300000</v>
      </c>
      <c r="D12" s="661">
        <f>+Остатка!Y47</f>
        <v>396290000</v>
      </c>
      <c r="E12" s="661">
        <f>+Остатка!Z47</f>
        <v>574050000</v>
      </c>
      <c r="F12" s="661">
        <f>+Остатка!AA47</f>
        <v>265445000</v>
      </c>
      <c r="G12" s="661">
        <f>+Остатка!AB47</f>
        <v>99895000</v>
      </c>
      <c r="H12" s="661">
        <f>+Остатка!AC47</f>
        <v>46950000</v>
      </c>
      <c r="I12" s="661">
        <f>+Остатка!AD47</f>
        <v>135904000</v>
      </c>
      <c r="J12" s="661">
        <f>+Остатка!AE47</f>
        <v>10941000</v>
      </c>
      <c r="K12" s="661">
        <f>+Остатка!AF47</f>
        <v>469370000</v>
      </c>
      <c r="L12" s="661">
        <f>+Остатка!AG47</f>
        <v>351520000</v>
      </c>
      <c r="M12" s="661">
        <f>+Остатка!AH47</f>
        <v>128791000</v>
      </c>
      <c r="P12" s="661">
        <f>+P9-74000000-8250000</f>
        <v>34551000</v>
      </c>
      <c r="S12" s="661">
        <f>+S9-7001000</f>
        <v>29490000</v>
      </c>
      <c r="V12" s="661">
        <v>7001000</v>
      </c>
      <c r="Y12" s="661">
        <f>+Y9-7001000</f>
        <v>747536000</v>
      </c>
      <c r="AE12" s="661">
        <f>+AE9</f>
        <v>87027000</v>
      </c>
      <c r="AH12" s="3">
        <v>7001000</v>
      </c>
    </row>
    <row r="13" spans="1:34">
      <c r="C13" s="863">
        <f>+C12-C9</f>
        <v>-3940000</v>
      </c>
      <c r="D13" s="863">
        <v>375640000</v>
      </c>
      <c r="F13" s="661">
        <f>+F12-F9</f>
        <v>9500000</v>
      </c>
      <c r="G13" s="661">
        <f>+G12-G9</f>
        <v>-5560000</v>
      </c>
      <c r="I13" s="661">
        <f>+I9-I12</f>
        <v>0</v>
      </c>
      <c r="P13">
        <v>18050000</v>
      </c>
      <c r="S13">
        <f>19500000+690000</f>
        <v>20190000</v>
      </c>
      <c r="V13" s="661"/>
      <c r="Y13" s="661">
        <f>+Y15-Y12</f>
        <v>-745804000</v>
      </c>
      <c r="AB13" s="661">
        <f>+AB11-AB14</f>
        <v>9524000</v>
      </c>
      <c r="AE13" s="661">
        <f>+AE12-65800000+250000+100000</f>
        <v>21577000</v>
      </c>
      <c r="AH13" s="661">
        <f>+AH9-AH12</f>
        <v>43516000</v>
      </c>
    </row>
    <row r="14" spans="1:34">
      <c r="D14" s="863">
        <f>+D12-D13</f>
        <v>20650000</v>
      </c>
      <c r="F14">
        <f>500000+2000000+50000+3100000+5000000+2000000+5135000+5000000+5730000+1000000+2000000</f>
        <v>31515000</v>
      </c>
      <c r="I14">
        <f>5700000+144000+200000+2200000+2800000+200000+200000</f>
        <v>11444000</v>
      </c>
      <c r="L14">
        <f>2000000+100000+270000</f>
        <v>2370000</v>
      </c>
      <c r="P14" s="661">
        <f>+P12-P13</f>
        <v>16501000</v>
      </c>
      <c r="S14" s="661">
        <f>+S12-S13</f>
        <v>9300000</v>
      </c>
      <c r="V14" s="661">
        <f>V9</f>
        <v>65501000</v>
      </c>
      <c r="AB14">
        <f>145000000+25000000+10500000+282000</f>
        <v>180782000</v>
      </c>
      <c r="AE14" s="661">
        <f>+AE13-7001000</f>
        <v>14576000</v>
      </c>
    </row>
    <row r="15" spans="1:34">
      <c r="D15" s="863">
        <f>+D14-7000000</f>
        <v>13650000</v>
      </c>
      <c r="N15">
        <f>6900000+1250000+100000</f>
        <v>8250000</v>
      </c>
      <c r="P15" s="925">
        <f>+P9-P14</f>
        <v>100300000</v>
      </c>
      <c r="V15" s="661">
        <f>V14-V12</f>
        <v>58500000</v>
      </c>
      <c r="Y15">
        <v>1732000</v>
      </c>
      <c r="AB15" s="661">
        <f>+AB9-AB14</f>
        <v>16525000</v>
      </c>
      <c r="AE15" s="661">
        <f>+AE12-7001000</f>
        <v>80026000</v>
      </c>
      <c r="AH15">
        <f>34260000-34316000</f>
        <v>-56000</v>
      </c>
    </row>
    <row r="16" spans="1:34">
      <c r="N16">
        <f>+N15-8970000</f>
        <v>-720000</v>
      </c>
      <c r="P16">
        <f>74000000+8250000+18550000</f>
        <v>100800000</v>
      </c>
      <c r="AB16" s="661">
        <f>+AB15-7001000</f>
        <v>9524000</v>
      </c>
      <c r="AE16">
        <f>4260000+30000000</f>
        <v>34260000</v>
      </c>
    </row>
    <row r="17" spans="20:31">
      <c r="AA17">
        <f>9200+22080+13950+4750+390+500000</f>
        <v>550370</v>
      </c>
      <c r="AE17">
        <f>+AE16+33690000</f>
        <v>67950000</v>
      </c>
    </row>
    <row r="18" spans="20:31">
      <c r="AE18" s="661">
        <f>+AE9-AE17</f>
        <v>19077000</v>
      </c>
    </row>
    <row r="19" spans="20:31">
      <c r="AE19" s="661">
        <f>+AE18-1255000-1255000</f>
        <v>16567000</v>
      </c>
    </row>
    <row r="22" spans="20:31">
      <c r="T22">
        <v>3300000</v>
      </c>
    </row>
    <row r="23" spans="20:31">
      <c r="T23" s="661">
        <f>V8-T22</f>
        <v>8000</v>
      </c>
    </row>
    <row r="24" spans="20:31">
      <c r="X24" s="661">
        <f>SUM(X25:X28)</f>
        <v>1682000</v>
      </c>
      <c r="Y24" s="661">
        <f>Y9-7001000</f>
        <v>747536000</v>
      </c>
    </row>
    <row r="25" spans="20:31">
      <c r="X25" s="3">
        <v>160000</v>
      </c>
      <c r="Y25" s="661"/>
    </row>
    <row r="26" spans="20:31">
      <c r="X26" s="3">
        <v>450000</v>
      </c>
    </row>
    <row r="27" spans="20:31">
      <c r="X27" s="3">
        <v>1000000</v>
      </c>
    </row>
    <row r="28" spans="20:31">
      <c r="X28" s="3">
        <v>72000</v>
      </c>
    </row>
  </sheetData>
  <mergeCells count="7">
    <mergeCell ref="AC6:AD6"/>
    <mergeCell ref="AF6:AG6"/>
    <mergeCell ref="N6:O6"/>
    <mergeCell ref="Q6:R6"/>
    <mergeCell ref="T6:U6"/>
    <mergeCell ref="W6:X6"/>
    <mergeCell ref="Z6:AA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343"/>
  <sheetViews>
    <sheetView topLeftCell="A87" workbookViewId="0">
      <selection activeCell="B129" sqref="B129"/>
    </sheetView>
  </sheetViews>
  <sheetFormatPr defaultRowHeight="14.4"/>
  <cols>
    <col min="2" max="2" width="30.44140625" bestFit="1" customWidth="1"/>
    <col min="3" max="4" width="16.21875" style="3" bestFit="1" customWidth="1"/>
    <col min="5" max="5" width="11.5546875" bestFit="1" customWidth="1"/>
    <col min="6" max="6" width="23.109375" bestFit="1" customWidth="1"/>
    <col min="7" max="8" width="16.21875" style="3" bestFit="1" customWidth="1"/>
    <col min="9" max="10" width="15.21875" style="3" bestFit="1" customWidth="1"/>
    <col min="11" max="11" width="10.6640625" bestFit="1" customWidth="1"/>
    <col min="12" max="12" width="15.21875" bestFit="1" customWidth="1"/>
  </cols>
  <sheetData>
    <row r="2" spans="1:12">
      <c r="G2" s="1570" t="s">
        <v>3379</v>
      </c>
      <c r="H2" s="1571"/>
      <c r="I2" s="1570" t="s">
        <v>3412</v>
      </c>
      <c r="J2" s="1571"/>
      <c r="K2" s="1572" t="s">
        <v>3380</v>
      </c>
      <c r="L2" s="1573"/>
    </row>
    <row r="3" spans="1:12">
      <c r="E3" s="927" t="s">
        <v>3407</v>
      </c>
      <c r="F3" s="927" t="s">
        <v>3408</v>
      </c>
      <c r="G3" s="928" t="s">
        <v>3373</v>
      </c>
      <c r="H3" s="928" t="s">
        <v>3374</v>
      </c>
      <c r="I3" s="928" t="s">
        <v>3373</v>
      </c>
      <c r="J3" s="928" t="s">
        <v>3374</v>
      </c>
      <c r="K3" s="928" t="s">
        <v>3373</v>
      </c>
      <c r="L3" s="928" t="s">
        <v>3374</v>
      </c>
    </row>
    <row r="4" spans="1:12">
      <c r="A4">
        <v>1</v>
      </c>
      <c r="B4" s="929" t="s">
        <v>3406</v>
      </c>
      <c r="C4" s="930">
        <v>10000000</v>
      </c>
      <c r="D4" s="930">
        <v>9400000</v>
      </c>
      <c r="E4" s="931">
        <v>45860</v>
      </c>
      <c r="F4" s="931">
        <v>45860</v>
      </c>
      <c r="H4" s="3">
        <v>9400000</v>
      </c>
      <c r="I4" s="3">
        <v>20000000</v>
      </c>
      <c r="K4">
        <v>3000</v>
      </c>
    </row>
    <row r="5" spans="1:12">
      <c r="A5">
        <f>+A4+1</f>
        <v>2</v>
      </c>
      <c r="B5" s="929" t="s">
        <v>3409</v>
      </c>
      <c r="C5" s="930">
        <v>25000000</v>
      </c>
      <c r="D5" s="930">
        <f>2520000+19145000+1085000</f>
        <v>22750000</v>
      </c>
      <c r="E5" s="931">
        <v>45860</v>
      </c>
      <c r="L5">
        <v>200</v>
      </c>
    </row>
    <row r="6" spans="1:12">
      <c r="A6">
        <f t="shared" ref="A6:A21" si="0">+A5+1</f>
        <v>3</v>
      </c>
      <c r="B6" s="929" t="s">
        <v>3410</v>
      </c>
      <c r="C6" s="930">
        <v>21000000</v>
      </c>
      <c r="D6" s="930">
        <v>19320000</v>
      </c>
      <c r="E6" s="931">
        <v>45860</v>
      </c>
    </row>
    <row r="7" spans="1:12">
      <c r="A7">
        <f t="shared" si="0"/>
        <v>4</v>
      </c>
      <c r="B7" s="929" t="s">
        <v>3411</v>
      </c>
      <c r="C7" s="930">
        <v>23000000</v>
      </c>
      <c r="D7" s="930">
        <v>21390000</v>
      </c>
      <c r="E7" s="931">
        <v>45860</v>
      </c>
    </row>
    <row r="8" spans="1:12">
      <c r="A8">
        <f t="shared" si="0"/>
        <v>5</v>
      </c>
      <c r="H8" s="3">
        <v>500000</v>
      </c>
    </row>
    <row r="9" spans="1:12">
      <c r="A9">
        <f t="shared" si="0"/>
        <v>6</v>
      </c>
      <c r="H9" s="3">
        <v>87000</v>
      </c>
    </row>
    <row r="10" spans="1:12">
      <c r="A10">
        <f t="shared" si="0"/>
        <v>7</v>
      </c>
      <c r="H10" s="3">
        <v>900000</v>
      </c>
      <c r="L10">
        <v>1000</v>
      </c>
    </row>
    <row r="11" spans="1:12">
      <c r="A11">
        <f t="shared" si="0"/>
        <v>8</v>
      </c>
      <c r="J11" s="3">
        <v>300000</v>
      </c>
    </row>
    <row r="12" spans="1:12">
      <c r="A12">
        <f t="shared" si="0"/>
        <v>9</v>
      </c>
      <c r="J12" s="3">
        <v>300000</v>
      </c>
    </row>
    <row r="13" spans="1:12">
      <c r="A13">
        <f t="shared" si="0"/>
        <v>10</v>
      </c>
      <c r="H13" s="3">
        <f>SUM(H4:H12)</f>
        <v>10887000</v>
      </c>
      <c r="I13" s="3">
        <f>SUM(I4:I12)</f>
        <v>20000000</v>
      </c>
      <c r="J13" s="3">
        <f>SUM(J4:J12)</f>
        <v>600000</v>
      </c>
      <c r="K13" s="3">
        <f>SUM(K4:K12)</f>
        <v>3000</v>
      </c>
      <c r="L13" s="3">
        <f>SUM(L4:L12)</f>
        <v>1200</v>
      </c>
    </row>
    <row r="14" spans="1:12">
      <c r="A14">
        <f t="shared" si="0"/>
        <v>11</v>
      </c>
      <c r="I14" s="3">
        <f>+I13-H13</f>
        <v>9113000</v>
      </c>
    </row>
    <row r="15" spans="1:12">
      <c r="A15">
        <f t="shared" si="0"/>
        <v>12</v>
      </c>
    </row>
    <row r="16" spans="1:12">
      <c r="A16">
        <f t="shared" si="0"/>
        <v>13</v>
      </c>
    </row>
    <row r="17" spans="1:12">
      <c r="A17">
        <f t="shared" si="0"/>
        <v>14</v>
      </c>
    </row>
    <row r="18" spans="1:12">
      <c r="A18">
        <f t="shared" si="0"/>
        <v>15</v>
      </c>
    </row>
    <row r="19" spans="1:12">
      <c r="A19">
        <f t="shared" si="0"/>
        <v>16</v>
      </c>
    </row>
    <row r="20" spans="1:12">
      <c r="A20">
        <f t="shared" si="0"/>
        <v>17</v>
      </c>
      <c r="G20" s="3">
        <v>11000000</v>
      </c>
      <c r="I20" s="3">
        <v>2700000</v>
      </c>
      <c r="K20">
        <v>1700</v>
      </c>
    </row>
    <row r="21" spans="1:12">
      <c r="A21">
        <f t="shared" si="0"/>
        <v>18</v>
      </c>
      <c r="E21" s="927" t="s">
        <v>3407</v>
      </c>
      <c r="F21" s="927" t="s">
        <v>3408</v>
      </c>
      <c r="G21" s="928" t="s">
        <v>3373</v>
      </c>
      <c r="H21" s="928" t="s">
        <v>3374</v>
      </c>
      <c r="I21" s="928" t="s">
        <v>3373</v>
      </c>
      <c r="J21" s="928" t="s">
        <v>3374</v>
      </c>
      <c r="K21" s="928" t="s">
        <v>3373</v>
      </c>
      <c r="L21" s="928" t="s">
        <v>3374</v>
      </c>
    </row>
    <row r="22" spans="1:12">
      <c r="A22">
        <v>1</v>
      </c>
      <c r="B22" s="929" t="s">
        <v>3413</v>
      </c>
      <c r="C22" s="930">
        <v>33000000</v>
      </c>
      <c r="D22" s="930">
        <v>29700000</v>
      </c>
      <c r="E22" s="931">
        <v>45861</v>
      </c>
      <c r="G22" s="3">
        <v>30000000</v>
      </c>
      <c r="H22" s="3">
        <v>29700000</v>
      </c>
      <c r="I22" s="3">
        <v>10000000</v>
      </c>
      <c r="J22" s="3">
        <v>11000000</v>
      </c>
    </row>
    <row r="23" spans="1:12">
      <c r="A23">
        <f>+A22+1</f>
        <v>2</v>
      </c>
      <c r="B23" s="929" t="s">
        <v>3422</v>
      </c>
      <c r="C23" s="930">
        <v>33000000</v>
      </c>
      <c r="D23" s="930">
        <v>30690000</v>
      </c>
      <c r="E23" s="931">
        <v>45861</v>
      </c>
      <c r="G23" s="3">
        <v>64025000</v>
      </c>
      <c r="L23" s="3">
        <v>19145000</v>
      </c>
    </row>
    <row r="24" spans="1:12">
      <c r="A24">
        <f t="shared" ref="A24:A33" si="1">+A23+1</f>
        <v>3</v>
      </c>
      <c r="B24" s="929" t="s">
        <v>3414</v>
      </c>
      <c r="C24" s="930">
        <v>33000000</v>
      </c>
      <c r="D24" s="930">
        <v>30690000</v>
      </c>
      <c r="E24" s="931">
        <v>45861</v>
      </c>
      <c r="G24" s="3">
        <v>11000000</v>
      </c>
      <c r="H24" s="3">
        <v>19320000</v>
      </c>
    </row>
    <row r="25" spans="1:12">
      <c r="A25">
        <f t="shared" si="1"/>
        <v>4</v>
      </c>
      <c r="B25" s="929" t="s">
        <v>3415</v>
      </c>
      <c r="C25" s="930">
        <v>21000000</v>
      </c>
      <c r="D25" s="930">
        <v>19320000</v>
      </c>
      <c r="E25" s="931">
        <v>45861</v>
      </c>
      <c r="H25" s="3">
        <v>21390000</v>
      </c>
    </row>
    <row r="26" spans="1:12">
      <c r="A26">
        <f t="shared" si="1"/>
        <v>5</v>
      </c>
      <c r="B26" s="929" t="s">
        <v>3416</v>
      </c>
      <c r="C26" s="930">
        <v>6310000</v>
      </c>
      <c r="D26" s="930">
        <v>5665000</v>
      </c>
      <c r="E26" s="931">
        <v>45861</v>
      </c>
      <c r="H26" s="3">
        <v>29700000</v>
      </c>
    </row>
    <row r="27" spans="1:12">
      <c r="A27">
        <f t="shared" si="1"/>
        <v>6</v>
      </c>
      <c r="B27" s="929" t="s">
        <v>3417</v>
      </c>
      <c r="C27" s="930">
        <v>33000000</v>
      </c>
      <c r="D27" s="930">
        <v>30360000</v>
      </c>
      <c r="E27" s="931">
        <v>45861</v>
      </c>
    </row>
    <row r="28" spans="1:12">
      <c r="A28">
        <f t="shared" si="1"/>
        <v>7</v>
      </c>
      <c r="B28" s="929" t="s">
        <v>3418</v>
      </c>
      <c r="C28" s="930">
        <v>33000000</v>
      </c>
      <c r="D28" s="930">
        <v>30360000</v>
      </c>
      <c r="E28" s="931">
        <v>45861</v>
      </c>
    </row>
    <row r="29" spans="1:12">
      <c r="A29">
        <f t="shared" si="1"/>
        <v>8</v>
      </c>
      <c r="B29" s="927" t="s">
        <v>3419</v>
      </c>
      <c r="C29" s="3">
        <v>18000000</v>
      </c>
      <c r="E29" s="907">
        <v>45861</v>
      </c>
    </row>
    <row r="30" spans="1:12">
      <c r="A30">
        <f t="shared" si="1"/>
        <v>9</v>
      </c>
      <c r="B30" s="929" t="s">
        <v>3420</v>
      </c>
      <c r="C30" s="930">
        <v>33000000</v>
      </c>
      <c r="D30" s="930">
        <v>29700000</v>
      </c>
      <c r="E30" s="931">
        <v>45861</v>
      </c>
    </row>
    <row r="31" spans="1:12">
      <c r="A31">
        <f t="shared" si="1"/>
        <v>10</v>
      </c>
      <c r="B31" s="929" t="s">
        <v>3421</v>
      </c>
      <c r="C31" s="930">
        <v>9000000</v>
      </c>
      <c r="D31" s="930">
        <v>8550000</v>
      </c>
      <c r="E31" s="931">
        <v>45861</v>
      </c>
    </row>
    <row r="32" spans="1:12">
      <c r="A32">
        <f t="shared" si="1"/>
        <v>11</v>
      </c>
      <c r="H32" s="3">
        <v>350000</v>
      </c>
      <c r="J32" s="3">
        <v>300000</v>
      </c>
    </row>
    <row r="33" spans="1:12">
      <c r="A33">
        <f t="shared" si="1"/>
        <v>12</v>
      </c>
      <c r="H33" s="3">
        <v>2250000</v>
      </c>
    </row>
    <row r="34" spans="1:12">
      <c r="H34" s="3">
        <v>1900000</v>
      </c>
    </row>
    <row r="35" spans="1:12">
      <c r="H35" s="3">
        <v>35000</v>
      </c>
    </row>
    <row r="36" spans="1:12">
      <c r="H36" s="3">
        <v>10000000</v>
      </c>
    </row>
    <row r="37" spans="1:12">
      <c r="G37" s="3">
        <f>SUM(G22:G36)</f>
        <v>105025000</v>
      </c>
      <c r="H37" s="3">
        <f>SUM(H22:H36)</f>
        <v>114645000</v>
      </c>
      <c r="I37" s="930">
        <f>+G20+G37-H37</f>
        <v>1380000</v>
      </c>
      <c r="J37" s="930">
        <f>+I20+I22-J22-J32</f>
        <v>1400000</v>
      </c>
    </row>
    <row r="38" spans="1:12">
      <c r="B38" s="907">
        <v>45862</v>
      </c>
      <c r="E38" s="927" t="s">
        <v>3407</v>
      </c>
      <c r="F38" s="927" t="s">
        <v>3408</v>
      </c>
      <c r="G38" s="928" t="s">
        <v>3373</v>
      </c>
      <c r="H38" s="928" t="s">
        <v>3374</v>
      </c>
      <c r="I38" s="928" t="s">
        <v>3373</v>
      </c>
      <c r="J38" s="928" t="s">
        <v>3374</v>
      </c>
      <c r="K38" s="928" t="s">
        <v>3373</v>
      </c>
      <c r="L38" s="928" t="s">
        <v>3374</v>
      </c>
    </row>
    <row r="39" spans="1:12">
      <c r="A39">
        <v>1</v>
      </c>
      <c r="B39" s="929" t="s">
        <v>3423</v>
      </c>
      <c r="C39" s="930">
        <v>33000000</v>
      </c>
      <c r="D39" s="930">
        <v>30690000</v>
      </c>
      <c r="E39" s="933"/>
      <c r="F39" s="927" t="s">
        <v>3433</v>
      </c>
      <c r="G39" s="3">
        <v>140000000</v>
      </c>
      <c r="H39" s="3">
        <v>30690000</v>
      </c>
    </row>
    <row r="40" spans="1:12">
      <c r="A40">
        <f>+A39+1</f>
        <v>2</v>
      </c>
      <c r="B40" s="929" t="s">
        <v>3424</v>
      </c>
      <c r="C40" s="930">
        <v>30000000</v>
      </c>
      <c r="D40" s="930">
        <v>27900000</v>
      </c>
      <c r="E40" s="933"/>
      <c r="F40" s="927" t="s">
        <v>3434</v>
      </c>
      <c r="G40" s="3">
        <v>14000000</v>
      </c>
      <c r="H40" s="3">
        <v>30690000</v>
      </c>
    </row>
    <row r="41" spans="1:12">
      <c r="A41">
        <f t="shared" ref="A41:A48" si="2">+A40+1</f>
        <v>3</v>
      </c>
      <c r="B41" s="929" t="s">
        <v>3425</v>
      </c>
      <c r="C41" s="930">
        <v>33000000</v>
      </c>
      <c r="D41" s="930">
        <f>5000000+24700000</f>
        <v>29700000</v>
      </c>
      <c r="E41" s="933"/>
      <c r="F41" s="927" t="s">
        <v>3435</v>
      </c>
      <c r="G41" s="3">
        <v>60000000</v>
      </c>
      <c r="H41" s="3">
        <v>5665000</v>
      </c>
    </row>
    <row r="42" spans="1:12">
      <c r="A42">
        <f t="shared" si="2"/>
        <v>4</v>
      </c>
      <c r="B42" s="929" t="s">
        <v>3426</v>
      </c>
      <c r="C42" s="930">
        <v>27000000</v>
      </c>
      <c r="D42" s="930">
        <v>24300000</v>
      </c>
      <c r="E42" s="933"/>
      <c r="H42" s="3">
        <v>30360000</v>
      </c>
    </row>
    <row r="43" spans="1:12">
      <c r="A43">
        <f t="shared" si="2"/>
        <v>5</v>
      </c>
      <c r="B43" s="929" t="s">
        <v>3427</v>
      </c>
      <c r="C43" s="930">
        <v>30000000</v>
      </c>
      <c r="D43" s="930">
        <f>24000000+600000-6000000+9000000</f>
        <v>27600000</v>
      </c>
      <c r="E43" s="933"/>
      <c r="H43" s="3">
        <v>30360000</v>
      </c>
    </row>
    <row r="44" spans="1:12">
      <c r="A44">
        <f t="shared" si="2"/>
        <v>6</v>
      </c>
      <c r="B44" s="929" t="s">
        <v>3428</v>
      </c>
      <c r="C44" s="930">
        <v>33000000</v>
      </c>
      <c r="D44" s="930">
        <f>27000000+3360000</f>
        <v>30360000</v>
      </c>
      <c r="E44" s="933"/>
      <c r="H44" s="3">
        <v>8550000</v>
      </c>
    </row>
    <row r="45" spans="1:12">
      <c r="A45">
        <f t="shared" si="2"/>
        <v>7</v>
      </c>
      <c r="B45" s="929" t="s">
        <v>3429</v>
      </c>
      <c r="C45" s="930">
        <v>30000000</v>
      </c>
      <c r="D45" s="930">
        <f>25400000+2200000</f>
        <v>27600000</v>
      </c>
      <c r="E45" s="933"/>
      <c r="H45" s="3">
        <v>5000000</v>
      </c>
    </row>
    <row r="46" spans="1:12">
      <c r="A46">
        <f t="shared" si="2"/>
        <v>8</v>
      </c>
      <c r="B46" s="929" t="s">
        <v>3430</v>
      </c>
      <c r="C46" s="930">
        <v>33000000</v>
      </c>
      <c r="D46" s="930">
        <f>23410000+7280000</f>
        <v>30690000</v>
      </c>
      <c r="E46" s="933"/>
      <c r="H46" s="3">
        <v>24000000</v>
      </c>
    </row>
    <row r="47" spans="1:12">
      <c r="A47">
        <f t="shared" si="2"/>
        <v>9</v>
      </c>
      <c r="B47" s="929" t="s">
        <v>3431</v>
      </c>
      <c r="C47" s="930">
        <v>50000000</v>
      </c>
      <c r="D47" s="930">
        <v>45000000</v>
      </c>
      <c r="E47" s="933"/>
      <c r="H47" s="3">
        <v>25400000</v>
      </c>
    </row>
    <row r="48" spans="1:12">
      <c r="A48">
        <f t="shared" si="2"/>
        <v>10</v>
      </c>
      <c r="B48" s="929" t="s">
        <v>3432</v>
      </c>
      <c r="C48" s="930">
        <v>35000000</v>
      </c>
      <c r="D48" s="930">
        <v>32200000</v>
      </c>
      <c r="E48" s="933"/>
    </row>
    <row r="50" spans="1:12">
      <c r="J50" s="3">
        <v>500000</v>
      </c>
    </row>
    <row r="51" spans="1:12">
      <c r="H51" s="3">
        <v>1400000</v>
      </c>
    </row>
    <row r="52" spans="1:12">
      <c r="H52" s="3">
        <v>100000</v>
      </c>
    </row>
    <row r="53" spans="1:12">
      <c r="H53" s="3">
        <v>100000</v>
      </c>
    </row>
    <row r="54" spans="1:12">
      <c r="H54" s="3">
        <v>100000</v>
      </c>
    </row>
    <row r="55" spans="1:12">
      <c r="H55" s="3">
        <v>1000000</v>
      </c>
    </row>
    <row r="56" spans="1:12">
      <c r="H56" s="3">
        <v>20000000</v>
      </c>
    </row>
    <row r="57" spans="1:12">
      <c r="G57" s="3">
        <f>SUM(G39:G56)</f>
        <v>214000000</v>
      </c>
      <c r="H57" s="3">
        <f>SUM(H39:H56)</f>
        <v>213415000</v>
      </c>
      <c r="I57" s="930">
        <f>+I37+G57-H57</f>
        <v>1965000</v>
      </c>
      <c r="J57" s="930">
        <f>+J37-J50</f>
        <v>900000</v>
      </c>
    </row>
    <row r="58" spans="1:12">
      <c r="B58" s="907">
        <v>45863</v>
      </c>
      <c r="E58" s="927" t="s">
        <v>3407</v>
      </c>
      <c r="F58" s="927" t="s">
        <v>3408</v>
      </c>
      <c r="G58" s="928" t="s">
        <v>3373</v>
      </c>
      <c r="H58" s="928" t="s">
        <v>3374</v>
      </c>
      <c r="I58" s="928" t="s">
        <v>3373</v>
      </c>
      <c r="J58" s="928" t="s">
        <v>3374</v>
      </c>
      <c r="K58" s="928" t="s">
        <v>3373</v>
      </c>
      <c r="L58" s="928" t="s">
        <v>3374</v>
      </c>
    </row>
    <row r="59" spans="1:12">
      <c r="A59">
        <v>1</v>
      </c>
      <c r="B59" s="929" t="s">
        <v>3436</v>
      </c>
      <c r="C59" s="930">
        <v>33000000</v>
      </c>
      <c r="D59" s="930">
        <v>30360000</v>
      </c>
      <c r="E59" s="933"/>
      <c r="F59" s="927" t="s">
        <v>3441</v>
      </c>
      <c r="G59" s="3">
        <v>1550000</v>
      </c>
      <c r="H59" s="3">
        <v>19320000</v>
      </c>
      <c r="I59" s="3">
        <v>3360000</v>
      </c>
    </row>
    <row r="60" spans="1:12">
      <c r="A60">
        <f>+A59+1</f>
        <v>2</v>
      </c>
      <c r="B60" s="929" t="s">
        <v>3437</v>
      </c>
      <c r="C60" s="930">
        <v>38000000</v>
      </c>
      <c r="D60" s="930">
        <v>34960000</v>
      </c>
      <c r="E60" s="933"/>
      <c r="F60" s="927" t="s">
        <v>3442</v>
      </c>
      <c r="G60" s="3">
        <v>1000000</v>
      </c>
      <c r="H60" s="3">
        <v>30690000</v>
      </c>
    </row>
    <row r="61" spans="1:12">
      <c r="A61">
        <f>+A60+1</f>
        <v>3</v>
      </c>
      <c r="B61" s="929" t="s">
        <v>3438</v>
      </c>
      <c r="C61" s="930">
        <v>33000000</v>
      </c>
      <c r="D61" s="930">
        <v>30360000</v>
      </c>
      <c r="E61" s="933"/>
      <c r="F61" s="927" t="s">
        <v>3443</v>
      </c>
      <c r="G61" s="3">
        <v>1260000</v>
      </c>
      <c r="H61" s="3">
        <v>27900000</v>
      </c>
    </row>
    <row r="62" spans="1:12">
      <c r="A62">
        <f>+A61+1</f>
        <v>4</v>
      </c>
      <c r="B62" s="929" t="s">
        <v>3439</v>
      </c>
      <c r="C62" s="930">
        <v>33000000</v>
      </c>
      <c r="D62" s="930">
        <v>30360000</v>
      </c>
      <c r="E62" s="933"/>
      <c r="F62" s="927" t="s">
        <v>3433</v>
      </c>
      <c r="G62" s="3">
        <v>198000000</v>
      </c>
      <c r="H62" s="3">
        <v>24700000</v>
      </c>
    </row>
    <row r="63" spans="1:12">
      <c r="A63">
        <f>+A62+1</f>
        <v>5</v>
      </c>
      <c r="B63" s="929" t="s">
        <v>3440</v>
      </c>
      <c r="C63" s="930">
        <v>33000000</v>
      </c>
      <c r="D63" s="930">
        <v>30360000</v>
      </c>
      <c r="E63" s="933"/>
      <c r="F63" s="927" t="s">
        <v>3444</v>
      </c>
      <c r="G63" s="3">
        <v>77000000</v>
      </c>
      <c r="H63" s="3">
        <v>24300000</v>
      </c>
    </row>
    <row r="64" spans="1:12">
      <c r="B64" s="927"/>
      <c r="F64" s="927"/>
      <c r="H64" s="3">
        <v>600000</v>
      </c>
    </row>
    <row r="65" spans="2:10">
      <c r="B65" s="927"/>
      <c r="F65" s="927"/>
      <c r="H65" s="3">
        <v>27000000</v>
      </c>
    </row>
    <row r="66" spans="2:10">
      <c r="B66" s="927"/>
      <c r="F66" s="927"/>
      <c r="H66" s="3">
        <v>2200000</v>
      </c>
    </row>
    <row r="67" spans="2:10">
      <c r="B67" s="927"/>
      <c r="F67" s="927"/>
      <c r="H67" s="3">
        <v>23410000</v>
      </c>
    </row>
    <row r="68" spans="2:10">
      <c r="B68" s="927"/>
      <c r="F68" s="927"/>
      <c r="H68" s="3">
        <v>32200000</v>
      </c>
    </row>
    <row r="69" spans="2:10">
      <c r="B69" s="927"/>
      <c r="F69" s="927"/>
      <c r="H69" s="3">
        <v>30360000</v>
      </c>
    </row>
    <row r="70" spans="2:10">
      <c r="B70" s="927"/>
      <c r="F70" s="927"/>
      <c r="H70" s="3">
        <v>34960000</v>
      </c>
    </row>
    <row r="71" spans="2:10">
      <c r="B71" s="927"/>
      <c r="F71" s="927"/>
    </row>
    <row r="72" spans="2:10">
      <c r="B72" s="927"/>
      <c r="F72" s="927"/>
    </row>
    <row r="73" spans="2:10">
      <c r="H73" s="3">
        <v>200000</v>
      </c>
    </row>
    <row r="74" spans="2:10">
      <c r="H74" s="3">
        <v>100000</v>
      </c>
    </row>
    <row r="75" spans="2:10">
      <c r="H75" s="3">
        <v>510000</v>
      </c>
    </row>
    <row r="76" spans="2:10">
      <c r="H76" s="3">
        <v>50000</v>
      </c>
    </row>
    <row r="77" spans="2:10">
      <c r="H77" s="513">
        <v>860000</v>
      </c>
      <c r="I77" s="3">
        <v>3360000</v>
      </c>
    </row>
    <row r="78" spans="2:10">
      <c r="H78" s="513">
        <v>540000</v>
      </c>
      <c r="I78" s="3">
        <v>338000</v>
      </c>
    </row>
    <row r="79" spans="2:10">
      <c r="I79" s="3">
        <v>200000</v>
      </c>
    </row>
    <row r="80" spans="2:10">
      <c r="G80" s="3">
        <f>SUM(G59:G79)</f>
        <v>278810000</v>
      </c>
      <c r="H80" s="3">
        <f>SUM(H59:H79)</f>
        <v>279900000</v>
      </c>
      <c r="I80" s="3">
        <f>+I57+G80-H80</f>
        <v>875000</v>
      </c>
      <c r="J80" s="3">
        <f>+J57+I59-I77-I78-I79</f>
        <v>362000</v>
      </c>
    </row>
    <row r="81" spans="1:12">
      <c r="I81" s="3">
        <f>+I80-975000</f>
        <v>-100000</v>
      </c>
    </row>
    <row r="82" spans="1:12">
      <c r="C82" s="934">
        <v>45864</v>
      </c>
      <c r="E82" s="927" t="s">
        <v>3407</v>
      </c>
      <c r="F82" s="927" t="s">
        <v>3408</v>
      </c>
      <c r="G82" s="928" t="s">
        <v>3373</v>
      </c>
      <c r="H82" s="928" t="s">
        <v>3374</v>
      </c>
      <c r="I82" s="928" t="s">
        <v>3373</v>
      </c>
      <c r="J82" s="928" t="s">
        <v>3374</v>
      </c>
      <c r="K82" s="928" t="s">
        <v>3373</v>
      </c>
      <c r="L82" s="928" t="s">
        <v>3374</v>
      </c>
    </row>
    <row r="83" spans="1:12">
      <c r="A83">
        <v>1</v>
      </c>
      <c r="B83" s="929" t="s">
        <v>3445</v>
      </c>
      <c r="C83" s="930">
        <v>10000000</v>
      </c>
      <c r="D83" s="930">
        <v>9500000</v>
      </c>
      <c r="F83" s="927" t="s">
        <v>3447</v>
      </c>
      <c r="G83" s="3">
        <v>17000000</v>
      </c>
      <c r="H83" s="3">
        <v>9500000</v>
      </c>
      <c r="J83" s="3">
        <v>300000</v>
      </c>
    </row>
    <row r="84" spans="1:12">
      <c r="A84">
        <v>2</v>
      </c>
      <c r="B84" s="929" t="s">
        <v>3446</v>
      </c>
      <c r="C84" s="930">
        <v>100000000</v>
      </c>
      <c r="D84" s="930">
        <f>70000000+22000000</f>
        <v>92000000</v>
      </c>
      <c r="F84" s="927" t="s">
        <v>3448</v>
      </c>
      <c r="H84" s="3">
        <v>70000000</v>
      </c>
      <c r="J84" s="3">
        <v>37500</v>
      </c>
      <c r="K84">
        <v>3000</v>
      </c>
      <c r="L84" s="3">
        <v>2200</v>
      </c>
    </row>
    <row r="85" spans="1:12">
      <c r="F85" s="927" t="s">
        <v>3449</v>
      </c>
      <c r="G85" s="3">
        <v>1500000</v>
      </c>
      <c r="H85" s="3">
        <v>2300000</v>
      </c>
    </row>
    <row r="86" spans="1:12">
      <c r="F86" s="927" t="s">
        <v>3450</v>
      </c>
      <c r="G86" s="3">
        <v>70000000</v>
      </c>
      <c r="L86">
        <v>100</v>
      </c>
    </row>
    <row r="87" spans="1:12">
      <c r="F87" s="927" t="s">
        <v>3451</v>
      </c>
      <c r="G87" s="3">
        <v>1270000</v>
      </c>
    </row>
    <row r="93" spans="1:12">
      <c r="H93" s="3">
        <v>100000</v>
      </c>
    </row>
    <row r="94" spans="1:12">
      <c r="H94" s="3">
        <v>100000</v>
      </c>
    </row>
    <row r="95" spans="1:12">
      <c r="H95" s="3">
        <v>600000</v>
      </c>
    </row>
    <row r="96" spans="1:12">
      <c r="H96" s="3">
        <v>100000</v>
      </c>
    </row>
    <row r="97" spans="1:12">
      <c r="H97" s="3">
        <v>5000000</v>
      </c>
    </row>
    <row r="98" spans="1:12">
      <c r="H98" s="3">
        <v>100000</v>
      </c>
    </row>
    <row r="99" spans="1:12">
      <c r="H99" s="3">
        <v>100000</v>
      </c>
    </row>
    <row r="100" spans="1:12">
      <c r="H100" s="3">
        <v>1600000</v>
      </c>
    </row>
    <row r="102" spans="1:12">
      <c r="G102" s="3">
        <f>SUM(G83:G101)</f>
        <v>89770000</v>
      </c>
      <c r="H102" s="3">
        <f>SUM(H83:H101)</f>
        <v>89500000</v>
      </c>
      <c r="I102" s="3">
        <f>+I80+G102-H102</f>
        <v>1145000</v>
      </c>
      <c r="J102" s="3">
        <f>+J80-J83-J84</f>
        <v>24500</v>
      </c>
      <c r="K102">
        <v>900</v>
      </c>
    </row>
    <row r="104" spans="1:12">
      <c r="C104" s="934">
        <v>45866</v>
      </c>
      <c r="E104" s="927" t="s">
        <v>3407</v>
      </c>
      <c r="F104" s="927" t="s">
        <v>3408</v>
      </c>
      <c r="G104" s="928" t="s">
        <v>3373</v>
      </c>
      <c r="H104" s="928" t="s">
        <v>3374</v>
      </c>
      <c r="I104" s="928" t="s">
        <v>3373</v>
      </c>
      <c r="J104" s="928" t="s">
        <v>3374</v>
      </c>
      <c r="K104" s="928" t="s">
        <v>3373</v>
      </c>
      <c r="L104" s="928" t="s">
        <v>3374</v>
      </c>
    </row>
    <row r="105" spans="1:12">
      <c r="A105">
        <v>1</v>
      </c>
      <c r="B105" s="929" t="s">
        <v>3452</v>
      </c>
      <c r="C105" s="930">
        <v>18000000</v>
      </c>
      <c r="D105" s="930">
        <v>16740000</v>
      </c>
      <c r="F105" s="927" t="s">
        <v>3433</v>
      </c>
      <c r="G105" s="3">
        <v>100000000</v>
      </c>
      <c r="H105" s="3">
        <v>5400000</v>
      </c>
      <c r="I105" s="3">
        <v>4000000</v>
      </c>
      <c r="L105">
        <v>900</v>
      </c>
    </row>
    <row r="106" spans="1:12">
      <c r="A106">
        <f>+A105+1</f>
        <v>2</v>
      </c>
      <c r="B106" s="929" t="s">
        <v>3453</v>
      </c>
      <c r="C106" s="930">
        <v>255000000</v>
      </c>
      <c r="D106" s="930">
        <f>60000000+174600000</f>
        <v>234600000</v>
      </c>
      <c r="F106" s="927" t="s">
        <v>3243</v>
      </c>
      <c r="G106" s="3">
        <v>60000000</v>
      </c>
      <c r="H106" s="3">
        <v>60000000</v>
      </c>
    </row>
    <row r="107" spans="1:12">
      <c r="A107">
        <f t="shared" ref="A107:A114" si="3">+A106+1</f>
        <v>3</v>
      </c>
      <c r="B107" s="929" t="s">
        <v>3456</v>
      </c>
      <c r="C107" s="930">
        <v>25000000</v>
      </c>
      <c r="D107" s="930">
        <v>22500000</v>
      </c>
      <c r="F107" s="927" t="s">
        <v>3454</v>
      </c>
      <c r="G107" s="3">
        <v>9580000</v>
      </c>
      <c r="H107" s="3">
        <v>22750000</v>
      </c>
    </row>
    <row r="108" spans="1:12">
      <c r="A108">
        <f t="shared" si="3"/>
        <v>4</v>
      </c>
      <c r="F108" s="927" t="s">
        <v>3455</v>
      </c>
      <c r="G108" s="3">
        <v>250000</v>
      </c>
      <c r="H108" s="3">
        <v>22000000</v>
      </c>
    </row>
    <row r="109" spans="1:12">
      <c r="A109">
        <f t="shared" si="3"/>
        <v>5</v>
      </c>
      <c r="H109" s="3">
        <v>45000000</v>
      </c>
    </row>
    <row r="110" spans="1:12">
      <c r="A110">
        <f t="shared" si="3"/>
        <v>6</v>
      </c>
      <c r="H110" s="3">
        <v>1085000</v>
      </c>
    </row>
    <row r="111" spans="1:12">
      <c r="A111">
        <f t="shared" si="3"/>
        <v>7</v>
      </c>
    </row>
    <row r="112" spans="1:12">
      <c r="A112">
        <f t="shared" si="3"/>
        <v>8</v>
      </c>
    </row>
    <row r="113" spans="1:12">
      <c r="A113">
        <f t="shared" si="3"/>
        <v>9</v>
      </c>
    </row>
    <row r="114" spans="1:12">
      <c r="A114">
        <f t="shared" si="3"/>
        <v>10</v>
      </c>
    </row>
    <row r="118" spans="1:12">
      <c r="H118" s="3">
        <v>270000</v>
      </c>
    </row>
    <row r="119" spans="1:12">
      <c r="H119" s="3">
        <v>80000</v>
      </c>
    </row>
    <row r="120" spans="1:12">
      <c r="H120" s="3">
        <v>660000</v>
      </c>
    </row>
    <row r="121" spans="1:12">
      <c r="H121" s="3">
        <v>100000</v>
      </c>
    </row>
    <row r="122" spans="1:12">
      <c r="H122" s="3">
        <v>85000</v>
      </c>
    </row>
    <row r="123" spans="1:12">
      <c r="H123" s="3">
        <v>8500000</v>
      </c>
    </row>
    <row r="124" spans="1:12">
      <c r="H124" s="3">
        <v>4000000</v>
      </c>
    </row>
    <row r="127" spans="1:12">
      <c r="G127" s="3">
        <f>SUM(G105:G126)</f>
        <v>169830000</v>
      </c>
      <c r="H127" s="3">
        <f>SUM(H105:H126)</f>
        <v>169930000</v>
      </c>
    </row>
    <row r="128" spans="1:12">
      <c r="C128" s="934">
        <v>45867</v>
      </c>
      <c r="E128" s="927" t="s">
        <v>3407</v>
      </c>
      <c r="F128" s="927" t="s">
        <v>3408</v>
      </c>
      <c r="G128" s="928" t="s">
        <v>3373</v>
      </c>
      <c r="H128" s="928" t="s">
        <v>3374</v>
      </c>
      <c r="I128" s="928" t="s">
        <v>3373</v>
      </c>
      <c r="J128" s="928" t="s">
        <v>3374</v>
      </c>
      <c r="K128" s="928" t="s">
        <v>3373</v>
      </c>
      <c r="L128" s="928" t="s">
        <v>3374</v>
      </c>
    </row>
    <row r="129" spans="1:11">
      <c r="A129">
        <v>1</v>
      </c>
      <c r="B129" s="937" t="s">
        <v>3458</v>
      </c>
      <c r="C129" s="513">
        <v>33000000</v>
      </c>
      <c r="D129" s="513">
        <v>29350000</v>
      </c>
      <c r="E129" s="2"/>
      <c r="F129" s="935" t="s">
        <v>3243</v>
      </c>
      <c r="G129" s="3">
        <v>40000000</v>
      </c>
      <c r="H129" s="3">
        <v>30360000</v>
      </c>
      <c r="J129" s="3">
        <v>900000</v>
      </c>
      <c r="K129">
        <v>300</v>
      </c>
    </row>
    <row r="130" spans="1:11">
      <c r="A130">
        <f t="shared" ref="A130:A135" si="4">+A129+1</f>
        <v>2</v>
      </c>
      <c r="B130" s="936" t="s">
        <v>3456</v>
      </c>
      <c r="C130" s="930">
        <v>25000000</v>
      </c>
      <c r="D130" s="930">
        <v>22500000</v>
      </c>
      <c r="E130" s="933"/>
      <c r="F130" s="935" t="s">
        <v>3450</v>
      </c>
      <c r="G130" s="3">
        <v>792990000</v>
      </c>
      <c r="H130" s="3">
        <v>174600000</v>
      </c>
    </row>
    <row r="131" spans="1:11">
      <c r="A131">
        <f t="shared" si="4"/>
        <v>3</v>
      </c>
      <c r="B131" s="936" t="s">
        <v>3459</v>
      </c>
      <c r="C131" s="930">
        <v>10000000</v>
      </c>
      <c r="D131" s="930">
        <v>9200000</v>
      </c>
      <c r="E131" s="933"/>
      <c r="F131" s="935" t="s">
        <v>3378</v>
      </c>
      <c r="G131" s="3">
        <v>600000</v>
      </c>
      <c r="H131" s="3">
        <v>30360000</v>
      </c>
    </row>
    <row r="132" spans="1:11">
      <c r="A132">
        <f t="shared" si="4"/>
        <v>4</v>
      </c>
      <c r="B132" s="936" t="s">
        <v>3460</v>
      </c>
      <c r="C132" s="930">
        <v>100000000</v>
      </c>
      <c r="D132" s="930">
        <v>91000000</v>
      </c>
      <c r="E132" s="933"/>
      <c r="H132" s="3">
        <v>39560000</v>
      </c>
    </row>
    <row r="133" spans="1:11">
      <c r="A133">
        <f t="shared" si="4"/>
        <v>5</v>
      </c>
      <c r="B133" s="936" t="s">
        <v>3461</v>
      </c>
      <c r="C133" s="930">
        <v>50000000</v>
      </c>
      <c r="D133" s="930">
        <v>46500000</v>
      </c>
      <c r="E133" s="933"/>
      <c r="H133" s="3">
        <v>91000000</v>
      </c>
    </row>
    <row r="134" spans="1:11">
      <c r="A134">
        <f t="shared" si="4"/>
        <v>6</v>
      </c>
      <c r="B134" s="936" t="s">
        <v>3462</v>
      </c>
      <c r="C134" s="930">
        <v>15000000</v>
      </c>
      <c r="D134" s="930">
        <v>13800000</v>
      </c>
      <c r="E134" s="933"/>
      <c r="H134" s="3">
        <v>22500000</v>
      </c>
    </row>
    <row r="135" spans="1:11">
      <c r="A135">
        <f t="shared" si="4"/>
        <v>7</v>
      </c>
      <c r="B135" s="936" t="s">
        <v>3463</v>
      </c>
      <c r="C135" s="930">
        <v>100000000</v>
      </c>
      <c r="D135" s="930">
        <v>92500000</v>
      </c>
      <c r="E135" s="933"/>
      <c r="H135" s="3">
        <v>13800000</v>
      </c>
    </row>
    <row r="136" spans="1:11">
      <c r="H136" s="513">
        <v>29350000</v>
      </c>
    </row>
    <row r="139" spans="1:11">
      <c r="H139" s="3">
        <v>140000</v>
      </c>
    </row>
    <row r="140" spans="1:11">
      <c r="H140" s="3">
        <v>1060000</v>
      </c>
    </row>
    <row r="141" spans="1:11">
      <c r="H141" s="3">
        <v>750000</v>
      </c>
    </row>
    <row r="142" spans="1:11">
      <c r="H142" s="3">
        <v>1160000</v>
      </c>
    </row>
    <row r="143" spans="1:11">
      <c r="H143" s="3">
        <v>640000</v>
      </c>
    </row>
    <row r="144" spans="1:11">
      <c r="H144" s="3">
        <v>1225000</v>
      </c>
    </row>
    <row r="145" spans="1:12">
      <c r="H145" s="3">
        <v>405000</v>
      </c>
    </row>
    <row r="146" spans="1:12">
      <c r="H146" s="3">
        <v>1500000</v>
      </c>
    </row>
    <row r="147" spans="1:12">
      <c r="H147" s="3">
        <v>1600000</v>
      </c>
    </row>
    <row r="148" spans="1:12">
      <c r="H148" s="3">
        <v>240000</v>
      </c>
    </row>
    <row r="149" spans="1:12">
      <c r="H149" s="3">
        <v>12200000</v>
      </c>
    </row>
    <row r="150" spans="1:12">
      <c r="H150" s="3">
        <v>500000</v>
      </c>
    </row>
    <row r="151" spans="1:12">
      <c r="H151" s="3">
        <v>5000000</v>
      </c>
    </row>
    <row r="153" spans="1:12">
      <c r="G153" s="3">
        <f t="shared" ref="G153:L153" si="5">SUM(G129:G152)</f>
        <v>833590000</v>
      </c>
      <c r="H153" s="3">
        <f t="shared" si="5"/>
        <v>457950000</v>
      </c>
      <c r="I153" s="3">
        <f t="shared" si="5"/>
        <v>0</v>
      </c>
      <c r="J153" s="3">
        <f t="shared" si="5"/>
        <v>900000</v>
      </c>
      <c r="K153" s="3">
        <f t="shared" si="5"/>
        <v>300</v>
      </c>
      <c r="L153" s="3">
        <f t="shared" si="5"/>
        <v>0</v>
      </c>
    </row>
    <row r="154" spans="1:12">
      <c r="H154" s="3">
        <f>+G153-H153</f>
        <v>375640000</v>
      </c>
      <c r="J154" s="3">
        <f>+I105-J153</f>
        <v>3100000</v>
      </c>
    </row>
    <row r="155" spans="1:12">
      <c r="C155" s="934">
        <v>45868</v>
      </c>
      <c r="E155" s="927" t="s">
        <v>3407</v>
      </c>
      <c r="F155" s="927" t="s">
        <v>3408</v>
      </c>
      <c r="G155" s="928" t="s">
        <v>3373</v>
      </c>
      <c r="H155" s="928" t="s">
        <v>3374</v>
      </c>
      <c r="I155" s="928" t="s">
        <v>3373</v>
      </c>
      <c r="J155" s="928" t="s">
        <v>3374</v>
      </c>
      <c r="K155" s="928" t="s">
        <v>3373</v>
      </c>
      <c r="L155" s="928" t="s">
        <v>3374</v>
      </c>
    </row>
    <row r="156" spans="1:12">
      <c r="G156"/>
      <c r="I156" s="3">
        <f>5000000+5000000</f>
        <v>10000000</v>
      </c>
      <c r="J156" s="3">
        <f>9500000+2280000+40000+100000+337500</f>
        <v>12257500</v>
      </c>
      <c r="L156">
        <v>100</v>
      </c>
    </row>
    <row r="157" spans="1:12">
      <c r="A157">
        <v>1</v>
      </c>
      <c r="B157" s="936" t="s">
        <v>3464</v>
      </c>
      <c r="C157" s="930">
        <v>33000000</v>
      </c>
      <c r="D157" s="930">
        <v>30690000</v>
      </c>
      <c r="E157" s="933"/>
      <c r="F157" s="935" t="s">
        <v>3468</v>
      </c>
      <c r="G157" s="3">
        <v>300</v>
      </c>
      <c r="H157" s="3">
        <v>7280000</v>
      </c>
    </row>
    <row r="158" spans="1:12">
      <c r="A158">
        <v>2</v>
      </c>
      <c r="B158" s="936" t="s">
        <v>3465</v>
      </c>
      <c r="C158" s="930">
        <v>33000000</v>
      </c>
      <c r="D158" s="930">
        <f>22860000+7500000</f>
        <v>30360000</v>
      </c>
      <c r="E158" s="933"/>
      <c r="F158" s="935" t="s">
        <v>3444</v>
      </c>
      <c r="G158" s="3">
        <v>50000000</v>
      </c>
      <c r="H158" s="3">
        <v>17100000</v>
      </c>
    </row>
    <row r="159" spans="1:12">
      <c r="A159">
        <v>3</v>
      </c>
      <c r="B159" s="936" t="s">
        <v>3466</v>
      </c>
      <c r="C159" s="930">
        <v>18000000</v>
      </c>
      <c r="D159" s="930">
        <v>17100000</v>
      </c>
      <c r="E159" s="933"/>
      <c r="F159" s="935" t="s">
        <v>3450</v>
      </c>
      <c r="G159" s="3">
        <v>521730000</v>
      </c>
      <c r="H159" s="3">
        <v>92500000</v>
      </c>
    </row>
    <row r="160" spans="1:12">
      <c r="A160">
        <v>4</v>
      </c>
      <c r="B160" s="936" t="s">
        <v>3467</v>
      </c>
      <c r="C160" s="930">
        <v>10000000</v>
      </c>
      <c r="D160" s="930">
        <v>9500000</v>
      </c>
      <c r="E160" s="933"/>
      <c r="F160" s="935" t="s">
        <v>3469</v>
      </c>
      <c r="H160" s="3">
        <v>30360000</v>
      </c>
    </row>
    <row r="161" spans="6:8">
      <c r="F161" s="935" t="s">
        <v>3469</v>
      </c>
      <c r="G161" s="3">
        <v>2280000</v>
      </c>
    </row>
    <row r="162" spans="6:8">
      <c r="F162" s="935" t="s">
        <v>3469</v>
      </c>
      <c r="G162" s="3">
        <v>40000</v>
      </c>
      <c r="H162" s="3">
        <v>46500000</v>
      </c>
    </row>
    <row r="163" spans="6:8">
      <c r="H163" s="3">
        <v>30690000</v>
      </c>
    </row>
    <row r="165" spans="6:8">
      <c r="H165" s="3">
        <v>500000</v>
      </c>
    </row>
    <row r="166" spans="6:8">
      <c r="H166" s="3">
        <v>2000000</v>
      </c>
    </row>
    <row r="167" spans="6:8">
      <c r="H167" s="3">
        <v>50000</v>
      </c>
    </row>
    <row r="168" spans="6:8">
      <c r="H168" s="3">
        <v>3100000</v>
      </c>
    </row>
    <row r="169" spans="6:8">
      <c r="H169" s="3">
        <v>5000000</v>
      </c>
    </row>
    <row r="170" spans="6:8">
      <c r="H170" s="3">
        <v>2000000</v>
      </c>
    </row>
    <row r="171" spans="6:8">
      <c r="H171" s="3">
        <v>5135000</v>
      </c>
    </row>
    <row r="172" spans="6:8">
      <c r="H172" s="3">
        <v>5730000</v>
      </c>
    </row>
    <row r="173" spans="6:8">
      <c r="H173" s="3">
        <v>1000000</v>
      </c>
    </row>
    <row r="174" spans="6:8">
      <c r="H174" s="3">
        <v>2000000</v>
      </c>
    </row>
    <row r="175" spans="6:8">
      <c r="H175" s="3">
        <v>5000000</v>
      </c>
    </row>
    <row r="181" spans="1:12">
      <c r="G181" s="3">
        <f>SUM(G158:G180)</f>
        <v>574050000</v>
      </c>
      <c r="H181" s="3">
        <f>SUM(H157:H180)</f>
        <v>255945000</v>
      </c>
      <c r="I181" s="3">
        <f>SUM(I157:I180)</f>
        <v>0</v>
      </c>
      <c r="J181" s="3">
        <f>SUM(J157:J180)</f>
        <v>0</v>
      </c>
      <c r="K181" s="3">
        <f>SUM(K157:K180)</f>
        <v>0</v>
      </c>
      <c r="L181" s="3">
        <v>100</v>
      </c>
    </row>
    <row r="182" spans="1:12">
      <c r="H182" s="3">
        <f>+H154+G181-H181</f>
        <v>693745000</v>
      </c>
      <c r="J182" s="3">
        <f>+J154+I156-J156</f>
        <v>842500</v>
      </c>
      <c r="L182" s="661">
        <f>+K153-L181</f>
        <v>200</v>
      </c>
    </row>
    <row r="183" spans="1:12">
      <c r="H183" s="3">
        <f>+H182-605000000</f>
        <v>88745000</v>
      </c>
    </row>
    <row r="184" spans="1:12">
      <c r="C184" s="938">
        <v>45869</v>
      </c>
      <c r="E184" s="927" t="s">
        <v>3407</v>
      </c>
      <c r="F184" s="927" t="s">
        <v>3408</v>
      </c>
      <c r="G184" s="928" t="s">
        <v>3373</v>
      </c>
      <c r="H184" s="928" t="s">
        <v>3374</v>
      </c>
      <c r="I184" s="928" t="s">
        <v>3373</v>
      </c>
      <c r="J184" s="928" t="s">
        <v>3374</v>
      </c>
      <c r="K184" s="928" t="s">
        <v>3373</v>
      </c>
      <c r="L184" s="928" t="s">
        <v>3374</v>
      </c>
    </row>
    <row r="185" spans="1:12">
      <c r="A185">
        <v>1</v>
      </c>
      <c r="B185" s="936" t="s">
        <v>3470</v>
      </c>
      <c r="C185" s="930">
        <v>50000000</v>
      </c>
      <c r="D185" s="930">
        <v>47000000</v>
      </c>
      <c r="E185" s="933"/>
      <c r="F185" s="935" t="s">
        <v>3476</v>
      </c>
      <c r="G185" s="3">
        <v>800</v>
      </c>
      <c r="H185" s="3">
        <v>47000000</v>
      </c>
      <c r="I185" s="3">
        <v>125000</v>
      </c>
      <c r="J185" s="3">
        <v>144000</v>
      </c>
      <c r="K185" s="3">
        <v>800</v>
      </c>
    </row>
    <row r="186" spans="1:12">
      <c r="A186">
        <f t="shared" ref="A186:A191" si="6">+A185+1</f>
        <v>2</v>
      </c>
      <c r="B186" s="936" t="s">
        <v>3466</v>
      </c>
      <c r="C186" s="930">
        <v>16800000</v>
      </c>
      <c r="D186" s="930">
        <v>15960000</v>
      </c>
      <c r="E186" s="933"/>
      <c r="F186" s="935" t="s">
        <v>3476</v>
      </c>
      <c r="G186" s="3">
        <v>4450000</v>
      </c>
      <c r="H186" s="3">
        <v>15960000</v>
      </c>
    </row>
    <row r="187" spans="1:12">
      <c r="A187">
        <f t="shared" si="6"/>
        <v>3</v>
      </c>
      <c r="B187" s="936" t="s">
        <v>3471</v>
      </c>
      <c r="C187" s="930">
        <v>23000000</v>
      </c>
      <c r="D187" s="930">
        <v>21160000</v>
      </c>
      <c r="E187" s="933"/>
      <c r="F187" s="935" t="s">
        <v>3447</v>
      </c>
      <c r="G187" s="3">
        <v>500000</v>
      </c>
      <c r="H187" s="3">
        <v>13800000</v>
      </c>
    </row>
    <row r="188" spans="1:12">
      <c r="A188">
        <f t="shared" si="6"/>
        <v>4</v>
      </c>
      <c r="B188" s="936" t="s">
        <v>3472</v>
      </c>
      <c r="C188" s="930">
        <v>15000000</v>
      </c>
      <c r="D188" s="930">
        <v>13800000</v>
      </c>
      <c r="E188" s="933"/>
      <c r="F188" s="935" t="s">
        <v>3243</v>
      </c>
      <c r="G188" s="3">
        <v>36000000</v>
      </c>
      <c r="H188" s="3">
        <v>17540000</v>
      </c>
    </row>
    <row r="189" spans="1:12">
      <c r="A189">
        <f t="shared" si="6"/>
        <v>5</v>
      </c>
      <c r="B189" s="935" t="s">
        <v>3473</v>
      </c>
      <c r="C189" s="3">
        <v>33000000</v>
      </c>
      <c r="H189" s="3">
        <v>21160000</v>
      </c>
    </row>
    <row r="190" spans="1:12">
      <c r="A190">
        <f t="shared" si="6"/>
        <v>6</v>
      </c>
      <c r="B190" s="936" t="s">
        <v>3474</v>
      </c>
      <c r="C190" s="930">
        <v>33000000</v>
      </c>
      <c r="D190" s="930">
        <f>17540000+11500000</f>
        <v>29040000</v>
      </c>
      <c r="E190" s="933"/>
      <c r="H190" s="3">
        <v>3000000</v>
      </c>
    </row>
    <row r="191" spans="1:12">
      <c r="A191">
        <f t="shared" si="6"/>
        <v>7</v>
      </c>
      <c r="B191" s="936" t="s">
        <v>3475</v>
      </c>
      <c r="C191" s="930">
        <v>26000000</v>
      </c>
      <c r="D191" s="930">
        <f>23140000+780000</f>
        <v>23920000</v>
      </c>
      <c r="E191" s="933"/>
    </row>
    <row r="193" spans="8:8">
      <c r="H193" s="3">
        <v>5700000</v>
      </c>
    </row>
    <row r="194" spans="8:8">
      <c r="H194" s="3">
        <v>200000</v>
      </c>
    </row>
    <row r="195" spans="8:8">
      <c r="H195" s="3">
        <v>2200000</v>
      </c>
    </row>
    <row r="196" spans="8:8">
      <c r="H196" s="3">
        <v>200000</v>
      </c>
    </row>
    <row r="197" spans="8:8">
      <c r="H197" s="3">
        <v>200000</v>
      </c>
    </row>
    <row r="198" spans="8:8">
      <c r="H198" s="3">
        <v>2800000</v>
      </c>
    </row>
    <row r="209" spans="1:12">
      <c r="G209" s="3">
        <f>SUM(G186:G208)</f>
        <v>40950000</v>
      </c>
      <c r="H209" s="3">
        <f>SUM(H185:H208)</f>
        <v>129760000</v>
      </c>
      <c r="I209" s="3">
        <f>SUM(I185:I208)</f>
        <v>125000</v>
      </c>
      <c r="J209" s="3">
        <f>SUM(J185:J208)</f>
        <v>144000</v>
      </c>
      <c r="K209" s="3">
        <f>SUM(K185:K208)</f>
        <v>800</v>
      </c>
      <c r="L209" s="3">
        <f>SUM(L185:L208)</f>
        <v>0</v>
      </c>
    </row>
    <row r="210" spans="1:12">
      <c r="H210" s="3">
        <f>+H183+G209-H209</f>
        <v>-65000</v>
      </c>
      <c r="J210" s="3">
        <f>+J182+I185-J185</f>
        <v>823500</v>
      </c>
      <c r="K210" s="661">
        <f>+K209+L182</f>
        <v>1000</v>
      </c>
    </row>
    <row r="211" spans="1:12">
      <c r="C211" s="938">
        <v>45870</v>
      </c>
      <c r="E211" s="927" t="s">
        <v>3407</v>
      </c>
      <c r="F211" s="927" t="s">
        <v>3408</v>
      </c>
      <c r="G211" s="928" t="s">
        <v>3373</v>
      </c>
      <c r="H211" s="928" t="s">
        <v>3374</v>
      </c>
      <c r="I211" s="928" t="s">
        <v>3373</v>
      </c>
      <c r="J211" s="928" t="s">
        <v>3374</v>
      </c>
      <c r="K211" s="928" t="s">
        <v>3373</v>
      </c>
      <c r="L211" s="928" t="s">
        <v>3374</v>
      </c>
    </row>
    <row r="212" spans="1:12">
      <c r="A212">
        <v>1</v>
      </c>
      <c r="B212" s="936" t="s">
        <v>3477</v>
      </c>
      <c r="C212" s="930">
        <v>290000000</v>
      </c>
      <c r="D212" s="930">
        <v>272600000</v>
      </c>
      <c r="E212" s="933"/>
      <c r="F212" s="935" t="s">
        <v>3481</v>
      </c>
      <c r="G212" s="3">
        <v>3300000</v>
      </c>
      <c r="H212" s="3">
        <v>17600000</v>
      </c>
      <c r="I212" s="3">
        <v>3000000</v>
      </c>
    </row>
    <row r="213" spans="1:12">
      <c r="A213">
        <f t="shared" ref="A213:A218" si="7">+A212+1</f>
        <v>2</v>
      </c>
      <c r="B213" s="936" t="s">
        <v>3478</v>
      </c>
      <c r="C213" s="930">
        <v>798000</v>
      </c>
      <c r="D213" s="930">
        <v>770000</v>
      </c>
      <c r="E213" s="933"/>
      <c r="F213" s="935" t="s">
        <v>3482</v>
      </c>
      <c r="G213" s="3">
        <v>800000</v>
      </c>
      <c r="H213" s="3">
        <v>22760000</v>
      </c>
    </row>
    <row r="214" spans="1:12">
      <c r="A214">
        <f t="shared" si="7"/>
        <v>3</v>
      </c>
      <c r="B214" s="936" t="s">
        <v>3479</v>
      </c>
      <c r="C214" s="930">
        <v>23800000</v>
      </c>
      <c r="D214" s="930">
        <v>22760000</v>
      </c>
      <c r="E214" s="933"/>
      <c r="F214" s="935" t="s">
        <v>3450</v>
      </c>
      <c r="G214" s="3">
        <v>96000000</v>
      </c>
      <c r="H214" s="3">
        <f>23140000+780000</f>
        <v>23920000</v>
      </c>
    </row>
    <row r="215" spans="1:12">
      <c r="A215">
        <f t="shared" si="7"/>
        <v>4</v>
      </c>
      <c r="B215" s="936" t="s">
        <v>3480</v>
      </c>
      <c r="C215" s="930">
        <v>20000000</v>
      </c>
      <c r="D215" s="930">
        <f>17600000+800000</f>
        <v>18400000</v>
      </c>
      <c r="E215" s="933"/>
      <c r="F215" s="935" t="s">
        <v>3450</v>
      </c>
      <c r="G215" s="3">
        <v>369270000</v>
      </c>
      <c r="H215" s="3">
        <v>272600000</v>
      </c>
    </row>
    <row r="216" spans="1:12">
      <c r="A216">
        <f t="shared" si="7"/>
        <v>5</v>
      </c>
      <c r="H216" s="3">
        <v>11500000</v>
      </c>
    </row>
    <row r="217" spans="1:12">
      <c r="A217">
        <f t="shared" si="7"/>
        <v>6</v>
      </c>
      <c r="H217" s="3">
        <v>770000</v>
      </c>
    </row>
    <row r="218" spans="1:12">
      <c r="A218">
        <f t="shared" si="7"/>
        <v>7</v>
      </c>
    </row>
    <row r="223" spans="1:12">
      <c r="H223" s="3">
        <v>2000000</v>
      </c>
    </row>
    <row r="224" spans="1:12">
      <c r="H224" s="3">
        <v>100000</v>
      </c>
    </row>
    <row r="225" spans="1:12">
      <c r="H225" s="3">
        <v>270000</v>
      </c>
    </row>
    <row r="235" spans="1:12">
      <c r="G235" s="3">
        <f t="shared" ref="G235:L235" si="8">SUM(G212:G234)</f>
        <v>469370000</v>
      </c>
      <c r="H235" s="3">
        <f t="shared" si="8"/>
        <v>351520000</v>
      </c>
      <c r="I235" s="3">
        <f t="shared" si="8"/>
        <v>3000000</v>
      </c>
      <c r="J235" s="3">
        <f t="shared" si="8"/>
        <v>0</v>
      </c>
      <c r="K235" s="3">
        <f t="shared" si="8"/>
        <v>0</v>
      </c>
      <c r="L235" s="3">
        <f t="shared" si="8"/>
        <v>0</v>
      </c>
    </row>
    <row r="236" spans="1:12">
      <c r="H236" s="3">
        <f>+H210+G235-H235</f>
        <v>117785000</v>
      </c>
      <c r="I236" s="3">
        <f>+I235+J210</f>
        <v>3823500</v>
      </c>
      <c r="K236" s="661">
        <f>+K210</f>
        <v>1000</v>
      </c>
    </row>
    <row r="237" spans="1:12">
      <c r="C237" s="934">
        <v>45871</v>
      </c>
      <c r="E237" s="927" t="s">
        <v>3407</v>
      </c>
      <c r="F237" s="927" t="s">
        <v>3408</v>
      </c>
      <c r="G237" s="928" t="s">
        <v>3373</v>
      </c>
      <c r="H237" s="928" t="s">
        <v>3374</v>
      </c>
      <c r="I237" s="928" t="s">
        <v>3373</v>
      </c>
      <c r="J237" s="928" t="s">
        <v>3374</v>
      </c>
      <c r="K237" s="928" t="s">
        <v>3373</v>
      </c>
      <c r="L237" s="928" t="s">
        <v>3374</v>
      </c>
    </row>
    <row r="238" spans="1:12">
      <c r="A238">
        <v>1</v>
      </c>
      <c r="F238" s="935" t="s">
        <v>3483</v>
      </c>
      <c r="G238" s="3">
        <v>8970000</v>
      </c>
      <c r="H238" s="3">
        <v>300000</v>
      </c>
      <c r="J238" s="3">
        <f>580000+222000</f>
        <v>802000</v>
      </c>
    </row>
    <row r="239" spans="1:12">
      <c r="A239">
        <f>+A238+1</f>
        <v>2</v>
      </c>
      <c r="H239" s="3">
        <v>100000</v>
      </c>
    </row>
    <row r="240" spans="1:12">
      <c r="A240">
        <f t="shared" ref="A240:A245" si="9">+A239+1</f>
        <v>3</v>
      </c>
      <c r="H240" s="3">
        <v>25320000</v>
      </c>
    </row>
    <row r="241" spans="1:12">
      <c r="A241">
        <f t="shared" si="9"/>
        <v>4</v>
      </c>
      <c r="H241" s="3">
        <v>300000</v>
      </c>
    </row>
    <row r="242" spans="1:12">
      <c r="A242">
        <f t="shared" si="9"/>
        <v>5</v>
      </c>
      <c r="H242" s="3">
        <v>125000</v>
      </c>
    </row>
    <row r="243" spans="1:12">
      <c r="A243">
        <f t="shared" si="9"/>
        <v>6</v>
      </c>
      <c r="H243" s="3">
        <v>500000</v>
      </c>
    </row>
    <row r="244" spans="1:12">
      <c r="A244">
        <f t="shared" si="9"/>
        <v>7</v>
      </c>
    </row>
    <row r="245" spans="1:12">
      <c r="A245">
        <f t="shared" si="9"/>
        <v>8</v>
      </c>
    </row>
    <row r="249" spans="1:12">
      <c r="G249" s="3">
        <f t="shared" ref="G249:L249" si="10">SUM(G238:G248)</f>
        <v>8970000</v>
      </c>
      <c r="H249" s="3">
        <f t="shared" si="10"/>
        <v>26645000</v>
      </c>
      <c r="I249" s="3">
        <f t="shared" si="10"/>
        <v>0</v>
      </c>
      <c r="J249" s="3">
        <f t="shared" si="10"/>
        <v>802000</v>
      </c>
      <c r="K249" s="3">
        <f t="shared" si="10"/>
        <v>0</v>
      </c>
      <c r="L249" s="3">
        <f t="shared" si="10"/>
        <v>0</v>
      </c>
    </row>
    <row r="250" spans="1:12">
      <c r="H250" s="3">
        <f>+H236+G249-H249</f>
        <v>100110000</v>
      </c>
      <c r="J250" s="3">
        <f>+I236+I249-J249</f>
        <v>3021500</v>
      </c>
      <c r="K250">
        <v>1000</v>
      </c>
    </row>
    <row r="251" spans="1:12">
      <c r="C251" s="934">
        <v>45873</v>
      </c>
      <c r="E251" s="927" t="s">
        <v>3407</v>
      </c>
      <c r="F251" s="927" t="s">
        <v>3408</v>
      </c>
      <c r="G251" s="928" t="s">
        <v>3373</v>
      </c>
      <c r="H251" s="928" t="s">
        <v>3374</v>
      </c>
      <c r="I251" s="928" t="s">
        <v>3373</v>
      </c>
      <c r="J251" s="928" t="s">
        <v>3374</v>
      </c>
      <c r="K251" s="928" t="s">
        <v>3373</v>
      </c>
      <c r="L251" s="928" t="s">
        <v>3374</v>
      </c>
    </row>
    <row r="252" spans="1:12">
      <c r="A252">
        <v>1</v>
      </c>
      <c r="B252" s="936" t="s">
        <v>3484</v>
      </c>
      <c r="C252" s="930">
        <v>33000000</v>
      </c>
      <c r="D252" s="930">
        <v>30360000</v>
      </c>
      <c r="E252" s="933"/>
      <c r="F252" s="935" t="s">
        <v>3490</v>
      </c>
      <c r="G252" s="3">
        <v>1000</v>
      </c>
      <c r="H252" s="3">
        <v>21160000</v>
      </c>
      <c r="I252" s="3">
        <v>1000000</v>
      </c>
      <c r="K252">
        <f>1000+100</f>
        <v>1100</v>
      </c>
    </row>
    <row r="253" spans="1:12">
      <c r="A253">
        <f>+A252+1</f>
        <v>2</v>
      </c>
      <c r="B253" s="936" t="s">
        <v>3485</v>
      </c>
      <c r="C253" s="930">
        <v>20000000</v>
      </c>
      <c r="D253" s="930">
        <v>18600000</v>
      </c>
      <c r="E253" s="933"/>
      <c r="H253" s="3">
        <v>28500000</v>
      </c>
    </row>
    <row r="254" spans="1:12">
      <c r="A254">
        <f>+A253+1</f>
        <v>3</v>
      </c>
      <c r="B254" s="936" t="s">
        <v>3486</v>
      </c>
      <c r="C254" s="930">
        <v>33000000</v>
      </c>
      <c r="D254" s="930">
        <v>30690000</v>
      </c>
      <c r="E254" s="933"/>
    </row>
    <row r="255" spans="1:12">
      <c r="A255">
        <f>+A254+1</f>
        <v>4</v>
      </c>
      <c r="B255" s="936" t="s">
        <v>3487</v>
      </c>
      <c r="C255" s="930">
        <v>23000000</v>
      </c>
      <c r="D255" s="930">
        <v>21160000</v>
      </c>
      <c r="E255" s="933"/>
      <c r="H255" s="3">
        <v>1000000</v>
      </c>
    </row>
    <row r="256" spans="1:12">
      <c r="A256">
        <f>+A255+1</f>
        <v>5</v>
      </c>
      <c r="B256" s="936" t="s">
        <v>3488</v>
      </c>
      <c r="C256" s="930">
        <v>33000000</v>
      </c>
      <c r="D256" s="930">
        <v>30690000</v>
      </c>
      <c r="E256" s="933"/>
      <c r="H256" s="3">
        <v>3000000</v>
      </c>
    </row>
    <row r="257" spans="1:12">
      <c r="A257">
        <f>+A256+1</f>
        <v>6</v>
      </c>
      <c r="B257" s="936" t="s">
        <v>3489</v>
      </c>
      <c r="C257" s="930">
        <v>30000000</v>
      </c>
      <c r="D257" s="930">
        <v>28500000</v>
      </c>
      <c r="E257" s="933"/>
      <c r="H257" s="3">
        <v>100000</v>
      </c>
    </row>
    <row r="258" spans="1:12">
      <c r="H258" s="3">
        <v>2000000</v>
      </c>
    </row>
    <row r="259" spans="1:12">
      <c r="H259" s="3">
        <v>600000</v>
      </c>
    </row>
    <row r="260" spans="1:12">
      <c r="H260" s="3">
        <v>6500000</v>
      </c>
    </row>
    <row r="261" spans="1:12">
      <c r="H261" s="3">
        <v>15000000</v>
      </c>
    </row>
    <row r="262" spans="1:12">
      <c r="H262" s="3">
        <v>1000000</v>
      </c>
    </row>
    <row r="263" spans="1:12">
      <c r="H263" s="3">
        <v>50000</v>
      </c>
    </row>
    <row r="264" spans="1:12">
      <c r="H264" s="3">
        <v>200000</v>
      </c>
    </row>
    <row r="265" spans="1:12">
      <c r="H265" s="3">
        <v>1250000</v>
      </c>
    </row>
    <row r="266" spans="1:12">
      <c r="G266" s="3">
        <f t="shared" ref="G266:L266" si="11">SUM(G252:G265)</f>
        <v>1000</v>
      </c>
      <c r="H266" s="3">
        <f t="shared" si="11"/>
        <v>80360000</v>
      </c>
      <c r="I266" s="3">
        <f t="shared" si="11"/>
        <v>1000000</v>
      </c>
      <c r="J266" s="3">
        <f t="shared" si="11"/>
        <v>0</v>
      </c>
      <c r="K266" s="3">
        <f t="shared" si="11"/>
        <v>1100</v>
      </c>
      <c r="L266" s="3">
        <f t="shared" si="11"/>
        <v>0</v>
      </c>
    </row>
    <row r="267" spans="1:12">
      <c r="H267" s="3">
        <f>+H250-H266</f>
        <v>19750000</v>
      </c>
      <c r="J267" s="3">
        <f>+J250+I266</f>
        <v>4021500</v>
      </c>
      <c r="K267" s="661">
        <f>+K250+K266</f>
        <v>2100</v>
      </c>
    </row>
    <row r="268" spans="1:12">
      <c r="C268" s="938">
        <v>45874</v>
      </c>
      <c r="E268" s="927" t="s">
        <v>3407</v>
      </c>
      <c r="F268" s="927" t="s">
        <v>3408</v>
      </c>
      <c r="G268" s="928" t="s">
        <v>3373</v>
      </c>
      <c r="H268" s="928" t="s">
        <v>3374</v>
      </c>
      <c r="I268" s="928" t="s">
        <v>3373</v>
      </c>
      <c r="J268" s="928" t="s">
        <v>3374</v>
      </c>
      <c r="K268" s="928" t="s">
        <v>3373</v>
      </c>
      <c r="L268" s="928" t="s">
        <v>3374</v>
      </c>
    </row>
    <row r="269" spans="1:12">
      <c r="A269">
        <v>1</v>
      </c>
      <c r="B269" s="936" t="s">
        <v>3491</v>
      </c>
      <c r="C269" s="930">
        <v>33000000</v>
      </c>
      <c r="D269" s="930">
        <v>30360000</v>
      </c>
      <c r="E269" s="933"/>
      <c r="F269" s="935" t="s">
        <v>3450</v>
      </c>
      <c r="G269" s="3">
        <v>154200000</v>
      </c>
      <c r="H269" s="3">
        <v>18600000</v>
      </c>
      <c r="J269" s="3">
        <v>500000</v>
      </c>
      <c r="L269">
        <v>800</v>
      </c>
    </row>
    <row r="270" spans="1:12">
      <c r="A270" s="935">
        <f>+A269+1</f>
        <v>2</v>
      </c>
      <c r="B270" s="936" t="s">
        <v>3492</v>
      </c>
      <c r="C270" s="930">
        <v>14000000</v>
      </c>
      <c r="D270" s="930">
        <v>13300000</v>
      </c>
      <c r="E270" s="933"/>
      <c r="H270" s="3">
        <v>13300000</v>
      </c>
      <c r="J270" s="3">
        <v>250000</v>
      </c>
    </row>
    <row r="271" spans="1:12">
      <c r="A271" s="935">
        <f>+A270+1</f>
        <v>3</v>
      </c>
      <c r="B271" s="935"/>
      <c r="H271" s="3">
        <v>30690000</v>
      </c>
    </row>
    <row r="272" spans="1:12">
      <c r="A272" s="935">
        <f>+A271+1</f>
        <v>4</v>
      </c>
      <c r="H272" s="3">
        <v>30690000</v>
      </c>
    </row>
    <row r="273" spans="1:12">
      <c r="A273" s="935">
        <f>+A272+1</f>
        <v>5</v>
      </c>
      <c r="H273" s="3">
        <v>30360000</v>
      </c>
    </row>
    <row r="275" spans="1:12">
      <c r="H275" s="3">
        <v>240000</v>
      </c>
    </row>
    <row r="276" spans="1:12">
      <c r="H276" s="3">
        <v>350000</v>
      </c>
    </row>
    <row r="277" spans="1:12">
      <c r="H277" s="3">
        <v>100000</v>
      </c>
    </row>
    <row r="278" spans="1:12">
      <c r="H278" s="3">
        <v>100000</v>
      </c>
    </row>
    <row r="285" spans="1:12">
      <c r="G285" s="3">
        <f t="shared" ref="G285:L285" si="12">SUM(G269:G284)</f>
        <v>154200000</v>
      </c>
      <c r="H285" s="3">
        <f t="shared" si="12"/>
        <v>124430000</v>
      </c>
      <c r="I285" s="3">
        <f t="shared" si="12"/>
        <v>0</v>
      </c>
      <c r="J285" s="3">
        <f t="shared" si="12"/>
        <v>750000</v>
      </c>
      <c r="K285" s="3">
        <f t="shared" si="12"/>
        <v>0</v>
      </c>
      <c r="L285" s="3">
        <f t="shared" si="12"/>
        <v>800</v>
      </c>
    </row>
    <row r="286" spans="1:12">
      <c r="H286" s="3">
        <f>+H267+G285-H285</f>
        <v>49520000</v>
      </c>
      <c r="J286" s="3">
        <f>+J267-J285</f>
        <v>3271500</v>
      </c>
      <c r="L286" s="661">
        <f>+K267-L285</f>
        <v>1300</v>
      </c>
    </row>
    <row r="287" spans="1:12">
      <c r="H287" s="513">
        <v>520000</v>
      </c>
    </row>
    <row r="288" spans="1:12">
      <c r="C288" s="938">
        <v>45875</v>
      </c>
      <c r="E288" s="927" t="s">
        <v>3407</v>
      </c>
      <c r="F288" s="927" t="s">
        <v>3408</v>
      </c>
      <c r="G288" s="928" t="s">
        <v>3373</v>
      </c>
      <c r="H288" s="928" t="s">
        <v>3374</v>
      </c>
      <c r="I288" s="928" t="s">
        <v>3373</v>
      </c>
      <c r="J288" s="928" t="s">
        <v>3374</v>
      </c>
      <c r="K288" s="928" t="s">
        <v>3373</v>
      </c>
      <c r="L288" s="928" t="s">
        <v>3374</v>
      </c>
    </row>
    <row r="289" spans="1:12">
      <c r="A289">
        <v>1</v>
      </c>
      <c r="B289" s="936" t="s">
        <v>3493</v>
      </c>
      <c r="C289" s="930">
        <v>15000000</v>
      </c>
      <c r="D289" s="930">
        <v>13500000</v>
      </c>
      <c r="E289" s="933"/>
      <c r="F289" s="935" t="s">
        <v>3494</v>
      </c>
      <c r="G289" s="3">
        <v>736362000</v>
      </c>
      <c r="H289" s="3">
        <v>13500000</v>
      </c>
      <c r="J289" s="3">
        <v>41200</v>
      </c>
      <c r="K289">
        <v>100</v>
      </c>
      <c r="L289" s="3">
        <v>100</v>
      </c>
    </row>
    <row r="290" spans="1:12">
      <c r="A290">
        <f>+A289+1</f>
        <v>2</v>
      </c>
      <c r="B290" s="936" t="s">
        <v>3445</v>
      </c>
      <c r="C290" s="930">
        <v>3000000</v>
      </c>
      <c r="D290" s="930">
        <v>2850000</v>
      </c>
      <c r="E290" s="933"/>
      <c r="G290" s="3">
        <v>1250000</v>
      </c>
      <c r="H290" s="3">
        <v>2850000</v>
      </c>
      <c r="J290" s="3">
        <v>370000</v>
      </c>
    </row>
    <row r="291" spans="1:12">
      <c r="A291">
        <f>+A290+1</f>
        <v>3</v>
      </c>
      <c r="H291" s="3">
        <v>30360000</v>
      </c>
    </row>
    <row r="292" spans="1:12">
      <c r="A292">
        <f>+A291+1</f>
        <v>4</v>
      </c>
      <c r="H292" s="3">
        <v>1250000</v>
      </c>
    </row>
    <row r="293" spans="1:12">
      <c r="A293">
        <f>+A292+1</f>
        <v>5</v>
      </c>
      <c r="H293" s="3">
        <v>100000</v>
      </c>
    </row>
    <row r="294" spans="1:12">
      <c r="A294">
        <f>+A293+1</f>
        <v>6</v>
      </c>
      <c r="H294" s="3">
        <v>180000</v>
      </c>
    </row>
    <row r="295" spans="1:12">
      <c r="H295" s="3">
        <v>800000</v>
      </c>
    </row>
    <row r="298" spans="1:12">
      <c r="H298" s="3">
        <v>536000</v>
      </c>
    </row>
    <row r="303" spans="1:12">
      <c r="G303" s="3">
        <f t="shared" ref="G303:L303" si="13">SUM(G289:G302)</f>
        <v>737612000</v>
      </c>
      <c r="H303" s="3">
        <f t="shared" si="13"/>
        <v>49576000</v>
      </c>
      <c r="I303" s="3">
        <f t="shared" si="13"/>
        <v>0</v>
      </c>
      <c r="J303" s="3">
        <f t="shared" si="13"/>
        <v>411200</v>
      </c>
      <c r="K303" s="3">
        <f t="shared" si="13"/>
        <v>100</v>
      </c>
      <c r="L303" s="3">
        <f t="shared" si="13"/>
        <v>100</v>
      </c>
    </row>
    <row r="304" spans="1:12">
      <c r="H304" s="3">
        <f>+H286+G303-H303</f>
        <v>737556000</v>
      </c>
      <c r="J304" s="3">
        <f>+J286-J303</f>
        <v>2860300</v>
      </c>
      <c r="L304" s="661">
        <f>+L286+K303-L303</f>
        <v>1300</v>
      </c>
    </row>
    <row r="305" spans="1:13">
      <c r="C305" s="938">
        <v>45876</v>
      </c>
      <c r="E305" s="927" t="s">
        <v>3407</v>
      </c>
      <c r="F305" s="927" t="s">
        <v>3408</v>
      </c>
      <c r="G305" s="928" t="s">
        <v>3373</v>
      </c>
      <c r="H305" s="928" t="s">
        <v>3374</v>
      </c>
      <c r="I305" s="928" t="s">
        <v>3373</v>
      </c>
      <c r="J305" s="928" t="s">
        <v>3374</v>
      </c>
      <c r="K305" s="928" t="s">
        <v>3373</v>
      </c>
      <c r="L305" s="928" t="s">
        <v>3374</v>
      </c>
    </row>
    <row r="306" spans="1:13">
      <c r="A306">
        <v>1</v>
      </c>
      <c r="B306" s="936" t="s">
        <v>3495</v>
      </c>
      <c r="C306" s="930">
        <v>33000000</v>
      </c>
      <c r="D306" s="930">
        <v>30000000</v>
      </c>
      <c r="E306" s="933"/>
      <c r="F306" s="935" t="s">
        <v>3499</v>
      </c>
      <c r="G306" s="3">
        <v>1000000</v>
      </c>
      <c r="H306" s="3">
        <v>9200000</v>
      </c>
      <c r="I306" s="3">
        <v>1000000</v>
      </c>
    </row>
    <row r="307" spans="1:13">
      <c r="A307">
        <f>+A306+1</f>
        <v>2</v>
      </c>
      <c r="B307" s="936" t="s">
        <v>3496</v>
      </c>
      <c r="C307" s="930">
        <v>10000000</v>
      </c>
      <c r="D307" s="930">
        <v>9200000</v>
      </c>
      <c r="E307" s="933"/>
      <c r="H307" s="3">
        <v>22080000</v>
      </c>
      <c r="J307" s="3">
        <v>300000</v>
      </c>
    </row>
    <row r="308" spans="1:13">
      <c r="A308">
        <f>+A307+1</f>
        <v>3</v>
      </c>
      <c r="B308" s="936" t="s">
        <v>3497</v>
      </c>
      <c r="C308" s="930">
        <v>24000000</v>
      </c>
      <c r="D308" s="930">
        <v>22080000</v>
      </c>
      <c r="E308" s="933"/>
      <c r="H308" s="3">
        <v>13950000</v>
      </c>
      <c r="J308" s="3">
        <v>500000</v>
      </c>
    </row>
    <row r="309" spans="1:13">
      <c r="A309">
        <f>+A308+1</f>
        <v>4</v>
      </c>
      <c r="B309" s="936" t="s">
        <v>3498</v>
      </c>
      <c r="C309" s="930">
        <v>15000000</v>
      </c>
      <c r="D309" s="930">
        <v>13950000</v>
      </c>
      <c r="E309" s="933"/>
      <c r="H309" s="3">
        <v>4750000</v>
      </c>
    </row>
    <row r="310" spans="1:13">
      <c r="A310">
        <f>+A309+1</f>
        <v>5</v>
      </c>
      <c r="B310" s="936" t="s">
        <v>3489</v>
      </c>
      <c r="C310" s="930">
        <v>5000000</v>
      </c>
      <c r="D310" s="930">
        <v>4750000</v>
      </c>
      <c r="E310" s="933"/>
    </row>
    <row r="311" spans="1:13">
      <c r="A311">
        <f>+A310+1</f>
        <v>6</v>
      </c>
      <c r="H311" s="3">
        <v>5660000</v>
      </c>
    </row>
    <row r="312" spans="1:13">
      <c r="H312" s="3">
        <v>200000</v>
      </c>
    </row>
    <row r="313" spans="1:13">
      <c r="H313" s="3">
        <v>50000</v>
      </c>
    </row>
    <row r="314" spans="1:13">
      <c r="H314" s="3">
        <v>340000</v>
      </c>
    </row>
    <row r="315" spans="1:13">
      <c r="H315" s="3">
        <v>500000000</v>
      </c>
    </row>
    <row r="316" spans="1:13">
      <c r="H316" s="3">
        <v>1000000</v>
      </c>
    </row>
    <row r="319" spans="1:13">
      <c r="G319" s="3">
        <f t="shared" ref="G319:M319" si="14">SUM(G306:G318)</f>
        <v>1000000</v>
      </c>
      <c r="H319" s="3">
        <f t="shared" si="14"/>
        <v>557230000</v>
      </c>
      <c r="I319" s="3">
        <f t="shared" si="14"/>
        <v>1000000</v>
      </c>
      <c r="J319" s="3">
        <f t="shared" si="14"/>
        <v>800000</v>
      </c>
      <c r="K319" s="3">
        <f t="shared" si="14"/>
        <v>0</v>
      </c>
      <c r="L319" s="3">
        <f t="shared" si="14"/>
        <v>0</v>
      </c>
      <c r="M319" s="3">
        <f t="shared" si="14"/>
        <v>0</v>
      </c>
    </row>
    <row r="320" spans="1:13">
      <c r="H320" s="3">
        <f>+H304+G319-H319</f>
        <v>181326000</v>
      </c>
      <c r="J320" s="3">
        <f>+J304+I319-J319</f>
        <v>3060300</v>
      </c>
      <c r="L320" s="661">
        <f>+L304</f>
        <v>1300</v>
      </c>
    </row>
    <row r="321" spans="1:12">
      <c r="C321" s="938">
        <v>45877</v>
      </c>
      <c r="E321" s="927" t="s">
        <v>3407</v>
      </c>
      <c r="F321" s="927" t="s">
        <v>3408</v>
      </c>
      <c r="G321" s="928" t="s">
        <v>3373</v>
      </c>
      <c r="H321" s="928" t="s">
        <v>3374</v>
      </c>
      <c r="I321" s="928" t="s">
        <v>3373</v>
      </c>
      <c r="J321" s="928" t="s">
        <v>3374</v>
      </c>
      <c r="K321" s="928" t="s">
        <v>3373</v>
      </c>
      <c r="L321" s="928" t="s">
        <v>3374</v>
      </c>
    </row>
    <row r="322" spans="1:12">
      <c r="A322">
        <v>1</v>
      </c>
      <c r="B322" s="936" t="s">
        <v>3500</v>
      </c>
      <c r="C322" s="930">
        <v>33000000</v>
      </c>
      <c r="D322" s="930">
        <v>30360000</v>
      </c>
      <c r="E322" s="933"/>
      <c r="F322" s="935" t="s">
        <v>3505</v>
      </c>
      <c r="G322" s="3">
        <v>6500000</v>
      </c>
      <c r="H322" s="3">
        <v>30360000</v>
      </c>
      <c r="I322" s="3">
        <v>1500000</v>
      </c>
    </row>
    <row r="323" spans="1:12">
      <c r="A323">
        <f>+A322+1</f>
        <v>2</v>
      </c>
      <c r="B323" s="936" t="s">
        <v>3501</v>
      </c>
      <c r="C323" s="930">
        <v>33000000</v>
      </c>
      <c r="D323" s="930">
        <v>29700000</v>
      </c>
      <c r="E323" s="933"/>
      <c r="F323" s="935" t="s">
        <v>3506</v>
      </c>
      <c r="G323" s="3">
        <v>2500000</v>
      </c>
      <c r="H323" s="3">
        <v>27000000</v>
      </c>
    </row>
    <row r="324" spans="1:12">
      <c r="A324">
        <f t="shared" ref="A324:A329" si="15">+A323+1</f>
        <v>3</v>
      </c>
      <c r="B324" s="936" t="s">
        <v>3502</v>
      </c>
      <c r="C324" s="930">
        <v>30000000</v>
      </c>
      <c r="D324" s="930">
        <v>27000000</v>
      </c>
      <c r="E324" s="933"/>
      <c r="H324" s="3">
        <v>29700000</v>
      </c>
    </row>
    <row r="325" spans="1:12">
      <c r="A325">
        <f t="shared" si="15"/>
        <v>4</v>
      </c>
      <c r="B325" s="936" t="s">
        <v>3503</v>
      </c>
      <c r="C325" s="930">
        <v>33000000</v>
      </c>
      <c r="D325" s="930">
        <v>30690000</v>
      </c>
      <c r="E325" s="933"/>
      <c r="H325" s="3">
        <v>29700000</v>
      </c>
    </row>
    <row r="326" spans="1:12">
      <c r="A326">
        <f t="shared" si="15"/>
        <v>5</v>
      </c>
      <c r="B326" s="936" t="s">
        <v>3504</v>
      </c>
      <c r="C326" s="930">
        <v>33000000</v>
      </c>
      <c r="D326" s="930">
        <v>29700000</v>
      </c>
      <c r="E326" s="933"/>
    </row>
    <row r="327" spans="1:12">
      <c r="A327">
        <f t="shared" si="15"/>
        <v>6</v>
      </c>
      <c r="H327" s="3">
        <v>250000</v>
      </c>
    </row>
    <row r="328" spans="1:12">
      <c r="A328">
        <f t="shared" si="15"/>
        <v>7</v>
      </c>
      <c r="H328" s="3">
        <v>1920000</v>
      </c>
    </row>
    <row r="329" spans="1:12">
      <c r="A329">
        <f t="shared" si="15"/>
        <v>8</v>
      </c>
      <c r="H329" s="3">
        <v>250000</v>
      </c>
    </row>
    <row r="330" spans="1:12">
      <c r="H330" s="3">
        <v>100000</v>
      </c>
    </row>
    <row r="333" spans="1:12">
      <c r="G333" s="3">
        <f t="shared" ref="G333:L333" si="16">SUM(G322:G332)</f>
        <v>9000000</v>
      </c>
      <c r="H333" s="3">
        <f t="shared" si="16"/>
        <v>119280000</v>
      </c>
      <c r="I333" s="3">
        <f t="shared" si="16"/>
        <v>1500000</v>
      </c>
      <c r="J333" s="3">
        <f t="shared" si="16"/>
        <v>0</v>
      </c>
      <c r="K333" s="3">
        <f t="shared" si="16"/>
        <v>0</v>
      </c>
      <c r="L333" s="3">
        <f t="shared" si="16"/>
        <v>0</v>
      </c>
    </row>
    <row r="334" spans="1:12">
      <c r="H334" s="3">
        <f>+H320+G333-H333</f>
        <v>71046000</v>
      </c>
      <c r="J334" s="3">
        <f>+J320+I333</f>
        <v>4560300</v>
      </c>
      <c r="K334">
        <v>1300</v>
      </c>
    </row>
    <row r="335" spans="1:12">
      <c r="C335" s="938">
        <v>45878</v>
      </c>
      <c r="E335" s="927" t="s">
        <v>3407</v>
      </c>
      <c r="F335" s="927" t="s">
        <v>3408</v>
      </c>
      <c r="G335" s="928" t="s">
        <v>3373</v>
      </c>
      <c r="H335" s="928" t="s">
        <v>3374</v>
      </c>
      <c r="I335" s="928" t="s">
        <v>3373</v>
      </c>
      <c r="J335" s="928" t="s">
        <v>3374</v>
      </c>
      <c r="K335" s="928" t="s">
        <v>3373</v>
      </c>
      <c r="L335" s="928" t="s">
        <v>3374</v>
      </c>
    </row>
    <row r="336" spans="1:12">
      <c r="H336" s="3">
        <v>30690000</v>
      </c>
      <c r="J336" s="3">
        <v>1000000</v>
      </c>
      <c r="K336">
        <v>200</v>
      </c>
    </row>
    <row r="337" spans="7:12">
      <c r="H337" s="3">
        <v>3000000</v>
      </c>
    </row>
    <row r="338" spans="7:12">
      <c r="H338" s="3">
        <v>100000</v>
      </c>
    </row>
    <row r="339" spans="7:12">
      <c r="H339" s="3">
        <v>200000</v>
      </c>
    </row>
    <row r="340" spans="7:12">
      <c r="H340" s="3">
        <v>30000000</v>
      </c>
    </row>
    <row r="341" spans="7:12">
      <c r="H341" s="3">
        <f>200*12600</f>
        <v>2520000</v>
      </c>
    </row>
    <row r="342" spans="7:12">
      <c r="G342" s="3">
        <f t="shared" ref="G342:L342" si="17">SUM(G336:G341)</f>
        <v>0</v>
      </c>
      <c r="H342" s="3">
        <f t="shared" si="17"/>
        <v>66510000</v>
      </c>
      <c r="I342" s="3">
        <f t="shared" si="17"/>
        <v>0</v>
      </c>
      <c r="J342" s="3">
        <f t="shared" si="17"/>
        <v>1000000</v>
      </c>
      <c r="K342" s="3">
        <f t="shared" si="17"/>
        <v>200</v>
      </c>
      <c r="L342" s="3">
        <f t="shared" si="17"/>
        <v>0</v>
      </c>
    </row>
    <row r="343" spans="7:12">
      <c r="H343" s="930">
        <f>+H334-H342</f>
        <v>4536000</v>
      </c>
      <c r="J343" s="3">
        <f>+J334-J342</f>
        <v>3560300</v>
      </c>
      <c r="K343" s="661">
        <f>+K334+K342</f>
        <v>1500</v>
      </c>
    </row>
  </sheetData>
  <mergeCells count="3">
    <mergeCell ref="I2:J2"/>
    <mergeCell ref="G2:H2"/>
    <mergeCell ref="K2:L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C3:X7510"/>
  <sheetViews>
    <sheetView tabSelected="1" topLeftCell="H7478" zoomScale="85" zoomScaleNormal="85" workbookViewId="0">
      <selection activeCell="J7490" sqref="J7490"/>
    </sheetView>
  </sheetViews>
  <sheetFormatPr defaultRowHeight="14.4"/>
  <cols>
    <col min="3" max="3" width="15.21875" bestFit="1" customWidth="1"/>
    <col min="4" max="4" width="6.88671875" customWidth="1"/>
    <col min="5" max="5" width="12.5546875" customWidth="1"/>
    <col min="6" max="8" width="9.44140625" customWidth="1"/>
    <col min="9" max="9" width="40.6640625" customWidth="1"/>
    <col min="10" max="10" width="18.5546875" style="3" customWidth="1"/>
    <col min="11" max="11" width="23.109375" style="3" customWidth="1"/>
    <col min="12" max="12" width="20.44140625" style="1527" customWidth="1"/>
    <col min="13" max="13" width="28.21875" style="1527" customWidth="1"/>
    <col min="14" max="14" width="18.77734375" style="3" bestFit="1" customWidth="1"/>
    <col min="15" max="15" width="37.109375" style="1527" customWidth="1"/>
    <col min="16" max="16" width="17" style="1527" customWidth="1"/>
    <col min="17" max="17" width="24.77734375" bestFit="1" customWidth="1"/>
    <col min="18" max="18" width="16.77734375" customWidth="1"/>
    <col min="19" max="19" width="26.44140625" bestFit="1" customWidth="1"/>
    <col min="20" max="20" width="15.88671875" style="1019" customWidth="1"/>
    <col min="21" max="21" width="24.77734375" bestFit="1" customWidth="1"/>
    <col min="22" max="22" width="13.33203125" customWidth="1"/>
    <col min="23" max="23" width="22.88671875" bestFit="1" customWidth="1"/>
    <col min="24" max="24" width="15.21875" bestFit="1" customWidth="1"/>
  </cols>
  <sheetData>
    <row r="3" spans="3:17">
      <c r="C3" s="3"/>
      <c r="E3" s="941" t="s">
        <v>3511</v>
      </c>
      <c r="F3" s="3">
        <v>440000000</v>
      </c>
      <c r="G3" s="944">
        <v>45892</v>
      </c>
      <c r="H3" s="944"/>
    </row>
    <row r="4" spans="3:17">
      <c r="C4" s="3"/>
      <c r="J4" s="940" t="s">
        <v>3510</v>
      </c>
      <c r="K4" s="996"/>
      <c r="L4" s="996" t="s">
        <v>3509</v>
      </c>
      <c r="M4" s="996"/>
      <c r="N4" s="996" t="s">
        <v>3373</v>
      </c>
    </row>
    <row r="5" spans="3:17">
      <c r="C5" s="3"/>
      <c r="J5" s="3">
        <v>17745000</v>
      </c>
      <c r="L5" s="3">
        <v>55000</v>
      </c>
      <c r="M5" s="3"/>
      <c r="N5" s="3">
        <v>3800000</v>
      </c>
    </row>
    <row r="6" spans="3:17">
      <c r="J6" s="3">
        <v>94000000</v>
      </c>
      <c r="L6" s="3">
        <v>2900000</v>
      </c>
      <c r="M6" s="3"/>
      <c r="N6" s="3">
        <v>39700000</v>
      </c>
    </row>
    <row r="7" spans="3:17">
      <c r="J7" s="3">
        <v>13800000</v>
      </c>
      <c r="L7" s="3">
        <v>100000</v>
      </c>
      <c r="M7" s="3"/>
    </row>
    <row r="8" spans="3:17">
      <c r="J8" s="3">
        <v>19000000</v>
      </c>
      <c r="L8" s="3">
        <v>5000000</v>
      </c>
      <c r="M8" s="3"/>
    </row>
    <row r="9" spans="3:17">
      <c r="J9" s="3">
        <v>83500000</v>
      </c>
      <c r="L9" s="3"/>
      <c r="M9" s="3"/>
    </row>
    <row r="10" spans="3:17">
      <c r="J10" s="3">
        <v>11400000</v>
      </c>
      <c r="L10" s="3"/>
      <c r="M10" s="3"/>
    </row>
    <row r="11" spans="3:17">
      <c r="J11" s="3">
        <v>93400000</v>
      </c>
      <c r="L11" s="3"/>
      <c r="M11" s="3"/>
    </row>
    <row r="12" spans="3:17">
      <c r="J12" s="922">
        <f>SUM(J5:J11)</f>
        <v>332845000</v>
      </c>
      <c r="K12" s="922"/>
      <c r="L12" s="922">
        <f>SUM(L5:L8)</f>
        <v>8055000</v>
      </c>
      <c r="M12" s="922"/>
      <c r="N12" s="942">
        <f>SUM(N5:N6)</f>
        <v>43500000</v>
      </c>
    </row>
    <row r="13" spans="3:17">
      <c r="I13" s="941" t="s">
        <v>3512</v>
      </c>
      <c r="J13" s="939">
        <f>F3-J12-L12+N12</f>
        <v>142600000</v>
      </c>
      <c r="K13" s="939"/>
    </row>
    <row r="14" spans="3:17">
      <c r="G14" s="943">
        <v>45891</v>
      </c>
      <c r="H14" s="943"/>
    </row>
    <row r="15" spans="3:17">
      <c r="J15" s="940" t="s">
        <v>3510</v>
      </c>
      <c r="K15" s="996"/>
      <c r="L15" s="996" t="s">
        <v>3509</v>
      </c>
      <c r="M15" s="996"/>
      <c r="N15" s="996" t="s">
        <v>3373</v>
      </c>
      <c r="P15" s="996" t="s">
        <v>3520</v>
      </c>
      <c r="Q15" s="945"/>
    </row>
    <row r="16" spans="3:17">
      <c r="K16" s="996" t="s">
        <v>3515</v>
      </c>
      <c r="L16" s="3">
        <v>200000</v>
      </c>
      <c r="M16" s="996" t="s">
        <v>3514</v>
      </c>
      <c r="N16" s="3">
        <v>18000000</v>
      </c>
      <c r="P16" s="1527">
        <v>1700</v>
      </c>
    </row>
    <row r="17" spans="7:17">
      <c r="K17" s="996" t="s">
        <v>3516</v>
      </c>
      <c r="L17" s="3">
        <v>3600000</v>
      </c>
      <c r="M17" s="3"/>
    </row>
    <row r="18" spans="7:17">
      <c r="K18" s="996" t="s">
        <v>3405</v>
      </c>
      <c r="L18" s="3">
        <v>8700000</v>
      </c>
      <c r="M18" s="3"/>
    </row>
    <row r="19" spans="7:17">
      <c r="K19" s="996" t="s">
        <v>3517</v>
      </c>
      <c r="L19" s="3">
        <v>2500000</v>
      </c>
      <c r="M19" s="3"/>
    </row>
    <row r="20" spans="7:17">
      <c r="K20" s="996" t="s">
        <v>3518</v>
      </c>
      <c r="L20" s="3">
        <v>1000000</v>
      </c>
      <c r="M20" s="3"/>
    </row>
    <row r="21" spans="7:17">
      <c r="K21" s="996" t="s">
        <v>3519</v>
      </c>
      <c r="L21" s="3">
        <v>100000</v>
      </c>
      <c r="M21" s="3"/>
    </row>
    <row r="22" spans="7:17">
      <c r="L22" s="3"/>
      <c r="M22" s="3"/>
    </row>
    <row r="23" spans="7:17">
      <c r="L23" s="922">
        <f>SUM(L16:L22)</f>
        <v>16100000</v>
      </c>
      <c r="M23" s="922"/>
      <c r="N23" s="922">
        <f>SUM(N16:N22)</f>
        <v>18000000</v>
      </c>
    </row>
    <row r="24" spans="7:17">
      <c r="I24" s="941" t="s">
        <v>3512</v>
      </c>
      <c r="J24" s="3">
        <f>J13-L23+N23</f>
        <v>144500000</v>
      </c>
      <c r="L24" s="3"/>
      <c r="M24" s="3"/>
    </row>
    <row r="25" spans="7:17">
      <c r="G25" s="944">
        <v>45892</v>
      </c>
      <c r="H25" s="944"/>
      <c r="L25" s="3"/>
      <c r="M25" s="3"/>
    </row>
    <row r="26" spans="7:17">
      <c r="J26" s="940" t="s">
        <v>3510</v>
      </c>
      <c r="K26" s="996"/>
      <c r="L26" s="996" t="s">
        <v>3509</v>
      </c>
      <c r="M26" s="996"/>
      <c r="N26" s="996" t="s">
        <v>3373</v>
      </c>
      <c r="P26" s="996" t="s">
        <v>3529</v>
      </c>
      <c r="Q26" s="945"/>
    </row>
    <row r="27" spans="7:17">
      <c r="G27" s="1572" t="s">
        <v>3527</v>
      </c>
      <c r="H27" s="1572"/>
      <c r="I27" s="1572"/>
      <c r="J27" s="3">
        <v>31850000</v>
      </c>
      <c r="K27" s="996" t="s">
        <v>3522</v>
      </c>
      <c r="L27" s="3">
        <v>100000</v>
      </c>
      <c r="M27" s="996" t="s">
        <v>3521</v>
      </c>
      <c r="N27" s="3">
        <v>100000000</v>
      </c>
      <c r="O27" s="996" t="s">
        <v>3526</v>
      </c>
      <c r="P27" s="1527">
        <v>100</v>
      </c>
    </row>
    <row r="28" spans="7:17">
      <c r="G28" s="1572" t="s">
        <v>3528</v>
      </c>
      <c r="H28" s="1572"/>
      <c r="I28" s="1573"/>
      <c r="J28" s="3">
        <v>30690000</v>
      </c>
      <c r="K28" s="996" t="s">
        <v>3523</v>
      </c>
      <c r="L28" s="3">
        <v>1500000</v>
      </c>
      <c r="M28" s="3"/>
    </row>
    <row r="29" spans="7:17">
      <c r="K29" s="996" t="s">
        <v>3524</v>
      </c>
      <c r="L29" s="3">
        <v>800000</v>
      </c>
      <c r="M29" s="3"/>
    </row>
    <row r="30" spans="7:17">
      <c r="K30" s="996" t="s">
        <v>3525</v>
      </c>
      <c r="L30" s="3">
        <v>1020000</v>
      </c>
      <c r="M30" s="3"/>
    </row>
    <row r="31" spans="7:17">
      <c r="K31" s="996" t="s">
        <v>3363</v>
      </c>
      <c r="L31" s="3">
        <v>700000</v>
      </c>
      <c r="M31" s="3"/>
    </row>
    <row r="32" spans="7:17">
      <c r="K32" s="996" t="s">
        <v>3523</v>
      </c>
      <c r="L32" s="3">
        <v>220000</v>
      </c>
      <c r="M32" s="3"/>
    </row>
    <row r="33" spans="7:17">
      <c r="K33" s="996" t="s">
        <v>3404</v>
      </c>
      <c r="L33" s="3">
        <v>1000000</v>
      </c>
      <c r="M33" s="3"/>
    </row>
    <row r="34" spans="7:17">
      <c r="J34" s="922">
        <f ca="1">SUM(J27:J34)</f>
        <v>62540000</v>
      </c>
      <c r="L34" s="922">
        <f>SUM(L27:L33)</f>
        <v>5340000</v>
      </c>
      <c r="M34" s="3"/>
      <c r="N34" s="922">
        <f>SUM(N27:N33)</f>
        <v>100000000</v>
      </c>
      <c r="P34" s="922">
        <f>SUM(P27:P32)</f>
        <v>100</v>
      </c>
      <c r="Q34" s="946"/>
    </row>
    <row r="36" spans="7:17">
      <c r="G36" s="1572" t="s">
        <v>3530</v>
      </c>
      <c r="H36" s="1572"/>
      <c r="I36" s="1572"/>
      <c r="J36" s="3">
        <f>62540000+5340000</f>
        <v>67880000</v>
      </c>
    </row>
    <row r="37" spans="7:17">
      <c r="I37" s="941" t="s">
        <v>3512</v>
      </c>
      <c r="J37" s="3">
        <f>J24+N27-J36</f>
        <v>176620000</v>
      </c>
    </row>
    <row r="38" spans="7:17">
      <c r="I38" s="945" t="s">
        <v>3531</v>
      </c>
      <c r="J38" s="3">
        <v>1600</v>
      </c>
    </row>
    <row r="39" spans="7:17">
      <c r="G39" s="944">
        <v>45893</v>
      </c>
      <c r="H39" s="944"/>
    </row>
    <row r="40" spans="7:17">
      <c r="J40" s="940" t="s">
        <v>3510</v>
      </c>
      <c r="K40" s="996"/>
      <c r="L40" s="996" t="s">
        <v>3509</v>
      </c>
      <c r="M40" s="996"/>
      <c r="N40" s="996" t="s">
        <v>3373</v>
      </c>
      <c r="P40" s="996" t="s">
        <v>3529</v>
      </c>
      <c r="Q40" s="945"/>
    </row>
    <row r="41" spans="7:17">
      <c r="K41" s="3" t="s">
        <v>3532</v>
      </c>
      <c r="L41" s="3">
        <v>600000</v>
      </c>
      <c r="M41" s="996" t="s">
        <v>3535</v>
      </c>
      <c r="N41" s="996" t="s">
        <v>3534</v>
      </c>
      <c r="P41" s="996">
        <f>1787+4000</f>
        <v>5787</v>
      </c>
      <c r="Q41" s="945"/>
    </row>
    <row r="42" spans="7:17">
      <c r="K42" s="3" t="s">
        <v>3533</v>
      </c>
      <c r="L42" s="3">
        <v>300000</v>
      </c>
      <c r="M42" s="996" t="s">
        <v>3455</v>
      </c>
      <c r="N42" s="3">
        <v>13150000</v>
      </c>
    </row>
    <row r="43" spans="7:17">
      <c r="L43" s="3"/>
      <c r="M43" s="3"/>
    </row>
    <row r="44" spans="7:17">
      <c r="L44" s="3"/>
      <c r="M44" s="3"/>
    </row>
    <row r="45" spans="7:17">
      <c r="L45" s="3"/>
      <c r="M45" s="3"/>
    </row>
    <row r="46" spans="7:17">
      <c r="L46" s="3"/>
      <c r="M46" s="3"/>
    </row>
    <row r="47" spans="7:17">
      <c r="L47" s="922">
        <f>SUM(L41:L46)</f>
        <v>900000</v>
      </c>
      <c r="M47" s="3"/>
      <c r="N47" s="922">
        <f>SUM(N42:N46)</f>
        <v>13150000</v>
      </c>
      <c r="O47" s="922"/>
      <c r="P47" s="922">
        <f>SUM(P41:P46)</f>
        <v>5787</v>
      </c>
      <c r="Q47" s="946"/>
    </row>
    <row r="48" spans="7:17">
      <c r="L48" s="922"/>
      <c r="M48" s="3"/>
      <c r="N48" s="922"/>
      <c r="O48" s="922"/>
      <c r="P48" s="922"/>
      <c r="Q48" s="946"/>
    </row>
    <row r="49" spans="7:19">
      <c r="L49" s="922"/>
      <c r="M49" s="3"/>
      <c r="N49" s="922"/>
      <c r="O49" s="922"/>
      <c r="P49" s="922"/>
      <c r="Q49" s="946"/>
    </row>
    <row r="50" spans="7:19">
      <c r="L50" s="922"/>
      <c r="M50" s="3"/>
      <c r="N50" s="922"/>
      <c r="O50" s="922"/>
      <c r="P50" s="922"/>
      <c r="Q50" s="946"/>
    </row>
    <row r="51" spans="7:19">
      <c r="L51" s="922"/>
      <c r="M51" s="3"/>
      <c r="N51" s="922"/>
      <c r="O51" s="922"/>
      <c r="P51" s="922"/>
      <c r="Q51" s="946"/>
    </row>
    <row r="52" spans="7:19">
      <c r="G52" s="1572" t="s">
        <v>3530</v>
      </c>
      <c r="H52" s="1572"/>
      <c r="I52" s="1572"/>
      <c r="J52" s="922">
        <f>L47</f>
        <v>900000</v>
      </c>
      <c r="L52" s="3"/>
      <c r="M52" s="3"/>
    </row>
    <row r="53" spans="7:19">
      <c r="I53" s="941" t="s">
        <v>3512</v>
      </c>
      <c r="J53" s="922">
        <f>J37-J52+N47</f>
        <v>188870000</v>
      </c>
      <c r="L53" s="3"/>
      <c r="M53" s="3"/>
    </row>
    <row r="54" spans="7:19">
      <c r="I54" s="945" t="s">
        <v>3531</v>
      </c>
      <c r="J54" s="922">
        <v>5787</v>
      </c>
      <c r="L54" s="3"/>
      <c r="M54" s="3"/>
    </row>
    <row r="55" spans="7:19">
      <c r="L55" s="3"/>
      <c r="M55" s="3"/>
    </row>
    <row r="56" spans="7:19">
      <c r="N56" s="3">
        <v>5700</v>
      </c>
    </row>
    <row r="57" spans="7:19">
      <c r="N57" s="3">
        <v>87</v>
      </c>
    </row>
    <row r="60" spans="7:19">
      <c r="G60" s="944">
        <v>45894</v>
      </c>
      <c r="H60" s="944"/>
    </row>
    <row r="62" spans="7:19">
      <c r="J62" s="940" t="s">
        <v>3510</v>
      </c>
      <c r="K62" s="996"/>
      <c r="L62" s="996" t="s">
        <v>3509</v>
      </c>
      <c r="M62" s="996"/>
      <c r="N62" s="996" t="s">
        <v>3373</v>
      </c>
      <c r="P62" s="996" t="s">
        <v>3529</v>
      </c>
      <c r="Q62" s="945"/>
    </row>
    <row r="63" spans="7:19">
      <c r="J63" s="3">
        <v>9200000</v>
      </c>
      <c r="L63" s="3">
        <v>250000</v>
      </c>
      <c r="M63" s="996" t="s">
        <v>3536</v>
      </c>
      <c r="N63" s="3">
        <v>11000000</v>
      </c>
      <c r="P63" s="1527">
        <v>5787</v>
      </c>
    </row>
    <row r="64" spans="7:19">
      <c r="J64" s="3">
        <v>3800000</v>
      </c>
      <c r="L64" s="3">
        <v>300000</v>
      </c>
      <c r="M64" s="996" t="s">
        <v>3521</v>
      </c>
      <c r="N64" s="3">
        <f>53450000-4940000</f>
        <v>48510000</v>
      </c>
      <c r="P64" s="1527">
        <v>400</v>
      </c>
      <c r="S64">
        <v>2.3120000900011201E+19</v>
      </c>
    </row>
    <row r="65" spans="4:16">
      <c r="J65" s="3">
        <v>29700000</v>
      </c>
      <c r="L65" s="3">
        <v>100000</v>
      </c>
      <c r="M65" s="996" t="s">
        <v>3537</v>
      </c>
      <c r="N65" s="3">
        <v>5000000</v>
      </c>
      <c r="P65" s="1527">
        <v>1100</v>
      </c>
    </row>
    <row r="66" spans="4:16">
      <c r="L66" s="3">
        <v>100000</v>
      </c>
      <c r="M66" s="3"/>
    </row>
    <row r="67" spans="4:16">
      <c r="L67" s="3">
        <v>250000</v>
      </c>
      <c r="M67" s="3"/>
    </row>
    <row r="68" spans="4:16">
      <c r="L68" s="3">
        <v>250000</v>
      </c>
      <c r="M68" s="3"/>
    </row>
    <row r="69" spans="4:16">
      <c r="L69" s="3"/>
      <c r="M69" s="3"/>
    </row>
    <row r="70" spans="4:16">
      <c r="J70" s="922">
        <f>SUM(J63:J69)</f>
        <v>42700000</v>
      </c>
      <c r="K70" s="922"/>
      <c r="L70" s="922">
        <f>SUM(L63:L69)</f>
        <v>1250000</v>
      </c>
      <c r="M70" s="922"/>
      <c r="N70" s="922">
        <f>SUM(N63:N69)</f>
        <v>64510000</v>
      </c>
      <c r="P70" s="1527">
        <f>+P63+P64+P65</f>
        <v>7287</v>
      </c>
    </row>
    <row r="74" spans="4:16">
      <c r="D74">
        <v>4000000</v>
      </c>
    </row>
    <row r="75" spans="4:16">
      <c r="D75">
        <f>D74*0.95</f>
        <v>3800000</v>
      </c>
      <c r="G75" s="1572" t="s">
        <v>3530</v>
      </c>
      <c r="H75" s="1572"/>
      <c r="I75" s="1572"/>
      <c r="J75" s="3">
        <f>J70+L70</f>
        <v>43950000</v>
      </c>
    </row>
    <row r="76" spans="4:16">
      <c r="I76" s="947" t="s">
        <v>3512</v>
      </c>
      <c r="J76" s="44">
        <f>J53+N70-J75</f>
        <v>209430000</v>
      </c>
      <c r="N76" s="3">
        <f>+J53+N70-J70-L70</f>
        <v>209430000</v>
      </c>
    </row>
    <row r="77" spans="4:16">
      <c r="I77" s="947" t="s">
        <v>3531</v>
      </c>
      <c r="J77" s="44">
        <f>+P70</f>
        <v>7287</v>
      </c>
    </row>
    <row r="78" spans="4:16">
      <c r="F78" s="3">
        <v>209370000</v>
      </c>
    </row>
    <row r="79" spans="4:16">
      <c r="F79" s="3"/>
    </row>
    <row r="80" spans="4:16">
      <c r="F80" s="661">
        <f>F78-J76</f>
        <v>-60000</v>
      </c>
    </row>
    <row r="83" spans="3:17">
      <c r="G83" s="944">
        <v>45895</v>
      </c>
      <c r="H83" s="944"/>
    </row>
    <row r="85" spans="3:17">
      <c r="J85" s="940" t="s">
        <v>3510</v>
      </c>
      <c r="K85" s="996"/>
      <c r="L85" s="996" t="s">
        <v>3509</v>
      </c>
      <c r="M85" s="996"/>
      <c r="N85" s="996" t="s">
        <v>3541</v>
      </c>
      <c r="P85" s="996" t="s">
        <v>3529</v>
      </c>
      <c r="Q85" s="945"/>
    </row>
    <row r="86" spans="3:17">
      <c r="G86" s="1572" t="s">
        <v>3538</v>
      </c>
      <c r="H86" s="1572"/>
      <c r="I86" s="1572"/>
      <c r="J86" s="3">
        <v>18400000</v>
      </c>
      <c r="K86" s="996" t="s">
        <v>3540</v>
      </c>
      <c r="L86" s="3">
        <v>6600000</v>
      </c>
      <c r="M86" s="996" t="s">
        <v>3542</v>
      </c>
      <c r="N86" s="3">
        <v>40000000</v>
      </c>
      <c r="P86" s="1528">
        <f>J77</f>
        <v>7287</v>
      </c>
      <c r="Q86" s="948"/>
    </row>
    <row r="87" spans="3:17">
      <c r="G87" s="1572" t="s">
        <v>3539</v>
      </c>
      <c r="H87" s="1572"/>
      <c r="I87" s="1572"/>
      <c r="J87" s="3">
        <v>29700000</v>
      </c>
      <c r="K87" s="996" t="s">
        <v>3363</v>
      </c>
      <c r="L87" s="3">
        <v>150000</v>
      </c>
      <c r="M87" s="996" t="s">
        <v>3546</v>
      </c>
      <c r="N87" s="3">
        <v>36000000</v>
      </c>
      <c r="O87" s="1527" t="s">
        <v>3552</v>
      </c>
      <c r="P87" s="1513">
        <v>1650</v>
      </c>
      <c r="Q87" s="949"/>
    </row>
    <row r="88" spans="3:17">
      <c r="G88" s="1572" t="s">
        <v>3496</v>
      </c>
      <c r="H88" s="1572"/>
      <c r="I88" s="1572"/>
      <c r="J88" s="3">
        <v>9200000</v>
      </c>
      <c r="K88" s="996" t="s">
        <v>3545</v>
      </c>
      <c r="L88" s="3">
        <v>1020000</v>
      </c>
      <c r="M88" s="996" t="s">
        <v>3243</v>
      </c>
      <c r="N88" s="3">
        <f>80000000-720*12350</f>
        <v>71108000</v>
      </c>
      <c r="O88" s="996" t="s">
        <v>3435</v>
      </c>
      <c r="P88" s="1528">
        <v>720</v>
      </c>
      <c r="Q88" s="961"/>
    </row>
    <row r="89" spans="3:17">
      <c r="G89" s="1572" t="s">
        <v>3543</v>
      </c>
      <c r="H89" s="1572"/>
      <c r="I89" s="1573"/>
      <c r="J89" s="3">
        <v>30300000</v>
      </c>
      <c r="K89" s="996" t="s">
        <v>3532</v>
      </c>
      <c r="L89" s="3">
        <v>150000</v>
      </c>
    </row>
    <row r="90" spans="3:17">
      <c r="G90" s="1572" t="s">
        <v>3544</v>
      </c>
      <c r="H90" s="1572"/>
      <c r="I90" s="1573"/>
      <c r="J90" s="3">
        <v>21390000</v>
      </c>
    </row>
    <row r="91" spans="3:17">
      <c r="G91" s="1573" t="s">
        <v>3553</v>
      </c>
      <c r="H91" s="1573"/>
      <c r="I91" s="1573"/>
      <c r="J91" s="3">
        <v>139500000</v>
      </c>
    </row>
    <row r="93" spans="3:17">
      <c r="J93" s="922">
        <f>SUM(J86:J92)</f>
        <v>248490000</v>
      </c>
      <c r="K93" s="922"/>
      <c r="L93" s="922">
        <f>SUM(L86:L92)</f>
        <v>7920000</v>
      </c>
      <c r="M93" s="922"/>
      <c r="N93" s="922">
        <f>SUM(N86:N92)</f>
        <v>147108000</v>
      </c>
      <c r="P93" s="1529">
        <f>SUM(P86:P92)</f>
        <v>9657</v>
      </c>
      <c r="Q93" s="950"/>
    </row>
    <row r="96" spans="3:17">
      <c r="C96" s="3"/>
    </row>
    <row r="97" spans="3:17">
      <c r="C97" s="3"/>
      <c r="D97" s="661"/>
    </row>
    <row r="98" spans="3:17">
      <c r="C98" s="3"/>
      <c r="G98" s="1572" t="s">
        <v>3530</v>
      </c>
      <c r="H98" s="1572"/>
      <c r="I98" s="1572"/>
      <c r="J98" s="3">
        <f>J93+L93</f>
        <v>256410000</v>
      </c>
    </row>
    <row r="99" spans="3:17">
      <c r="C99" s="3"/>
      <c r="G99" s="1574" t="s">
        <v>3512</v>
      </c>
      <c r="H99" s="1574"/>
      <c r="I99" s="1574"/>
      <c r="J99" s="3">
        <f>J76+N93-J98</f>
        <v>100128000</v>
      </c>
    </row>
    <row r="100" spans="3:17">
      <c r="C100" s="3"/>
      <c r="E100" s="3">
        <v>99747000</v>
      </c>
      <c r="G100" s="1574" t="s">
        <v>3531</v>
      </c>
      <c r="H100" s="1574"/>
      <c r="I100" s="1574"/>
      <c r="J100" s="3">
        <f>P93</f>
        <v>9657</v>
      </c>
    </row>
    <row r="101" spans="3:17">
      <c r="C101" s="661"/>
      <c r="E101" s="661">
        <f>J99-E100</f>
        <v>381000</v>
      </c>
    </row>
    <row r="102" spans="3:17">
      <c r="C102" s="661"/>
    </row>
    <row r="107" spans="3:17">
      <c r="G107" s="951">
        <v>45896</v>
      </c>
      <c r="H107" s="951"/>
      <c r="I107" s="48"/>
      <c r="J107" s="49"/>
      <c r="K107" s="49"/>
      <c r="L107" s="1498"/>
      <c r="M107" s="1498"/>
      <c r="N107" s="49"/>
      <c r="O107" s="1498"/>
      <c r="P107" s="1498"/>
      <c r="Q107" s="267"/>
    </row>
    <row r="108" spans="3:17">
      <c r="E108" s="3">
        <v>484000000</v>
      </c>
      <c r="G108" s="48"/>
      <c r="H108" s="48"/>
      <c r="I108" s="48"/>
      <c r="J108" s="952" t="s">
        <v>3510</v>
      </c>
      <c r="K108" s="1495"/>
      <c r="L108" s="1495" t="s">
        <v>3509</v>
      </c>
      <c r="M108" s="1495"/>
      <c r="N108" s="1495" t="s">
        <v>3541</v>
      </c>
      <c r="O108" s="1498"/>
      <c r="P108" s="1495" t="s">
        <v>3529</v>
      </c>
      <c r="Q108" s="965"/>
    </row>
    <row r="109" spans="3:17">
      <c r="G109" s="48"/>
      <c r="H109" s="48"/>
      <c r="I109" s="48" t="s">
        <v>3554</v>
      </c>
      <c r="J109" s="49">
        <v>91000000</v>
      </c>
      <c r="K109" s="49" t="s">
        <v>3547</v>
      </c>
      <c r="L109" s="49">
        <v>2200000</v>
      </c>
      <c r="M109" s="1498"/>
      <c r="N109" s="49">
        <v>4500000</v>
      </c>
      <c r="O109" s="1498"/>
      <c r="P109" s="1498"/>
      <c r="Q109" s="267"/>
    </row>
    <row r="110" spans="3:17">
      <c r="G110" s="48"/>
      <c r="H110" s="48"/>
      <c r="I110" s="48" t="s">
        <v>3554</v>
      </c>
      <c r="J110" s="49">
        <v>91000000</v>
      </c>
      <c r="K110" s="49" t="s">
        <v>3548</v>
      </c>
      <c r="L110" s="49">
        <v>12000000</v>
      </c>
      <c r="M110" s="1498"/>
      <c r="N110" s="49">
        <v>43000000</v>
      </c>
      <c r="O110" s="1498"/>
      <c r="P110" s="1498"/>
      <c r="Q110" s="267"/>
    </row>
    <row r="111" spans="3:17">
      <c r="G111" s="48"/>
      <c r="H111" s="48"/>
      <c r="I111" s="953" t="s">
        <v>3549</v>
      </c>
      <c r="J111" s="49">
        <v>19000000</v>
      </c>
      <c r="K111" s="1495" t="s">
        <v>3404</v>
      </c>
      <c r="L111" s="49">
        <v>200000</v>
      </c>
      <c r="M111" s="1495" t="s">
        <v>3551</v>
      </c>
      <c r="N111" s="49">
        <v>36000000</v>
      </c>
      <c r="O111" s="1498"/>
      <c r="P111" s="1498"/>
      <c r="Q111" s="267"/>
    </row>
    <row r="112" spans="3:17">
      <c r="G112" s="48"/>
      <c r="H112" s="48"/>
      <c r="I112" s="48"/>
      <c r="J112" s="49">
        <v>46500000</v>
      </c>
      <c r="K112" s="1495" t="s">
        <v>3550</v>
      </c>
      <c r="L112" s="49">
        <v>900000</v>
      </c>
      <c r="M112" s="1498"/>
      <c r="N112" s="49"/>
      <c r="O112" s="1498"/>
      <c r="P112" s="1498"/>
      <c r="Q112" s="267"/>
    </row>
    <row r="113" spans="6:17">
      <c r="G113" s="48"/>
      <c r="H113" s="48"/>
      <c r="I113" s="48"/>
      <c r="J113" s="49">
        <v>64000000</v>
      </c>
      <c r="K113" s="49"/>
      <c r="L113" s="49"/>
      <c r="M113" s="1498"/>
      <c r="N113" s="49"/>
      <c r="O113" s="1498"/>
      <c r="P113" s="1498"/>
      <c r="Q113" s="267"/>
    </row>
    <row r="114" spans="6:17">
      <c r="G114" s="48"/>
      <c r="H114" s="48"/>
      <c r="I114" s="48"/>
      <c r="J114" s="49">
        <v>29700000</v>
      </c>
      <c r="K114" s="49"/>
      <c r="L114" s="49"/>
      <c r="M114" s="1498"/>
      <c r="N114" s="49"/>
      <c r="O114" s="1498"/>
      <c r="P114" s="1498"/>
      <c r="Q114" s="267"/>
    </row>
    <row r="115" spans="6:17">
      <c r="G115" s="48"/>
      <c r="H115" s="48"/>
      <c r="I115" s="48"/>
      <c r="J115" s="954">
        <f>SUM(J109:J114)</f>
        <v>341200000</v>
      </c>
      <c r="K115" s="954"/>
      <c r="L115" s="954">
        <f>SUM(L109:L113)</f>
        <v>15300000</v>
      </c>
      <c r="M115" s="1498"/>
      <c r="N115" s="954">
        <f>SUM(N109:N113)</f>
        <v>83500000</v>
      </c>
      <c r="O115" s="1498"/>
      <c r="P115" s="1498"/>
      <c r="Q115" s="267"/>
    </row>
    <row r="120" spans="6:17">
      <c r="G120" s="1572" t="s">
        <v>3530</v>
      </c>
      <c r="H120" s="1572"/>
      <c r="I120" s="1572"/>
      <c r="J120" s="3">
        <f>J115+L115</f>
        <v>356500000</v>
      </c>
    </row>
    <row r="121" spans="6:17">
      <c r="G121" s="1574" t="s">
        <v>3512</v>
      </c>
      <c r="H121" s="1574"/>
      <c r="I121" s="1574"/>
      <c r="J121" s="3">
        <f>E108+N115-J120</f>
        <v>211000000</v>
      </c>
    </row>
    <row r="122" spans="6:17">
      <c r="F122" s="3"/>
      <c r="G122" s="1574" t="s">
        <v>3531</v>
      </c>
      <c r="H122" s="1574"/>
      <c r="I122" s="1574"/>
      <c r="J122" s="3">
        <v>1500</v>
      </c>
    </row>
    <row r="123" spans="6:17">
      <c r="F123" s="661"/>
    </row>
    <row r="134" spans="5:17">
      <c r="E134" s="3">
        <v>150000000</v>
      </c>
      <c r="G134" s="951">
        <v>45909</v>
      </c>
      <c r="H134" s="951"/>
      <c r="I134" s="48"/>
      <c r="J134" s="49"/>
      <c r="K134" s="49"/>
      <c r="L134" s="1498"/>
      <c r="M134" s="1498"/>
      <c r="N134" s="49"/>
      <c r="O134" s="1498"/>
      <c r="P134" s="1498"/>
      <c r="Q134" s="267"/>
    </row>
    <row r="135" spans="5:17">
      <c r="G135" s="48"/>
      <c r="H135" s="48"/>
      <c r="I135" s="48"/>
      <c r="J135" s="952" t="s">
        <v>3510</v>
      </c>
      <c r="K135" s="1495"/>
      <c r="L135" s="1495" t="s">
        <v>3509</v>
      </c>
      <c r="M135" s="1495"/>
      <c r="N135" s="1495" t="s">
        <v>3541</v>
      </c>
      <c r="O135" s="1498"/>
      <c r="P135" s="1495" t="s">
        <v>3529</v>
      </c>
      <c r="Q135" s="965"/>
    </row>
    <row r="136" spans="5:17">
      <c r="G136" s="48"/>
      <c r="H136" s="48"/>
      <c r="I136" s="48" t="s">
        <v>3559</v>
      </c>
      <c r="J136" s="49">
        <f>33000000*0.93</f>
        <v>30690000</v>
      </c>
      <c r="K136" s="49" t="s">
        <v>3560</v>
      </c>
      <c r="L136" s="49">
        <v>100000</v>
      </c>
      <c r="M136" s="1498"/>
      <c r="N136" s="49">
        <v>8000000</v>
      </c>
      <c r="O136" s="1498"/>
      <c r="P136" s="1498"/>
      <c r="Q136" s="267"/>
    </row>
    <row r="137" spans="5:17">
      <c r="G137" s="48"/>
      <c r="H137" s="267"/>
      <c r="I137" s="958" t="s">
        <v>3562</v>
      </c>
      <c r="J137" s="49">
        <f>100000000*0.91</f>
        <v>91000000</v>
      </c>
      <c r="K137" s="1495" t="s">
        <v>3561</v>
      </c>
      <c r="L137" s="49">
        <v>16000000</v>
      </c>
      <c r="M137" s="1498"/>
      <c r="N137" s="49"/>
      <c r="O137" s="1498"/>
      <c r="P137" s="1498"/>
      <c r="Q137" s="267"/>
    </row>
    <row r="138" spans="5:17">
      <c r="G138" s="48"/>
      <c r="H138" s="48"/>
      <c r="I138" s="960" t="s">
        <v>3563</v>
      </c>
      <c r="J138" s="49">
        <v>12050000</v>
      </c>
      <c r="K138" s="1495" t="s">
        <v>3532</v>
      </c>
      <c r="L138" s="49">
        <v>1300000</v>
      </c>
      <c r="M138" s="1495"/>
      <c r="N138" s="49"/>
      <c r="O138" s="1498"/>
      <c r="P138" s="1498"/>
      <c r="Q138" s="267"/>
    </row>
    <row r="139" spans="5:17">
      <c r="G139" s="48"/>
      <c r="H139" s="48"/>
      <c r="I139" s="48"/>
      <c r="J139" s="49"/>
      <c r="K139" s="1495"/>
      <c r="L139" s="49"/>
      <c r="M139" s="1498"/>
      <c r="N139" s="49"/>
      <c r="O139" s="1498"/>
      <c r="P139" s="1498"/>
      <c r="Q139" s="267"/>
    </row>
    <row r="140" spans="5:17">
      <c r="G140" s="48"/>
      <c r="H140" s="48"/>
      <c r="I140" s="48"/>
      <c r="J140" s="49"/>
      <c r="K140" s="49"/>
      <c r="L140" s="49"/>
      <c r="M140" s="1498"/>
      <c r="N140" s="49"/>
      <c r="O140" s="1498"/>
      <c r="P140" s="1498"/>
      <c r="Q140" s="267"/>
    </row>
    <row r="141" spans="5:17">
      <c r="G141" s="48"/>
      <c r="H141" s="48"/>
      <c r="I141" s="48"/>
      <c r="J141" s="49"/>
      <c r="K141" s="49"/>
      <c r="L141" s="49"/>
      <c r="M141" s="1498"/>
      <c r="N141" s="49"/>
      <c r="O141" s="1498"/>
      <c r="P141" s="1498"/>
      <c r="Q141" s="267"/>
    </row>
    <row r="142" spans="5:17">
      <c r="G142" s="48"/>
      <c r="H142" s="48"/>
      <c r="I142" s="48"/>
      <c r="J142" s="954">
        <f>SUM(J136:J141)</f>
        <v>133740000</v>
      </c>
      <c r="K142" s="954"/>
      <c r="L142" s="954">
        <f>SUM(L136:L140)</f>
        <v>17400000</v>
      </c>
      <c r="M142" s="1498"/>
      <c r="N142" s="954">
        <f>SUM(N136:N140)</f>
        <v>8000000</v>
      </c>
      <c r="O142" s="1498"/>
      <c r="P142" s="1498"/>
      <c r="Q142" s="267"/>
    </row>
    <row r="145" spans="7:18">
      <c r="G145" s="1572" t="s">
        <v>3530</v>
      </c>
      <c r="H145" s="1572"/>
      <c r="I145" s="1572"/>
      <c r="J145" s="3">
        <f>J142+L142</f>
        <v>151140000</v>
      </c>
    </row>
    <row r="146" spans="7:18">
      <c r="G146" s="1574" t="s">
        <v>3512</v>
      </c>
      <c r="H146" s="1574"/>
      <c r="I146" s="1574"/>
      <c r="J146" s="3">
        <f>E134-J145+N142</f>
        <v>6860000</v>
      </c>
    </row>
    <row r="147" spans="7:18">
      <c r="G147" s="1574" t="s">
        <v>3531</v>
      </c>
      <c r="H147" s="1574"/>
      <c r="I147" s="1574"/>
    </row>
    <row r="152" spans="7:18">
      <c r="O152" s="1587" t="s">
        <v>3578</v>
      </c>
      <c r="P152" s="1569"/>
      <c r="Q152" s="1569"/>
      <c r="R152" s="1569"/>
    </row>
    <row r="153" spans="7:18">
      <c r="G153" s="951">
        <v>45911</v>
      </c>
      <c r="H153" s="951"/>
      <c r="I153" s="48"/>
      <c r="J153" s="49"/>
      <c r="K153" s="49"/>
      <c r="L153" s="1498"/>
      <c r="M153" s="1498"/>
      <c r="N153" s="49"/>
      <c r="O153" s="1577" t="s">
        <v>3550</v>
      </c>
      <c r="P153" s="1578"/>
      <c r="Q153" s="1579" t="s">
        <v>3365</v>
      </c>
      <c r="R153" s="1580"/>
    </row>
    <row r="154" spans="7:18">
      <c r="G154" s="48"/>
      <c r="H154" s="48"/>
      <c r="I154" s="48"/>
      <c r="J154" s="952" t="s">
        <v>3510</v>
      </c>
      <c r="K154" s="1495"/>
      <c r="L154" s="1495" t="s">
        <v>3509</v>
      </c>
      <c r="M154" s="1495"/>
      <c r="N154" s="1495" t="s">
        <v>3541</v>
      </c>
      <c r="O154" s="1530"/>
      <c r="P154" s="1530"/>
      <c r="Q154" s="638"/>
      <c r="R154" s="638"/>
    </row>
    <row r="155" spans="7:18">
      <c r="G155" s="962" t="s">
        <v>3572</v>
      </c>
      <c r="H155" s="962"/>
      <c r="I155" s="962" t="s">
        <v>3573</v>
      </c>
      <c r="J155" s="49">
        <v>4650000</v>
      </c>
      <c r="K155" s="49" t="s">
        <v>3566</v>
      </c>
      <c r="L155" s="49">
        <v>22500000</v>
      </c>
      <c r="M155" s="1498" t="s">
        <v>3564</v>
      </c>
      <c r="N155" s="49">
        <v>3500000</v>
      </c>
      <c r="O155" s="1383" t="s">
        <v>3576</v>
      </c>
      <c r="P155" s="644">
        <v>4200000</v>
      </c>
      <c r="Q155" s="967" t="s">
        <v>3574</v>
      </c>
      <c r="R155" s="644">
        <v>17980000</v>
      </c>
    </row>
    <row r="156" spans="7:18">
      <c r="G156" s="48"/>
      <c r="H156" s="267"/>
      <c r="I156" s="958"/>
      <c r="J156" s="49"/>
      <c r="K156" s="1495" t="s">
        <v>3547</v>
      </c>
      <c r="L156" s="49">
        <v>2000000</v>
      </c>
      <c r="M156" s="1498" t="s">
        <v>3565</v>
      </c>
      <c r="N156" s="49">
        <v>4200000</v>
      </c>
      <c r="O156" s="1383" t="s">
        <v>3577</v>
      </c>
      <c r="P156" s="644">
        <v>4650000</v>
      </c>
      <c r="Q156" s="638" t="s">
        <v>3564</v>
      </c>
      <c r="R156" s="644">
        <v>5000000</v>
      </c>
    </row>
    <row r="157" spans="7:18">
      <c r="G157" s="48"/>
      <c r="H157" s="48"/>
      <c r="I157" s="960"/>
      <c r="J157" s="49"/>
      <c r="K157" s="1495" t="s">
        <v>3569</v>
      </c>
      <c r="L157" s="49">
        <v>100000</v>
      </c>
      <c r="M157" s="1495" t="s">
        <v>3567</v>
      </c>
      <c r="N157" s="49">
        <v>45200000</v>
      </c>
      <c r="O157" s="1530"/>
      <c r="P157" s="1530"/>
      <c r="Q157" s="966" t="s">
        <v>3575</v>
      </c>
      <c r="R157" s="644">
        <v>1700000</v>
      </c>
    </row>
    <row r="158" spans="7:18">
      <c r="G158" s="48"/>
      <c r="H158" s="48"/>
      <c r="I158" s="48"/>
      <c r="J158" s="49"/>
      <c r="K158" s="1495" t="s">
        <v>3570</v>
      </c>
      <c r="L158" s="49">
        <v>1000000</v>
      </c>
      <c r="M158" s="1495" t="s">
        <v>3568</v>
      </c>
      <c r="N158" s="49">
        <v>4200000</v>
      </c>
      <c r="O158" s="1530"/>
      <c r="P158" s="1530"/>
      <c r="Q158" s="966" t="s">
        <v>3579</v>
      </c>
      <c r="R158" s="644">
        <v>605000</v>
      </c>
    </row>
    <row r="159" spans="7:18">
      <c r="G159" s="48"/>
      <c r="H159" s="48"/>
      <c r="I159" s="48"/>
      <c r="J159" s="49"/>
      <c r="K159" s="49"/>
      <c r="L159" s="49"/>
      <c r="M159" s="1498"/>
      <c r="N159" s="49"/>
      <c r="O159" s="1530"/>
      <c r="P159" s="1530"/>
      <c r="Q159" s="638"/>
      <c r="R159" s="644"/>
    </row>
    <row r="160" spans="7:18">
      <c r="G160" s="48"/>
      <c r="H160" s="48"/>
      <c r="I160" s="48"/>
      <c r="J160" s="49"/>
      <c r="K160" s="49"/>
      <c r="L160" s="49"/>
      <c r="M160" s="1498"/>
      <c r="N160" s="49"/>
      <c r="O160" s="1530"/>
      <c r="P160" s="1530"/>
      <c r="Q160" s="638"/>
      <c r="R160" s="644"/>
    </row>
    <row r="161" spans="5:18">
      <c r="G161" s="48"/>
      <c r="H161" s="48"/>
      <c r="I161" s="48"/>
      <c r="J161" s="954">
        <f>SUM(J155:J160)</f>
        <v>4650000</v>
      </c>
      <c r="K161" s="954"/>
      <c r="L161" s="954">
        <f>SUM(L155:L159)</f>
        <v>25600000</v>
      </c>
      <c r="M161" s="1498"/>
      <c r="N161" s="954">
        <f>SUM(N155:N159)</f>
        <v>57100000</v>
      </c>
      <c r="O161" s="1530"/>
      <c r="P161" s="969">
        <f>SUM(P155:P160)</f>
        <v>8850000</v>
      </c>
      <c r="Q161" s="968"/>
      <c r="R161" s="969">
        <f>SUM(R155:R160)</f>
        <v>25285000</v>
      </c>
    </row>
    <row r="163" spans="5:18">
      <c r="O163" s="47" t="s">
        <v>3580</v>
      </c>
      <c r="P163" s="1531">
        <f>R161-P161</f>
        <v>16435000</v>
      </c>
    </row>
    <row r="164" spans="5:18">
      <c r="E164" s="946" t="s">
        <v>3571</v>
      </c>
      <c r="F164" s="3">
        <v>57070000</v>
      </c>
      <c r="G164" s="1572" t="s">
        <v>3530</v>
      </c>
      <c r="H164" s="1572"/>
      <c r="I164" s="1572"/>
      <c r="J164" s="3">
        <f>J161+L161</f>
        <v>30250000</v>
      </c>
      <c r="P164" s="3"/>
    </row>
    <row r="165" spans="5:18">
      <c r="G165" s="1574" t="s">
        <v>3512</v>
      </c>
      <c r="H165" s="1574"/>
      <c r="I165" s="1574"/>
      <c r="J165" s="963">
        <f>N161-L161+F164</f>
        <v>88570000</v>
      </c>
    </row>
    <row r="166" spans="5:18">
      <c r="G166" s="1574" t="s">
        <v>3531</v>
      </c>
      <c r="H166" s="1574"/>
      <c r="I166" s="1574"/>
    </row>
    <row r="172" spans="5:18">
      <c r="G172" s="951">
        <v>45912</v>
      </c>
      <c r="H172" s="1168"/>
      <c r="I172" s="1575" t="s">
        <v>3510</v>
      </c>
      <c r="J172" s="1576"/>
      <c r="K172" s="1575" t="s">
        <v>3509</v>
      </c>
      <c r="L172" s="1576"/>
      <c r="M172" s="1575" t="s">
        <v>3541</v>
      </c>
      <c r="N172" s="1576"/>
      <c r="O172" s="1577" t="s">
        <v>3365</v>
      </c>
      <c r="P172" s="1578"/>
      <c r="Q172" s="1579" t="s">
        <v>3550</v>
      </c>
      <c r="R172" s="1580"/>
    </row>
    <row r="173" spans="5:18">
      <c r="G173" s="48"/>
      <c r="H173" s="48"/>
      <c r="I173" s="48" t="s">
        <v>3586</v>
      </c>
      <c r="J173" s="972" t="s">
        <v>3587</v>
      </c>
      <c r="K173" s="1495" t="s">
        <v>3581</v>
      </c>
      <c r="L173" s="1495">
        <v>100000</v>
      </c>
      <c r="M173" s="1495"/>
      <c r="N173" s="1495"/>
      <c r="O173" s="644" t="s">
        <v>3588</v>
      </c>
      <c r="P173" s="644">
        <f>P163</f>
        <v>16435000</v>
      </c>
      <c r="Q173" s="970" t="s">
        <v>3590</v>
      </c>
      <c r="R173" s="644">
        <v>95000</v>
      </c>
    </row>
    <row r="174" spans="5:18">
      <c r="G174" s="962"/>
      <c r="H174" s="962"/>
      <c r="I174" s="962" t="s">
        <v>3583</v>
      </c>
      <c r="J174" s="49">
        <v>30360000</v>
      </c>
      <c r="K174" s="49" t="s">
        <v>3582</v>
      </c>
      <c r="L174" s="49">
        <v>165000</v>
      </c>
      <c r="M174" s="1498"/>
      <c r="N174" s="49"/>
      <c r="O174" s="1383"/>
      <c r="P174" s="644"/>
      <c r="Q174" s="971"/>
      <c r="R174" s="644"/>
    </row>
    <row r="175" spans="5:18">
      <c r="G175" s="48"/>
      <c r="H175" s="267"/>
      <c r="I175" s="964" t="s">
        <v>3584</v>
      </c>
      <c r="J175" s="49">
        <v>30360000</v>
      </c>
      <c r="K175" s="1495" t="s">
        <v>3589</v>
      </c>
      <c r="L175" s="49">
        <v>350000</v>
      </c>
      <c r="M175" s="1498"/>
      <c r="N175" s="49"/>
      <c r="O175" s="1383"/>
      <c r="P175" s="644"/>
      <c r="Q175" s="644"/>
      <c r="R175" s="644"/>
    </row>
    <row r="176" spans="5:18">
      <c r="G176" s="48"/>
      <c r="H176" s="48"/>
      <c r="I176" s="962" t="s">
        <v>3585</v>
      </c>
      <c r="J176" s="49">
        <v>10000000</v>
      </c>
      <c r="K176" s="1495"/>
      <c r="L176" s="49"/>
      <c r="M176" s="1495"/>
      <c r="N176" s="49"/>
      <c r="O176" s="644"/>
      <c r="P176" s="644"/>
      <c r="Q176" s="970"/>
      <c r="R176" s="644"/>
    </row>
    <row r="177" spans="7:18">
      <c r="G177" s="48"/>
      <c r="H177" s="48"/>
      <c r="I177" s="48"/>
      <c r="J177" s="49"/>
      <c r="K177" s="1495"/>
      <c r="L177" s="49"/>
      <c r="M177" s="1495"/>
      <c r="N177" s="49"/>
      <c r="O177" s="644"/>
      <c r="P177" s="644"/>
      <c r="Q177" s="970"/>
      <c r="R177" s="644"/>
    </row>
    <row r="178" spans="7:18">
      <c r="G178" s="48"/>
      <c r="H178" s="48"/>
      <c r="I178" s="48"/>
      <c r="J178" s="49"/>
      <c r="K178" s="49"/>
      <c r="L178" s="49"/>
      <c r="M178" s="1498"/>
      <c r="N178" s="49"/>
      <c r="O178" s="644"/>
      <c r="P178" s="644"/>
      <c r="Q178" s="644"/>
      <c r="R178" s="644"/>
    </row>
    <row r="179" spans="7:18">
      <c r="G179" s="48"/>
      <c r="H179" s="48"/>
      <c r="I179" s="48"/>
      <c r="J179" s="49"/>
      <c r="K179" s="49"/>
      <c r="L179" s="49"/>
      <c r="M179" s="1498"/>
      <c r="N179" s="49"/>
      <c r="O179" s="644"/>
      <c r="P179" s="644"/>
      <c r="Q179" s="644"/>
      <c r="R179" s="644"/>
    </row>
    <row r="180" spans="7:18">
      <c r="G180" s="48"/>
      <c r="H180" s="48"/>
      <c r="I180" s="48"/>
      <c r="J180" s="954">
        <f>SUM(J174:J179)</f>
        <v>70720000</v>
      </c>
      <c r="K180" s="954"/>
      <c r="L180" s="954">
        <f>SUM(L173:L179)</f>
        <v>615000</v>
      </c>
      <c r="M180" s="1498"/>
      <c r="N180" s="954">
        <f>SUM(N174:N178)</f>
        <v>0</v>
      </c>
      <c r="O180" s="644"/>
      <c r="P180" s="969">
        <f>SUM(P173:P179)</f>
        <v>16435000</v>
      </c>
      <c r="Q180" s="969"/>
      <c r="R180" s="969">
        <f>SUM(R173:R179)</f>
        <v>95000</v>
      </c>
    </row>
    <row r="184" spans="7:18">
      <c r="G184" s="1572" t="s">
        <v>3530</v>
      </c>
      <c r="H184" s="1572"/>
      <c r="I184" s="1572"/>
      <c r="J184" s="3">
        <f>J180+L180</f>
        <v>71335000</v>
      </c>
      <c r="O184" s="47" t="s">
        <v>3580</v>
      </c>
      <c r="P184" s="1531">
        <f>P180-R180</f>
        <v>16340000</v>
      </c>
    </row>
    <row r="185" spans="7:18">
      <c r="G185" s="1574" t="s">
        <v>3512</v>
      </c>
      <c r="H185" s="1574"/>
      <c r="I185" s="1574"/>
      <c r="J185" s="3">
        <f>J165-J184</f>
        <v>17235000</v>
      </c>
    </row>
    <row r="186" spans="7:18">
      <c r="G186" s="1574" t="s">
        <v>3531</v>
      </c>
      <c r="H186" s="1574"/>
      <c r="I186" s="1574"/>
    </row>
    <row r="187" spans="7:18">
      <c r="O187" s="3"/>
    </row>
    <row r="188" spans="7:18">
      <c r="I188" s="964" t="s">
        <v>3555</v>
      </c>
      <c r="J188" s="3">
        <v>200000000</v>
      </c>
    </row>
    <row r="195" spans="7:18">
      <c r="G195" s="951">
        <v>45913</v>
      </c>
      <c r="H195" s="1168"/>
      <c r="I195" s="1575" t="s">
        <v>3510</v>
      </c>
      <c r="J195" s="1576"/>
      <c r="K195" s="1575" t="s">
        <v>3509</v>
      </c>
      <c r="L195" s="1576"/>
      <c r="M195" s="1575" t="s">
        <v>3541</v>
      </c>
      <c r="N195" s="1576"/>
      <c r="O195" s="1577" t="s">
        <v>3598</v>
      </c>
      <c r="P195" s="1578"/>
      <c r="Q195" s="1579" t="s">
        <v>3599</v>
      </c>
      <c r="R195" s="1580"/>
    </row>
    <row r="196" spans="7:18">
      <c r="G196" s="48"/>
      <c r="H196" s="48"/>
      <c r="I196" s="973" t="s">
        <v>3591</v>
      </c>
      <c r="J196" s="952">
        <v>70000000</v>
      </c>
      <c r="K196" s="1495" t="s">
        <v>3532</v>
      </c>
      <c r="L196" s="3">
        <v>500000</v>
      </c>
      <c r="M196" s="1495" t="s">
        <v>3532</v>
      </c>
      <c r="N196" s="1495">
        <v>187500000</v>
      </c>
      <c r="O196" s="1383" t="s">
        <v>3596</v>
      </c>
      <c r="P196" s="644">
        <f>P184</f>
        <v>16340000</v>
      </c>
      <c r="Q196" s="970"/>
      <c r="R196" s="644"/>
    </row>
    <row r="197" spans="7:18">
      <c r="G197" s="962"/>
      <c r="H197" s="962"/>
      <c r="I197" s="974" t="s">
        <v>3592</v>
      </c>
      <c r="J197" s="952">
        <v>82000000</v>
      </c>
      <c r="K197" s="49" t="s">
        <v>3547</v>
      </c>
      <c r="L197" s="49">
        <v>6000000</v>
      </c>
      <c r="M197" s="1498"/>
      <c r="N197" s="49"/>
      <c r="O197" s="1383"/>
      <c r="P197" s="644"/>
      <c r="Q197" s="971"/>
      <c r="R197" s="644"/>
    </row>
    <row r="198" spans="7:18">
      <c r="G198" s="48"/>
      <c r="H198" s="267"/>
      <c r="I198" s="975" t="s">
        <v>3593</v>
      </c>
      <c r="J198" s="49">
        <v>18600000</v>
      </c>
      <c r="K198" s="1495" t="s">
        <v>3594</v>
      </c>
      <c r="L198" s="49">
        <v>1500000</v>
      </c>
      <c r="M198" s="1498"/>
      <c r="N198" s="49"/>
      <c r="O198" s="1383"/>
      <c r="P198" s="644"/>
      <c r="Q198" s="644"/>
      <c r="R198" s="644"/>
    </row>
    <row r="199" spans="7:18">
      <c r="G199" s="48"/>
      <c r="H199" s="48"/>
      <c r="I199" s="974" t="s">
        <v>3597</v>
      </c>
      <c r="J199" s="49">
        <v>17100000</v>
      </c>
      <c r="K199" s="1495" t="s">
        <v>3595</v>
      </c>
      <c r="L199" s="49">
        <v>100000</v>
      </c>
      <c r="M199" s="1495"/>
      <c r="N199" s="49"/>
      <c r="O199" s="644"/>
      <c r="P199" s="644"/>
      <c r="Q199" s="970"/>
      <c r="R199" s="644"/>
    </row>
    <row r="200" spans="7:18">
      <c r="G200" s="48"/>
      <c r="H200" s="48"/>
      <c r="I200" s="48"/>
      <c r="J200" s="49"/>
      <c r="K200" s="1495"/>
      <c r="L200" s="49"/>
      <c r="M200" s="1495"/>
      <c r="N200" s="49"/>
      <c r="O200" s="644"/>
      <c r="P200" s="644"/>
      <c r="Q200" s="970"/>
      <c r="R200" s="644"/>
    </row>
    <row r="201" spans="7:18">
      <c r="G201" s="48"/>
      <c r="H201" s="48"/>
      <c r="I201" s="48"/>
      <c r="J201" s="49"/>
      <c r="K201" s="49"/>
      <c r="L201" s="49"/>
      <c r="M201" s="1498"/>
      <c r="N201" s="49"/>
      <c r="O201" s="644"/>
      <c r="P201" s="644"/>
      <c r="Q201" s="644"/>
      <c r="R201" s="644"/>
    </row>
    <row r="202" spans="7:18">
      <c r="G202" s="48"/>
      <c r="H202" s="48"/>
      <c r="I202" s="48"/>
      <c r="J202" s="49"/>
      <c r="K202" s="49"/>
      <c r="L202" s="49"/>
      <c r="M202" s="1498"/>
      <c r="N202" s="49"/>
      <c r="O202" s="644"/>
      <c r="P202" s="644"/>
      <c r="Q202" s="644"/>
      <c r="R202" s="644"/>
    </row>
    <row r="203" spans="7:18">
      <c r="G203" s="48"/>
      <c r="H203" s="48"/>
      <c r="I203" s="48"/>
      <c r="J203" s="954">
        <f>SUM(J196:J202)</f>
        <v>187700000</v>
      </c>
      <c r="K203" s="954"/>
      <c r="L203" s="954">
        <f>SUM(L196:L202)</f>
        <v>8100000</v>
      </c>
      <c r="M203" s="1498"/>
      <c r="N203" s="954">
        <f>SUM(N196:N202)</f>
        <v>187500000</v>
      </c>
      <c r="O203" s="644"/>
      <c r="P203" s="969">
        <f>SUM(P196:P202)</f>
        <v>16340000</v>
      </c>
      <c r="Q203" s="969"/>
      <c r="R203" s="969">
        <f>SUM(R196:R202)</f>
        <v>0</v>
      </c>
    </row>
    <row r="207" spans="7:18">
      <c r="G207" s="1572" t="s">
        <v>3530</v>
      </c>
      <c r="H207" s="1572"/>
      <c r="I207" s="1572"/>
      <c r="J207" s="3">
        <f>J203+L203</f>
        <v>195800000</v>
      </c>
      <c r="O207" s="47" t="s">
        <v>3580</v>
      </c>
      <c r="P207" s="1531">
        <f>P203-R203</f>
        <v>16340000</v>
      </c>
    </row>
    <row r="208" spans="7:18">
      <c r="G208" s="1574" t="s">
        <v>3512</v>
      </c>
      <c r="H208" s="1574"/>
      <c r="I208" s="1574"/>
      <c r="J208" s="3">
        <f>J185+N203-J207</f>
        <v>8935000</v>
      </c>
    </row>
    <row r="209" spans="7:18">
      <c r="G209" s="1574" t="s">
        <v>3531</v>
      </c>
      <c r="H209" s="1574"/>
      <c r="I209" s="1574"/>
    </row>
    <row r="218" spans="7:18">
      <c r="G218" s="951">
        <v>45915</v>
      </c>
      <c r="H218" s="1168"/>
      <c r="I218" s="1575" t="s">
        <v>3510</v>
      </c>
      <c r="J218" s="1576"/>
      <c r="K218" s="1575" t="s">
        <v>3509</v>
      </c>
      <c r="L218" s="1576"/>
      <c r="M218" s="1575" t="s">
        <v>3541</v>
      </c>
      <c r="N218" s="1576"/>
      <c r="O218" s="1577" t="s">
        <v>3598</v>
      </c>
      <c r="P218" s="1578"/>
      <c r="Q218" s="1579" t="s">
        <v>3599</v>
      </c>
      <c r="R218" s="1580"/>
    </row>
    <row r="219" spans="7:18">
      <c r="G219" s="48"/>
      <c r="H219" s="48"/>
      <c r="I219" s="987" t="s">
        <v>3606</v>
      </c>
      <c r="J219" s="952">
        <v>4600000</v>
      </c>
      <c r="K219" s="1495" t="s">
        <v>3605</v>
      </c>
      <c r="L219" s="3">
        <v>2000000</v>
      </c>
      <c r="M219" s="1495" t="s">
        <v>3602</v>
      </c>
      <c r="N219" s="1495">
        <v>10000000</v>
      </c>
      <c r="O219" s="644"/>
      <c r="P219" s="644"/>
      <c r="Q219" s="970"/>
      <c r="R219" s="644"/>
    </row>
    <row r="220" spans="7:18">
      <c r="G220" s="962"/>
      <c r="H220" s="962"/>
      <c r="I220" s="985" t="s">
        <v>3609</v>
      </c>
      <c r="J220" s="986">
        <f>7000000+10000000</f>
        <v>17000000</v>
      </c>
      <c r="K220" s="1495" t="s">
        <v>3607</v>
      </c>
      <c r="L220" s="49">
        <v>5500000</v>
      </c>
      <c r="M220" s="1495" t="s">
        <v>3603</v>
      </c>
      <c r="N220" s="49">
        <v>1300000</v>
      </c>
      <c r="O220" s="1383" t="s">
        <v>3610</v>
      </c>
      <c r="P220" s="644">
        <f>P207</f>
        <v>16340000</v>
      </c>
      <c r="Q220" s="988" t="s">
        <v>3609</v>
      </c>
      <c r="R220" s="644">
        <v>5000000</v>
      </c>
    </row>
    <row r="221" spans="7:18">
      <c r="G221" s="48"/>
      <c r="H221" s="267"/>
      <c r="I221" s="989" t="s">
        <v>3611</v>
      </c>
      <c r="J221" s="49">
        <v>30030000</v>
      </c>
      <c r="K221" s="1495" t="s">
        <v>3608</v>
      </c>
      <c r="L221" s="49">
        <v>500000</v>
      </c>
      <c r="M221" s="1495" t="s">
        <v>3604</v>
      </c>
      <c r="N221" s="49">
        <v>30000000</v>
      </c>
      <c r="O221" s="1383" t="s">
        <v>3615</v>
      </c>
      <c r="P221" s="644">
        <v>2000000</v>
      </c>
      <c r="Q221" s="992" t="s">
        <v>3164</v>
      </c>
      <c r="R221" s="644">
        <v>42000</v>
      </c>
    </row>
    <row r="222" spans="7:18">
      <c r="G222" s="48"/>
      <c r="H222" s="48"/>
      <c r="I222" s="974"/>
      <c r="J222" s="49"/>
      <c r="K222" s="1495" t="s">
        <v>3612</v>
      </c>
      <c r="L222" s="49">
        <v>100000</v>
      </c>
      <c r="M222" s="1495" t="s">
        <v>3403</v>
      </c>
      <c r="N222" s="49">
        <v>15000000</v>
      </c>
      <c r="O222" s="644"/>
      <c r="P222" s="644"/>
      <c r="Q222" s="992" t="s">
        <v>3164</v>
      </c>
      <c r="R222" s="644">
        <v>29000</v>
      </c>
    </row>
    <row r="223" spans="7:18">
      <c r="G223" s="48"/>
      <c r="H223" s="48"/>
      <c r="I223" s="48"/>
      <c r="J223" s="49"/>
      <c r="K223" s="1495"/>
      <c r="L223" s="49"/>
      <c r="M223" s="1495" t="s">
        <v>3613</v>
      </c>
      <c r="N223" s="49">
        <v>400000</v>
      </c>
      <c r="O223" s="644"/>
      <c r="P223" s="644"/>
      <c r="Q223" s="992" t="s">
        <v>3164</v>
      </c>
      <c r="R223" s="644">
        <v>42000</v>
      </c>
    </row>
    <row r="224" spans="7:18">
      <c r="G224" s="48"/>
      <c r="H224" s="48"/>
      <c r="I224" s="48"/>
      <c r="J224" s="49"/>
      <c r="K224" s="49"/>
      <c r="L224" s="49"/>
      <c r="M224" s="1498"/>
      <c r="N224" s="49"/>
      <c r="O224" s="644"/>
      <c r="P224" s="644"/>
      <c r="Q224" s="992" t="s">
        <v>3614</v>
      </c>
      <c r="R224" s="644">
        <v>1010000</v>
      </c>
    </row>
    <row r="225" spans="7:18">
      <c r="G225" s="48"/>
      <c r="H225" s="48"/>
      <c r="I225" s="48"/>
      <c r="J225" s="49"/>
      <c r="K225" s="49"/>
      <c r="L225" s="49"/>
      <c r="M225" s="1498"/>
      <c r="N225" s="49"/>
      <c r="O225" s="644"/>
      <c r="P225" s="644"/>
      <c r="Q225" s="992" t="s">
        <v>3613</v>
      </c>
      <c r="R225" s="644">
        <v>400000</v>
      </c>
    </row>
    <row r="226" spans="7:18">
      <c r="G226" s="48"/>
      <c r="H226" s="48"/>
      <c r="I226" s="48"/>
      <c r="J226" s="954">
        <f>SUM(J219:J225)</f>
        <v>51630000</v>
      </c>
      <c r="K226" s="954"/>
      <c r="L226" s="954">
        <f>SUM(L219:L225)</f>
        <v>8100000</v>
      </c>
      <c r="M226" s="1498"/>
      <c r="N226" s="954">
        <f>SUM(N219:N225)</f>
        <v>56700000</v>
      </c>
      <c r="O226" s="644"/>
      <c r="P226" s="969">
        <f>SUM(P219:P225)</f>
        <v>18340000</v>
      </c>
      <c r="Q226" s="969"/>
      <c r="R226" s="969">
        <f>SUM(R219:R225)</f>
        <v>6523000</v>
      </c>
    </row>
    <row r="230" spans="7:18">
      <c r="G230" s="1572" t="s">
        <v>3530</v>
      </c>
      <c r="H230" s="1572"/>
      <c r="I230" s="1572"/>
      <c r="J230" s="3">
        <f>J226+L226</f>
        <v>59730000</v>
      </c>
      <c r="O230" s="47" t="s">
        <v>3580</v>
      </c>
      <c r="P230" s="1531">
        <f>P226-R226</f>
        <v>11817000</v>
      </c>
    </row>
    <row r="231" spans="7:18">
      <c r="G231" s="1574" t="s">
        <v>3512</v>
      </c>
      <c r="H231" s="1574"/>
      <c r="I231" s="1574"/>
      <c r="J231" s="3">
        <f>J208+N226-J230</f>
        <v>5905000</v>
      </c>
    </row>
    <row r="232" spans="7:18">
      <c r="G232" s="1574" t="s">
        <v>3531</v>
      </c>
      <c r="H232" s="1574"/>
      <c r="I232" s="1574"/>
      <c r="P232" s="3"/>
    </row>
    <row r="233" spans="7:18">
      <c r="P233" s="3"/>
    </row>
    <row r="238" spans="7:18">
      <c r="G238" s="951">
        <v>45916</v>
      </c>
      <c r="H238" s="1168"/>
      <c r="I238" s="1575" t="s">
        <v>3510</v>
      </c>
      <c r="J238" s="1576"/>
      <c r="K238" s="1575" t="s">
        <v>3509</v>
      </c>
      <c r="L238" s="1576"/>
      <c r="M238" s="1575" t="s">
        <v>3541</v>
      </c>
      <c r="N238" s="1576"/>
      <c r="O238" s="1577" t="s">
        <v>3598</v>
      </c>
      <c r="P238" s="1578"/>
      <c r="Q238" s="1579" t="s">
        <v>3599</v>
      </c>
      <c r="R238" s="1580"/>
    </row>
    <row r="239" spans="7:18">
      <c r="G239" s="48"/>
      <c r="H239" s="48"/>
      <c r="I239" s="993"/>
      <c r="J239" s="990"/>
      <c r="K239" s="1495" t="s">
        <v>3532</v>
      </c>
      <c r="L239" s="3">
        <v>360000</v>
      </c>
      <c r="M239" s="1495" t="s">
        <v>3532</v>
      </c>
      <c r="N239" s="1495">
        <v>229970000</v>
      </c>
      <c r="O239" s="1383" t="s">
        <v>3617</v>
      </c>
      <c r="P239" s="644">
        <f>P230</f>
        <v>11817000</v>
      </c>
      <c r="Q239" s="992" t="s">
        <v>3364</v>
      </c>
      <c r="R239" s="644">
        <v>40000</v>
      </c>
    </row>
    <row r="240" spans="7:18">
      <c r="G240" s="991"/>
      <c r="H240" s="991"/>
      <c r="I240" s="991"/>
      <c r="J240" s="990"/>
      <c r="K240" s="1495" t="s">
        <v>3532</v>
      </c>
      <c r="L240" s="49">
        <v>4000000</v>
      </c>
      <c r="M240" s="1495"/>
      <c r="N240" s="49"/>
      <c r="O240" s="1383"/>
      <c r="P240" s="644"/>
      <c r="Q240" s="994" t="s">
        <v>3515</v>
      </c>
      <c r="R240" s="644">
        <v>50000</v>
      </c>
    </row>
    <row r="241" spans="7:18">
      <c r="G241" s="48"/>
      <c r="H241" s="267"/>
      <c r="I241" s="989"/>
      <c r="J241" s="49"/>
      <c r="K241" s="1495" t="s">
        <v>3616</v>
      </c>
      <c r="L241" s="1495">
        <v>300000</v>
      </c>
      <c r="M241" s="1495"/>
      <c r="N241" s="49"/>
      <c r="O241" s="1383"/>
      <c r="P241" s="644"/>
      <c r="Q241" s="992" t="s">
        <v>3618</v>
      </c>
      <c r="R241" s="644">
        <v>2864000</v>
      </c>
    </row>
    <row r="242" spans="7:18">
      <c r="G242" s="48"/>
      <c r="H242" s="48"/>
      <c r="I242" s="991"/>
      <c r="J242" s="49"/>
      <c r="K242" s="1495" t="s">
        <v>3363</v>
      </c>
      <c r="L242" s="49">
        <v>365000</v>
      </c>
      <c r="M242" s="1495"/>
      <c r="N242" s="49"/>
      <c r="O242" s="644"/>
      <c r="P242" s="644"/>
      <c r="Q242" s="992"/>
      <c r="R242" s="644"/>
    </row>
    <row r="243" spans="7:18">
      <c r="G243" s="48"/>
      <c r="H243" s="48"/>
      <c r="I243" s="48"/>
      <c r="J243" s="49"/>
      <c r="K243" s="1495" t="s">
        <v>3619</v>
      </c>
      <c r="L243" s="49">
        <v>200000</v>
      </c>
      <c r="M243" s="1495"/>
      <c r="N243" s="49"/>
      <c r="O243" s="644"/>
      <c r="P243" s="644"/>
      <c r="Q243" s="992"/>
      <c r="R243" s="644"/>
    </row>
    <row r="244" spans="7:18">
      <c r="G244" s="48"/>
      <c r="H244" s="48"/>
      <c r="I244" s="48"/>
      <c r="J244" s="49"/>
      <c r="K244" s="1495" t="s">
        <v>3566</v>
      </c>
      <c r="L244" s="49">
        <v>22500000</v>
      </c>
      <c r="M244" s="1498"/>
      <c r="N244" s="49"/>
      <c r="O244" s="644"/>
      <c r="P244" s="644"/>
      <c r="Q244" s="644"/>
      <c r="R244" s="644"/>
    </row>
    <row r="245" spans="7:18">
      <c r="G245" s="48"/>
      <c r="H245" s="48"/>
      <c r="I245" s="48"/>
      <c r="J245" s="49"/>
      <c r="K245" s="49"/>
      <c r="L245" s="49"/>
      <c r="M245" s="1498"/>
      <c r="N245" s="49"/>
      <c r="O245" s="644"/>
      <c r="P245" s="644"/>
      <c r="Q245" s="644"/>
      <c r="R245" s="644"/>
    </row>
    <row r="246" spans="7:18">
      <c r="G246" s="48"/>
      <c r="H246" s="48"/>
      <c r="I246" s="48"/>
      <c r="J246" s="954">
        <f>SUM(J239:J245)</f>
        <v>0</v>
      </c>
      <c r="K246" s="954"/>
      <c r="L246" s="954">
        <f>SUM(L239:L245)</f>
        <v>27725000</v>
      </c>
      <c r="M246" s="1498"/>
      <c r="N246" s="954">
        <f>SUM(N239:N245)</f>
        <v>229970000</v>
      </c>
      <c r="O246" s="644"/>
      <c r="P246" s="969">
        <f>SUM(P239:P245)</f>
        <v>11817000</v>
      </c>
      <c r="Q246" s="969"/>
      <c r="R246" s="969">
        <f>SUM(R239:R245)</f>
        <v>2954000</v>
      </c>
    </row>
    <row r="250" spans="7:18">
      <c r="G250" s="1572" t="s">
        <v>3530</v>
      </c>
      <c r="H250" s="1572"/>
      <c r="I250" s="1572"/>
      <c r="J250" s="3">
        <f>J246+L246</f>
        <v>27725000</v>
      </c>
      <c r="O250" s="47" t="s">
        <v>3580</v>
      </c>
      <c r="P250" s="1531">
        <f>P246-R246</f>
        <v>8863000</v>
      </c>
    </row>
    <row r="251" spans="7:18">
      <c r="G251" s="1574" t="s">
        <v>3512</v>
      </c>
      <c r="H251" s="1574"/>
      <c r="I251" s="1574"/>
      <c r="J251" s="3">
        <f>J231+N246-J250</f>
        <v>208150000</v>
      </c>
    </row>
    <row r="252" spans="7:18">
      <c r="G252" s="1574" t="s">
        <v>3531</v>
      </c>
      <c r="H252" s="1574"/>
      <c r="I252" s="1574"/>
      <c r="J252" s="3">
        <v>0</v>
      </c>
      <c r="P252" s="3"/>
    </row>
    <row r="253" spans="7:18">
      <c r="P253" s="3"/>
    </row>
    <row r="259" spans="7:18">
      <c r="G259" s="951">
        <v>45917</v>
      </c>
      <c r="H259" s="1168"/>
      <c r="I259" s="1575" t="s">
        <v>3510</v>
      </c>
      <c r="J259" s="1576"/>
      <c r="K259" s="1575" t="s">
        <v>3509</v>
      </c>
      <c r="L259" s="1576"/>
      <c r="M259" s="1575" t="s">
        <v>3541</v>
      </c>
      <c r="N259" s="1576"/>
      <c r="O259" s="1577" t="s">
        <v>3598</v>
      </c>
      <c r="P259" s="1578"/>
      <c r="Q259" s="1579" t="s">
        <v>3599</v>
      </c>
      <c r="R259" s="1580"/>
    </row>
    <row r="260" spans="7:18">
      <c r="G260" s="48"/>
      <c r="H260" s="48"/>
      <c r="I260" s="993" t="s">
        <v>3620</v>
      </c>
      <c r="J260" s="990">
        <v>30690000</v>
      </c>
      <c r="K260" s="1495" t="s">
        <v>3623</v>
      </c>
      <c r="L260" s="3">
        <v>510000</v>
      </c>
      <c r="M260" s="1495" t="s">
        <v>3535</v>
      </c>
      <c r="N260" s="1495">
        <v>93000000</v>
      </c>
      <c r="O260" s="1383" t="s">
        <v>3629</v>
      </c>
      <c r="P260" s="644">
        <v>8863000</v>
      </c>
      <c r="Q260" s="992" t="s">
        <v>3630</v>
      </c>
      <c r="R260" s="644">
        <v>371000</v>
      </c>
    </row>
    <row r="261" spans="7:18">
      <c r="G261" s="991"/>
      <c r="H261" s="991"/>
      <c r="I261" s="991" t="s">
        <v>3621</v>
      </c>
      <c r="J261" s="990">
        <v>30690000</v>
      </c>
      <c r="K261" s="1495" t="s">
        <v>3626</v>
      </c>
      <c r="L261" s="49">
        <v>675000</v>
      </c>
      <c r="M261" s="1495" t="s">
        <v>3624</v>
      </c>
      <c r="N261" s="1495" t="s">
        <v>3625</v>
      </c>
      <c r="O261" s="1383"/>
      <c r="P261" s="644"/>
      <c r="Q261" s="994"/>
      <c r="R261" s="644"/>
    </row>
    <row r="262" spans="7:18">
      <c r="G262" s="48"/>
      <c r="H262" s="267"/>
      <c r="I262" s="989" t="s">
        <v>3622</v>
      </c>
      <c r="J262" s="49">
        <v>16740000</v>
      </c>
      <c r="K262" s="1495" t="s">
        <v>3590</v>
      </c>
      <c r="L262" s="1495">
        <v>1000000</v>
      </c>
      <c r="M262" s="1495"/>
      <c r="N262" s="49"/>
      <c r="O262" s="1383"/>
      <c r="P262" s="644"/>
      <c r="Q262" s="992"/>
      <c r="R262" s="644"/>
    </row>
    <row r="263" spans="7:18">
      <c r="G263" s="48" t="s">
        <v>3625</v>
      </c>
      <c r="H263" s="48"/>
      <c r="I263" s="991" t="s">
        <v>3628</v>
      </c>
      <c r="J263" s="49">
        <v>3325000</v>
      </c>
      <c r="K263" s="1495"/>
      <c r="L263" s="49"/>
      <c r="M263" s="1495"/>
      <c r="N263" s="49"/>
      <c r="O263" s="644"/>
      <c r="P263" s="644"/>
      <c r="Q263" s="992"/>
      <c r="R263" s="644"/>
    </row>
    <row r="264" spans="7:18">
      <c r="G264" s="48"/>
      <c r="H264" s="48"/>
      <c r="I264" s="48"/>
      <c r="J264" s="49"/>
      <c r="K264" s="1495"/>
      <c r="L264" s="49"/>
      <c r="M264" s="1495"/>
      <c r="N264" s="49"/>
      <c r="O264" s="644"/>
      <c r="P264" s="644"/>
      <c r="Q264" s="992"/>
      <c r="R264" s="644"/>
    </row>
    <row r="265" spans="7:18">
      <c r="G265" s="48"/>
      <c r="H265" s="48"/>
      <c r="I265" s="48"/>
      <c r="J265" s="49"/>
      <c r="K265" s="1495"/>
      <c r="L265" s="49"/>
      <c r="M265" s="1498"/>
      <c r="N265" s="49"/>
      <c r="O265" s="644"/>
      <c r="P265" s="644"/>
      <c r="Q265" s="644"/>
      <c r="R265" s="644"/>
    </row>
    <row r="266" spans="7:18">
      <c r="G266" s="48"/>
      <c r="H266" s="48"/>
      <c r="I266" s="48"/>
      <c r="J266" s="49"/>
      <c r="K266" s="49"/>
      <c r="L266" s="49"/>
      <c r="M266" s="1498"/>
      <c r="N266" s="49"/>
      <c r="O266" s="644"/>
      <c r="P266" s="644"/>
      <c r="Q266" s="644"/>
      <c r="R266" s="644"/>
    </row>
    <row r="267" spans="7:18">
      <c r="G267" s="48"/>
      <c r="H267" s="48"/>
      <c r="I267" s="48"/>
      <c r="J267" s="954">
        <f>SUM(J260:J266)</f>
        <v>81445000</v>
      </c>
      <c r="K267" s="954"/>
      <c r="L267" s="954">
        <f>SUM(L260:L266)</f>
        <v>2185000</v>
      </c>
      <c r="M267" s="1498"/>
      <c r="N267" s="954">
        <f>SUM(N260:N266)</f>
        <v>93000000</v>
      </c>
      <c r="O267" s="644"/>
      <c r="P267" s="969">
        <f>SUM(P260:P266)</f>
        <v>8863000</v>
      </c>
      <c r="Q267" s="969"/>
      <c r="R267" s="969">
        <f>SUM(R260:R266)</f>
        <v>371000</v>
      </c>
    </row>
    <row r="271" spans="7:18">
      <c r="G271" s="1572" t="s">
        <v>3530</v>
      </c>
      <c r="H271" s="1572"/>
      <c r="I271" s="1572"/>
      <c r="J271" s="3">
        <f>J267+L267</f>
        <v>83630000</v>
      </c>
      <c r="O271" s="47" t="s">
        <v>3580</v>
      </c>
      <c r="P271" s="1531">
        <f>P267-R267</f>
        <v>8492000</v>
      </c>
    </row>
    <row r="272" spans="7:18">
      <c r="G272" s="1574" t="s">
        <v>3512</v>
      </c>
      <c r="H272" s="1574"/>
      <c r="I272" s="1574"/>
      <c r="J272" s="3">
        <f>N267-J271</f>
        <v>9370000</v>
      </c>
    </row>
    <row r="273" spans="7:18">
      <c r="G273" s="1574" t="s">
        <v>3531</v>
      </c>
      <c r="H273" s="1574"/>
      <c r="I273" s="1574"/>
      <c r="J273" s="3">
        <v>0</v>
      </c>
      <c r="K273" s="996">
        <f>12350*500</f>
        <v>6175000</v>
      </c>
      <c r="P273" s="3"/>
    </row>
    <row r="276" spans="7:18">
      <c r="J276" s="3">
        <v>9500000</v>
      </c>
    </row>
    <row r="277" spans="7:18">
      <c r="J277" s="3">
        <f>J276-K273</f>
        <v>3325000</v>
      </c>
    </row>
    <row r="288" spans="7:18">
      <c r="G288" s="951">
        <v>45919</v>
      </c>
      <c r="H288" s="1168"/>
      <c r="I288" s="1575" t="s">
        <v>3510</v>
      </c>
      <c r="J288" s="1576"/>
      <c r="K288" s="1575" t="s">
        <v>3509</v>
      </c>
      <c r="L288" s="1576"/>
      <c r="M288" s="1575" t="s">
        <v>3541</v>
      </c>
      <c r="N288" s="1576"/>
      <c r="O288" s="1577" t="s">
        <v>3598</v>
      </c>
      <c r="P288" s="1578"/>
      <c r="Q288" s="1579" t="s">
        <v>3599</v>
      </c>
      <c r="R288" s="1580"/>
    </row>
    <row r="289" spans="7:18">
      <c r="G289" s="48"/>
      <c r="H289" s="48"/>
      <c r="I289" s="993" t="s">
        <v>3631</v>
      </c>
      <c r="J289" s="990">
        <v>10000000</v>
      </c>
      <c r="K289" s="1495" t="s">
        <v>3632</v>
      </c>
      <c r="L289" s="3">
        <v>2000000</v>
      </c>
      <c r="M289" s="1495" t="s">
        <v>3633</v>
      </c>
      <c r="N289" s="1495">
        <v>9270000</v>
      </c>
      <c r="O289" s="1383"/>
      <c r="P289" s="644"/>
      <c r="Q289" s="992"/>
      <c r="R289" s="644"/>
    </row>
    <row r="290" spans="7:18">
      <c r="G290" s="991"/>
      <c r="H290" s="991"/>
      <c r="I290" s="991" t="s">
        <v>3634</v>
      </c>
      <c r="J290" s="990">
        <v>30410000</v>
      </c>
      <c r="K290" s="1495" t="s">
        <v>3636</v>
      </c>
      <c r="L290" s="49">
        <v>70000</v>
      </c>
      <c r="M290" s="1495" t="s">
        <v>3535</v>
      </c>
      <c r="N290" s="1495">
        <v>63000000</v>
      </c>
      <c r="O290" s="1383"/>
      <c r="P290" s="644"/>
      <c r="Q290" s="994"/>
      <c r="R290" s="644"/>
    </row>
    <row r="291" spans="7:18">
      <c r="G291" s="48"/>
      <c r="H291" s="267"/>
      <c r="I291" s="989" t="s">
        <v>3635</v>
      </c>
      <c r="J291" s="49">
        <v>21160000</v>
      </c>
      <c r="K291" s="1495" t="s">
        <v>3612</v>
      </c>
      <c r="L291" s="1495">
        <v>100000</v>
      </c>
      <c r="M291" s="1495" t="s">
        <v>3535</v>
      </c>
      <c r="N291" s="49">
        <v>8000000</v>
      </c>
      <c r="O291" s="1383"/>
      <c r="P291" s="644"/>
      <c r="Q291" s="992"/>
      <c r="R291" s="644"/>
    </row>
    <row r="292" spans="7:18">
      <c r="G292" s="48"/>
      <c r="H292" s="48"/>
      <c r="I292" s="991" t="s">
        <v>3637</v>
      </c>
      <c r="J292" s="49">
        <f>17900000*0.92</f>
        <v>16468000</v>
      </c>
      <c r="K292" s="1495"/>
      <c r="L292" s="49"/>
      <c r="M292" s="1495"/>
      <c r="N292" s="49"/>
      <c r="O292" s="644"/>
      <c r="P292" s="644"/>
      <c r="Q292" s="992"/>
      <c r="R292" s="644"/>
    </row>
    <row r="293" spans="7:18">
      <c r="G293" s="48"/>
      <c r="H293" s="48"/>
      <c r="I293" s="48"/>
      <c r="J293" s="49"/>
      <c r="K293" s="1495"/>
      <c r="L293" s="49"/>
      <c r="M293" s="1495"/>
      <c r="N293" s="49"/>
      <c r="O293" s="644"/>
      <c r="P293" s="644"/>
      <c r="Q293" s="992"/>
      <c r="R293" s="644"/>
    </row>
    <row r="294" spans="7:18">
      <c r="G294" s="48"/>
      <c r="H294" s="48"/>
      <c r="I294" s="48"/>
      <c r="J294" s="49"/>
      <c r="K294" s="1495"/>
      <c r="L294" s="49"/>
      <c r="M294" s="1498"/>
      <c r="N294" s="49"/>
      <c r="O294" s="644"/>
      <c r="P294" s="644"/>
      <c r="Q294" s="644"/>
      <c r="R294" s="644"/>
    </row>
    <row r="295" spans="7:18">
      <c r="G295" s="48"/>
      <c r="H295" s="48"/>
      <c r="I295" s="48"/>
      <c r="J295" s="49"/>
      <c r="K295" s="49"/>
      <c r="L295" s="49"/>
      <c r="M295" s="1498"/>
      <c r="N295" s="49"/>
      <c r="O295" s="644"/>
      <c r="P295" s="644"/>
      <c r="Q295" s="644"/>
      <c r="R295" s="644"/>
    </row>
    <row r="296" spans="7:18">
      <c r="G296" s="48"/>
      <c r="H296" s="48"/>
      <c r="I296" s="48"/>
      <c r="J296" s="954">
        <f>SUM(J289:J295)</f>
        <v>78038000</v>
      </c>
      <c r="K296" s="954"/>
      <c r="L296" s="954">
        <f>SUM(L289:L295)</f>
        <v>2170000</v>
      </c>
      <c r="M296" s="1498"/>
      <c r="N296" s="954">
        <f>SUM(N289:N295)</f>
        <v>80270000</v>
      </c>
      <c r="O296" s="644"/>
      <c r="P296" s="969">
        <f>SUM(P289:P295)</f>
        <v>0</v>
      </c>
      <c r="Q296" s="969"/>
      <c r="R296" s="969">
        <f>SUM(R289:R295)</f>
        <v>0</v>
      </c>
    </row>
    <row r="300" spans="7:18">
      <c r="G300" s="1572" t="s">
        <v>3530</v>
      </c>
      <c r="H300" s="1572"/>
      <c r="I300" s="1572"/>
      <c r="J300" s="3">
        <f>J296+L296</f>
        <v>80208000</v>
      </c>
      <c r="L300" s="3"/>
      <c r="O300" s="47" t="s">
        <v>3580</v>
      </c>
      <c r="P300" s="1531">
        <f>P296-R296</f>
        <v>0</v>
      </c>
    </row>
    <row r="301" spans="7:18">
      <c r="G301" s="1574" t="s">
        <v>3512</v>
      </c>
      <c r="H301" s="1574"/>
      <c r="I301" s="1574"/>
      <c r="J301" s="3">
        <f>N296-J300</f>
        <v>62000</v>
      </c>
    </row>
    <row r="302" spans="7:18">
      <c r="G302" s="1574" t="s">
        <v>3531</v>
      </c>
      <c r="H302" s="1574"/>
      <c r="I302" s="1574"/>
      <c r="K302" s="996"/>
      <c r="P302" s="3"/>
    </row>
    <row r="304" spans="7:18">
      <c r="I304" s="3"/>
    </row>
    <row r="305" spans="7:18">
      <c r="I305" s="3"/>
    </row>
    <row r="306" spans="7:18">
      <c r="I306" s="3"/>
    </row>
    <row r="307" spans="7:18">
      <c r="I307" s="3"/>
    </row>
    <row r="314" spans="7:18">
      <c r="G314" s="951">
        <v>45922</v>
      </c>
      <c r="H314" s="1168"/>
      <c r="I314" s="1575" t="s">
        <v>3510</v>
      </c>
      <c r="J314" s="1576"/>
      <c r="K314" s="1575" t="s">
        <v>3509</v>
      </c>
      <c r="L314" s="1576"/>
      <c r="M314" s="1575" t="s">
        <v>3541</v>
      </c>
      <c r="N314" s="1576"/>
      <c r="O314" s="1577" t="s">
        <v>3598</v>
      </c>
      <c r="P314" s="1578"/>
      <c r="Q314" s="1579" t="s">
        <v>3599</v>
      </c>
      <c r="R314" s="1580"/>
    </row>
    <row r="315" spans="7:18">
      <c r="G315" s="48"/>
      <c r="H315" s="48"/>
      <c r="I315" s="993"/>
      <c r="J315" s="990"/>
      <c r="K315" s="1495" t="s">
        <v>3532</v>
      </c>
      <c r="L315" s="3">
        <v>11400000</v>
      </c>
      <c r="M315" s="1495" t="s">
        <v>3532</v>
      </c>
      <c r="N315" s="1495">
        <v>108900000</v>
      </c>
      <c r="O315" s="1383"/>
      <c r="P315" s="644"/>
      <c r="Q315" s="992"/>
      <c r="R315" s="644"/>
    </row>
    <row r="316" spans="7:18">
      <c r="G316" s="991"/>
      <c r="H316" s="991"/>
      <c r="I316" s="991"/>
      <c r="J316" s="990"/>
      <c r="K316" s="1495" t="s">
        <v>3638</v>
      </c>
      <c r="L316" s="49">
        <v>280000</v>
      </c>
      <c r="M316" s="1495" t="s">
        <v>3641</v>
      </c>
      <c r="N316" s="1495">
        <v>18600000</v>
      </c>
      <c r="O316" s="1383"/>
      <c r="P316" s="644"/>
      <c r="Q316" s="994"/>
      <c r="R316" s="644"/>
    </row>
    <row r="317" spans="7:18">
      <c r="G317" s="48"/>
      <c r="H317" s="267"/>
      <c r="I317" s="989"/>
      <c r="J317" s="49"/>
      <c r="K317" s="1495" t="s">
        <v>3639</v>
      </c>
      <c r="L317" s="1495">
        <v>300000</v>
      </c>
      <c r="M317" s="1495" t="s">
        <v>3642</v>
      </c>
      <c r="N317" s="49">
        <v>5480000</v>
      </c>
      <c r="O317" s="1383"/>
      <c r="P317" s="644"/>
      <c r="Q317" s="992"/>
      <c r="R317" s="644"/>
    </row>
    <row r="318" spans="7:18">
      <c r="G318" s="48"/>
      <c r="H318" s="48"/>
      <c r="I318" s="991"/>
      <c r="J318" s="49"/>
      <c r="K318" s="1495" t="s">
        <v>3640</v>
      </c>
      <c r="L318" s="49">
        <v>600000</v>
      </c>
      <c r="M318" s="1495"/>
      <c r="N318" s="49"/>
      <c r="O318" s="644"/>
      <c r="P318" s="644"/>
      <c r="Q318" s="992"/>
      <c r="R318" s="644"/>
    </row>
    <row r="319" spans="7:18">
      <c r="G319" s="48"/>
      <c r="H319" s="48"/>
      <c r="I319" s="48"/>
      <c r="J319" s="49"/>
      <c r="K319" s="1495" t="s">
        <v>3605</v>
      </c>
      <c r="L319" s="49">
        <v>2000000</v>
      </c>
      <c r="M319" s="1495"/>
      <c r="N319" s="49"/>
      <c r="O319" s="644"/>
      <c r="P319" s="644"/>
      <c r="Q319" s="992"/>
      <c r="R319" s="644"/>
    </row>
    <row r="320" spans="7:18">
      <c r="G320" s="48"/>
      <c r="H320" s="48"/>
      <c r="I320" s="48"/>
      <c r="J320" s="49"/>
      <c r="K320" s="1495" t="s">
        <v>3522</v>
      </c>
      <c r="L320" s="49">
        <v>60000</v>
      </c>
      <c r="M320" s="1498"/>
      <c r="N320" s="49"/>
      <c r="O320" s="644"/>
      <c r="P320" s="644"/>
      <c r="Q320" s="644"/>
      <c r="R320" s="644"/>
    </row>
    <row r="321" spans="7:18">
      <c r="G321" s="48"/>
      <c r="H321" s="48"/>
      <c r="I321" s="48"/>
      <c r="J321" s="49"/>
      <c r="K321" s="1495" t="s">
        <v>3404</v>
      </c>
      <c r="L321" s="49">
        <v>150000</v>
      </c>
      <c r="M321" s="1498"/>
      <c r="N321" s="49"/>
      <c r="O321" s="644"/>
      <c r="P321" s="644"/>
      <c r="Q321" s="644"/>
      <c r="R321" s="644"/>
    </row>
    <row r="322" spans="7:18">
      <c r="G322" s="48"/>
      <c r="H322" s="48"/>
      <c r="I322" s="48"/>
      <c r="J322" s="49"/>
      <c r="K322" s="1495" t="s">
        <v>3363</v>
      </c>
      <c r="L322" s="49">
        <v>460000</v>
      </c>
      <c r="M322" s="1498"/>
      <c r="N322" s="49"/>
      <c r="O322" s="644"/>
      <c r="P322" s="644"/>
      <c r="Q322" s="644"/>
      <c r="R322" s="644"/>
    </row>
    <row r="323" spans="7:18">
      <c r="G323" s="48"/>
      <c r="H323" s="48"/>
      <c r="I323" s="48"/>
      <c r="J323" s="49"/>
      <c r="K323" s="49"/>
      <c r="L323" s="49"/>
      <c r="M323" s="1498"/>
      <c r="N323" s="49"/>
      <c r="O323" s="644"/>
      <c r="P323" s="644"/>
      <c r="Q323" s="644"/>
      <c r="R323" s="644"/>
    </row>
    <row r="324" spans="7:18">
      <c r="G324" s="48"/>
      <c r="H324" s="48"/>
      <c r="I324" s="48"/>
      <c r="J324" s="954">
        <f>SUM(J315:J321)</f>
        <v>0</v>
      </c>
      <c r="K324" s="954"/>
      <c r="L324" s="954">
        <f>SUM(L315:L322)</f>
        <v>15250000</v>
      </c>
      <c r="M324" s="1498"/>
      <c r="N324" s="954">
        <f>SUM(N315:N321)</f>
        <v>132980000</v>
      </c>
      <c r="O324" s="644"/>
      <c r="P324" s="969">
        <f>SUM(P315:P321)</f>
        <v>0</v>
      </c>
      <c r="Q324" s="969"/>
      <c r="R324" s="969">
        <f>SUM(R315:R321)</f>
        <v>0</v>
      </c>
    </row>
    <row r="328" spans="7:18">
      <c r="G328" s="1572" t="s">
        <v>3530</v>
      </c>
      <c r="H328" s="1572"/>
      <c r="I328" s="1572"/>
      <c r="J328" s="3">
        <f>J324+L324</f>
        <v>15250000</v>
      </c>
      <c r="L328" s="3"/>
      <c r="O328" s="47" t="s">
        <v>3580</v>
      </c>
      <c r="P328" s="1531">
        <f>P324-R324</f>
        <v>0</v>
      </c>
    </row>
    <row r="329" spans="7:18">
      <c r="G329" s="1574" t="s">
        <v>3512</v>
      </c>
      <c r="H329" s="1574"/>
      <c r="I329" s="1574"/>
      <c r="J329" s="3">
        <f>N324-J328</f>
        <v>117730000</v>
      </c>
    </row>
    <row r="330" spans="7:18">
      <c r="G330" s="1574" t="s">
        <v>3531</v>
      </c>
      <c r="H330" s="1574"/>
      <c r="I330" s="1574"/>
      <c r="K330" s="996"/>
      <c r="P330" s="3"/>
    </row>
    <row r="342" spans="7:18">
      <c r="G342" s="951">
        <v>45923</v>
      </c>
      <c r="H342" s="1168"/>
      <c r="I342" s="1575" t="s">
        <v>3510</v>
      </c>
      <c r="J342" s="1576"/>
      <c r="K342" s="1575" t="s">
        <v>3509</v>
      </c>
      <c r="L342" s="1576"/>
      <c r="M342" s="1575" t="s">
        <v>3541</v>
      </c>
      <c r="N342" s="1576"/>
      <c r="O342" s="1577" t="s">
        <v>3598</v>
      </c>
      <c r="P342" s="1578"/>
      <c r="Q342" s="1579" t="s">
        <v>3599</v>
      </c>
      <c r="R342" s="1580"/>
    </row>
    <row r="343" spans="7:18" ht="57.6">
      <c r="G343" s="1000" t="s">
        <v>3653</v>
      </c>
      <c r="H343" s="1000"/>
      <c r="I343" s="1000" t="s">
        <v>3652</v>
      </c>
      <c r="J343" s="990">
        <v>28690000</v>
      </c>
      <c r="K343" s="1495"/>
      <c r="L343" s="3"/>
      <c r="M343" s="1495" t="s">
        <v>3649</v>
      </c>
      <c r="N343" s="1495">
        <f>J329</f>
        <v>117730000</v>
      </c>
      <c r="O343" s="1383" t="s">
        <v>3455</v>
      </c>
      <c r="P343" s="644">
        <v>2000000</v>
      </c>
      <c r="Q343" s="1002" t="s">
        <v>3651</v>
      </c>
      <c r="R343" s="644">
        <v>2000000</v>
      </c>
    </row>
    <row r="344" spans="7:18">
      <c r="G344" s="991"/>
      <c r="H344" s="991"/>
      <c r="I344" s="997" t="s">
        <v>3654</v>
      </c>
      <c r="J344" s="990">
        <v>21160000</v>
      </c>
      <c r="K344" s="1495"/>
      <c r="L344" s="49"/>
      <c r="M344" s="1495" t="s">
        <v>3650</v>
      </c>
      <c r="N344" s="1495">
        <v>200000</v>
      </c>
      <c r="O344" s="1383"/>
      <c r="P344" s="644"/>
      <c r="Q344" s="994"/>
      <c r="R344" s="644"/>
    </row>
    <row r="345" spans="7:18">
      <c r="G345" s="48"/>
      <c r="H345" s="267"/>
      <c r="I345" s="1001" t="s">
        <v>3648</v>
      </c>
      <c r="J345" s="49">
        <v>25760000</v>
      </c>
      <c r="K345" s="1495"/>
      <c r="L345" s="1495"/>
      <c r="M345" s="1495"/>
      <c r="N345" s="49"/>
      <c r="O345" s="1383"/>
      <c r="P345" s="644"/>
      <c r="Q345" s="992"/>
      <c r="R345" s="644"/>
    </row>
    <row r="346" spans="7:18">
      <c r="G346" s="48"/>
      <c r="H346" s="48"/>
      <c r="I346" s="997" t="s">
        <v>3655</v>
      </c>
      <c r="J346" s="990">
        <v>21160000</v>
      </c>
      <c r="K346" s="1495"/>
      <c r="L346" s="49"/>
      <c r="M346" s="1495"/>
      <c r="N346" s="49"/>
      <c r="O346" s="644"/>
      <c r="P346" s="644"/>
      <c r="Q346" s="992"/>
      <c r="R346" s="644"/>
    </row>
    <row r="347" spans="7:18">
      <c r="G347" s="48"/>
      <c r="H347" s="48"/>
      <c r="I347" s="997" t="s">
        <v>3656</v>
      </c>
      <c r="J347" s="990">
        <v>21160000</v>
      </c>
      <c r="K347" s="1495"/>
      <c r="L347" s="49"/>
      <c r="M347" s="1495"/>
      <c r="N347" s="49"/>
      <c r="O347" s="644"/>
      <c r="P347" s="644"/>
      <c r="Q347" s="992"/>
      <c r="R347" s="644"/>
    </row>
    <row r="348" spans="7:18">
      <c r="G348" s="48"/>
      <c r="H348" s="48"/>
      <c r="I348" s="997"/>
      <c r="J348" s="49"/>
      <c r="K348" s="1495"/>
      <c r="L348" s="49"/>
      <c r="M348" s="1498"/>
      <c r="N348" s="49"/>
      <c r="O348" s="644"/>
      <c r="P348" s="644"/>
      <c r="Q348" s="644"/>
      <c r="R348" s="644"/>
    </row>
    <row r="349" spans="7:18">
      <c r="G349" s="48"/>
      <c r="H349" s="48"/>
      <c r="I349" s="48"/>
      <c r="J349" s="49"/>
      <c r="K349" s="1495"/>
      <c r="L349" s="49"/>
      <c r="M349" s="1498"/>
      <c r="N349" s="49"/>
      <c r="O349" s="644"/>
      <c r="P349" s="644"/>
      <c r="Q349" s="644"/>
      <c r="R349" s="644"/>
    </row>
    <row r="350" spans="7:18">
      <c r="G350" s="48"/>
      <c r="H350" s="48"/>
      <c r="I350" s="48"/>
      <c r="J350" s="49"/>
      <c r="K350" s="1495"/>
      <c r="L350" s="49"/>
      <c r="M350" s="1498"/>
      <c r="N350" s="49"/>
      <c r="O350" s="644"/>
      <c r="P350" s="644"/>
      <c r="Q350" s="644"/>
      <c r="R350" s="644"/>
    </row>
    <row r="351" spans="7:18">
      <c r="G351" s="48"/>
      <c r="H351" s="48"/>
      <c r="I351" s="48"/>
      <c r="J351" s="49"/>
      <c r="K351" s="49"/>
      <c r="L351" s="49"/>
      <c r="M351" s="1498"/>
      <c r="N351" s="49"/>
      <c r="O351" s="644"/>
      <c r="P351" s="644"/>
      <c r="Q351" s="644"/>
      <c r="R351" s="644"/>
    </row>
    <row r="352" spans="7:18">
      <c r="G352" s="48"/>
      <c r="H352" s="48"/>
      <c r="I352" s="48"/>
      <c r="J352" s="954">
        <f>SUM(J343:J349)</f>
        <v>117930000</v>
      </c>
      <c r="K352" s="954"/>
      <c r="L352" s="954">
        <f>SUM(L343:L350)</f>
        <v>0</v>
      </c>
      <c r="M352" s="1498"/>
      <c r="N352" s="954">
        <f>SUM(N343:N349)</f>
        <v>117930000</v>
      </c>
      <c r="O352" s="644"/>
      <c r="P352" s="969">
        <f>SUM(P343:P349)</f>
        <v>2000000</v>
      </c>
      <c r="Q352" s="969"/>
      <c r="R352" s="969">
        <f>SUM(R343:R349)</f>
        <v>2000000</v>
      </c>
    </row>
    <row r="356" spans="7:16">
      <c r="G356" s="1572" t="s">
        <v>3530</v>
      </c>
      <c r="H356" s="1572"/>
      <c r="I356" s="1572"/>
      <c r="J356" s="3">
        <f>J352+L352</f>
        <v>117930000</v>
      </c>
      <c r="L356" s="3"/>
      <c r="O356" s="47" t="s">
        <v>3580</v>
      </c>
      <c r="P356" s="1531">
        <f>P352-R352</f>
        <v>0</v>
      </c>
    </row>
    <row r="357" spans="7:16">
      <c r="G357" s="1574" t="s">
        <v>3512</v>
      </c>
      <c r="H357" s="1574"/>
      <c r="I357" s="1574"/>
      <c r="J357" s="3">
        <f>N352-J356</f>
        <v>0</v>
      </c>
    </row>
    <row r="358" spans="7:16">
      <c r="G358" s="1574" t="s">
        <v>3531</v>
      </c>
      <c r="H358" s="1574"/>
      <c r="I358" s="1574"/>
      <c r="K358" s="996"/>
      <c r="P358" s="3"/>
    </row>
    <row r="367" spans="7:16">
      <c r="K367" s="1007"/>
      <c r="L367" s="1007"/>
    </row>
    <row r="368" spans="7:16">
      <c r="K368" s="1007"/>
      <c r="L368" s="903"/>
      <c r="M368" s="1527" t="s">
        <v>3663</v>
      </c>
      <c r="N368" s="3">
        <v>336000000</v>
      </c>
    </row>
    <row r="369" spans="7:18">
      <c r="M369" s="1527" t="s">
        <v>3664</v>
      </c>
      <c r="N369" s="3">
        <f>N368*0.99</f>
        <v>332640000</v>
      </c>
    </row>
    <row r="370" spans="7:18">
      <c r="M370" s="1527" t="s">
        <v>3532</v>
      </c>
    </row>
    <row r="371" spans="7:18">
      <c r="G371" s="951">
        <v>45924</v>
      </c>
      <c r="H371" s="1168"/>
      <c r="I371" s="1575" t="s">
        <v>3510</v>
      </c>
      <c r="J371" s="1576"/>
      <c r="K371" s="1575" t="s">
        <v>3509</v>
      </c>
      <c r="L371" s="1576"/>
      <c r="M371" s="1575" t="s">
        <v>3541</v>
      </c>
      <c r="N371" s="1576"/>
      <c r="O371" s="1577" t="s">
        <v>3598</v>
      </c>
      <c r="P371" s="1578"/>
      <c r="Q371" s="1579" t="s">
        <v>3599</v>
      </c>
      <c r="R371" s="1580"/>
    </row>
    <row r="372" spans="7:18">
      <c r="G372" s="1000"/>
      <c r="H372" s="1000"/>
      <c r="I372" s="1000" t="s">
        <v>3665</v>
      </c>
      <c r="J372" s="990">
        <v>217300000</v>
      </c>
      <c r="K372" s="1495" t="s">
        <v>3532</v>
      </c>
      <c r="L372" s="49">
        <v>9140000</v>
      </c>
      <c r="M372" s="1498" t="s">
        <v>3532</v>
      </c>
      <c r="N372" s="49">
        <v>332500000</v>
      </c>
      <c r="O372" s="1383"/>
      <c r="P372" s="644"/>
      <c r="Q372" s="1002"/>
      <c r="R372" s="644"/>
    </row>
    <row r="373" spans="7:18">
      <c r="G373" s="991"/>
      <c r="H373" s="991"/>
      <c r="I373" s="997" t="s">
        <v>3667</v>
      </c>
      <c r="J373" s="990">
        <v>27930000</v>
      </c>
      <c r="K373" s="1495" t="s">
        <v>3658</v>
      </c>
      <c r="L373" s="49">
        <v>4000000</v>
      </c>
      <c r="M373" s="1495" t="s">
        <v>3657</v>
      </c>
      <c r="N373" s="1495">
        <v>55000000</v>
      </c>
      <c r="O373" s="1383"/>
      <c r="P373" s="644"/>
      <c r="Q373" s="994"/>
      <c r="R373" s="644"/>
    </row>
    <row r="374" spans="7:18">
      <c r="G374" s="48"/>
      <c r="H374" s="267"/>
      <c r="I374" s="1001" t="s">
        <v>3668</v>
      </c>
      <c r="J374" s="49">
        <v>15000000</v>
      </c>
      <c r="K374" s="1495" t="s">
        <v>3659</v>
      </c>
      <c r="L374" s="1495">
        <v>400000</v>
      </c>
      <c r="M374" s="1495" t="s">
        <v>3547</v>
      </c>
      <c r="N374" s="49">
        <v>9000000</v>
      </c>
      <c r="O374" s="1383"/>
      <c r="P374" s="644"/>
      <c r="Q374" s="992"/>
      <c r="R374" s="644"/>
    </row>
    <row r="375" spans="7:18">
      <c r="G375" s="48"/>
      <c r="H375" s="48"/>
      <c r="I375" s="997"/>
      <c r="J375" s="990"/>
      <c r="K375" s="1495" t="s">
        <v>3589</v>
      </c>
      <c r="L375" s="49">
        <v>200000</v>
      </c>
      <c r="M375" s="1495" t="s">
        <v>3666</v>
      </c>
      <c r="N375" s="1495">
        <v>3000000</v>
      </c>
      <c r="O375" s="644"/>
      <c r="P375" s="644"/>
      <c r="Q375" s="992"/>
      <c r="R375" s="644"/>
    </row>
    <row r="376" spans="7:18">
      <c r="G376" s="48"/>
      <c r="H376" s="48"/>
      <c r="I376" s="997"/>
      <c r="J376" s="990"/>
      <c r="K376" s="1495" t="s">
        <v>3660</v>
      </c>
      <c r="L376" s="49">
        <v>6000000</v>
      </c>
      <c r="M376" s="1495"/>
      <c r="N376" s="49"/>
      <c r="O376" s="644"/>
      <c r="P376" s="644"/>
      <c r="Q376" s="992"/>
      <c r="R376" s="644"/>
    </row>
    <row r="377" spans="7:18">
      <c r="G377" s="48"/>
      <c r="H377" s="48"/>
      <c r="I377" s="997"/>
      <c r="J377" s="49"/>
      <c r="K377" s="1495" t="s">
        <v>3661</v>
      </c>
      <c r="L377" s="49">
        <v>6665000</v>
      </c>
      <c r="M377" s="1498"/>
      <c r="N377" s="49"/>
      <c r="O377" s="644"/>
      <c r="P377" s="644"/>
      <c r="Q377" s="644"/>
      <c r="R377" s="644"/>
    </row>
    <row r="378" spans="7:18">
      <c r="G378" s="48"/>
      <c r="H378" s="48"/>
      <c r="I378" s="48"/>
      <c r="J378" s="49"/>
      <c r="K378" s="1495" t="s">
        <v>3363</v>
      </c>
      <c r="L378" s="49">
        <v>600000</v>
      </c>
      <c r="M378" s="1498"/>
      <c r="N378" s="49"/>
      <c r="O378" s="644"/>
      <c r="P378" s="644"/>
      <c r="Q378" s="644"/>
      <c r="R378" s="644"/>
    </row>
    <row r="379" spans="7:18">
      <c r="G379" s="48"/>
      <c r="H379" s="48"/>
      <c r="I379" s="48"/>
      <c r="J379" s="49"/>
      <c r="K379" s="1495" t="s">
        <v>3659</v>
      </c>
      <c r="L379" s="49">
        <v>6000000</v>
      </c>
      <c r="M379" s="1498"/>
      <c r="N379" s="49"/>
      <c r="O379" s="644"/>
      <c r="P379" s="644"/>
      <c r="Q379" s="644"/>
      <c r="R379" s="644"/>
    </row>
    <row r="380" spans="7:18">
      <c r="G380" s="48"/>
      <c r="H380" s="48"/>
      <c r="I380" s="48"/>
      <c r="J380" s="49"/>
      <c r="K380" s="49" t="s">
        <v>3662</v>
      </c>
      <c r="L380" s="49">
        <v>200000</v>
      </c>
      <c r="M380" s="1498"/>
      <c r="N380" s="49"/>
      <c r="O380" s="644"/>
      <c r="P380" s="644"/>
      <c r="Q380" s="644"/>
      <c r="R380" s="644"/>
    </row>
    <row r="381" spans="7:18">
      <c r="G381" s="48"/>
      <c r="H381" s="48"/>
      <c r="I381" s="48"/>
      <c r="J381" s="49"/>
      <c r="K381" s="49"/>
      <c r="L381" s="49"/>
      <c r="M381" s="1498"/>
      <c r="N381" s="49"/>
      <c r="O381" s="644"/>
      <c r="P381" s="644"/>
      <c r="Q381" s="644"/>
      <c r="R381" s="644"/>
    </row>
    <row r="382" spans="7:18">
      <c r="G382" s="48"/>
      <c r="H382" s="48"/>
      <c r="I382" s="48"/>
      <c r="J382" s="954">
        <f>SUM(J372:J381)</f>
        <v>260230000</v>
      </c>
      <c r="K382" s="954"/>
      <c r="L382" s="954">
        <f>SUM(L372:L381)</f>
        <v>33205000</v>
      </c>
      <c r="M382" s="1498"/>
      <c r="N382" s="954">
        <f>SUM(N372:N381)</f>
        <v>399500000</v>
      </c>
      <c r="O382" s="644"/>
      <c r="P382" s="969">
        <f>SUM(P372:P378)</f>
        <v>0</v>
      </c>
      <c r="Q382" s="969"/>
      <c r="R382" s="969">
        <f>SUM(R372:R378)</f>
        <v>0</v>
      </c>
    </row>
    <row r="386" spans="7:16">
      <c r="G386" s="1572" t="s">
        <v>3530</v>
      </c>
      <c r="H386" s="1572"/>
      <c r="I386" s="1572"/>
      <c r="J386" s="3">
        <f>J382+L382</f>
        <v>293435000</v>
      </c>
      <c r="L386" s="3"/>
      <c r="O386" s="47" t="s">
        <v>3580</v>
      </c>
      <c r="P386" s="1531">
        <f>P382-R382</f>
        <v>0</v>
      </c>
    </row>
    <row r="387" spans="7:16">
      <c r="G387" s="1574" t="s">
        <v>3512</v>
      </c>
      <c r="H387" s="1574"/>
      <c r="I387" s="1574"/>
      <c r="J387" s="3">
        <f>N382-J386</f>
        <v>106065000</v>
      </c>
    </row>
    <row r="388" spans="7:16">
      <c r="G388" s="1574" t="s">
        <v>3531</v>
      </c>
      <c r="H388" s="1574"/>
      <c r="I388" s="1574"/>
      <c r="K388" s="996"/>
      <c r="P388" s="3"/>
    </row>
    <row r="389" spans="7:16">
      <c r="I389" t="s">
        <v>3672</v>
      </c>
      <c r="J389" s="3">
        <f>M396-J387</f>
        <v>140000</v>
      </c>
    </row>
    <row r="391" spans="7:16">
      <c r="L391" s="3">
        <v>332500000</v>
      </c>
      <c r="M391" s="3"/>
    </row>
    <row r="392" spans="7:16">
      <c r="L392" s="3">
        <v>100000000</v>
      </c>
      <c r="M392" s="3">
        <v>164000000</v>
      </c>
    </row>
    <row r="393" spans="7:16">
      <c r="L393" s="3">
        <v>6200000</v>
      </c>
      <c r="M393" s="3">
        <v>17865000</v>
      </c>
    </row>
    <row r="394" spans="7:16">
      <c r="L394" s="3">
        <v>9140000</v>
      </c>
      <c r="M394" s="3">
        <f>M392-M393</f>
        <v>146135000</v>
      </c>
    </row>
    <row r="395" spans="7:16">
      <c r="L395" s="3">
        <f>SUM(L392:L394)</f>
        <v>115340000</v>
      </c>
      <c r="M395" s="3">
        <f>M394-42930000</f>
        <v>103205000</v>
      </c>
    </row>
    <row r="396" spans="7:16">
      <c r="L396" s="3">
        <f>+L391-L395</f>
        <v>217160000</v>
      </c>
      <c r="M396" s="3">
        <f>+M395+3000000</f>
        <v>106205000</v>
      </c>
    </row>
    <row r="401" spans="7:18">
      <c r="G401" s="951">
        <v>45925</v>
      </c>
      <c r="H401" s="1168"/>
      <c r="I401" s="1575" t="s">
        <v>3510</v>
      </c>
      <c r="J401" s="1576"/>
      <c r="K401" s="1575" t="s">
        <v>3509</v>
      </c>
      <c r="L401" s="1576"/>
      <c r="M401" s="1575" t="s">
        <v>3541</v>
      </c>
      <c r="N401" s="1576"/>
      <c r="O401" s="1577" t="s">
        <v>3598</v>
      </c>
      <c r="P401" s="1578"/>
      <c r="Q401" s="1579" t="s">
        <v>3599</v>
      </c>
      <c r="R401" s="1580"/>
    </row>
    <row r="402" spans="7:18">
      <c r="G402" s="1000"/>
      <c r="H402" s="1000"/>
      <c r="I402" s="1000" t="s">
        <v>3669</v>
      </c>
      <c r="J402" s="990">
        <v>30690000</v>
      </c>
      <c r="K402" s="1495" t="s">
        <v>3675</v>
      </c>
      <c r="L402" s="49">
        <v>1000000</v>
      </c>
      <c r="M402" s="1495" t="s">
        <v>3673</v>
      </c>
      <c r="N402" s="49">
        <f>M396</f>
        <v>106205000</v>
      </c>
      <c r="O402" s="1383"/>
      <c r="P402" s="644"/>
      <c r="Q402" s="1002"/>
      <c r="R402" s="644"/>
    </row>
    <row r="403" spans="7:18">
      <c r="G403" s="991"/>
      <c r="H403" s="991"/>
      <c r="I403" s="997" t="s">
        <v>3670</v>
      </c>
      <c r="J403" s="990">
        <v>93780000</v>
      </c>
      <c r="K403" s="1495"/>
      <c r="L403" s="49">
        <v>200000</v>
      </c>
      <c r="M403" s="1498" t="s">
        <v>3671</v>
      </c>
      <c r="N403" s="49">
        <v>150000000</v>
      </c>
      <c r="O403" s="1383"/>
      <c r="P403" s="644"/>
      <c r="Q403" s="994"/>
      <c r="R403" s="644"/>
    </row>
    <row r="404" spans="7:18">
      <c r="G404" s="48"/>
      <c r="H404" s="267"/>
      <c r="I404" s="1001" t="s">
        <v>3674</v>
      </c>
      <c r="J404" s="49">
        <v>7125000</v>
      </c>
      <c r="K404" s="1495"/>
      <c r="L404" s="1495"/>
      <c r="M404" s="1495"/>
      <c r="N404" s="49"/>
      <c r="O404" s="1383"/>
      <c r="P404" s="644"/>
      <c r="Q404" s="992"/>
      <c r="R404" s="644"/>
    </row>
    <row r="405" spans="7:18">
      <c r="G405" s="48"/>
      <c r="H405" s="48"/>
      <c r="I405" s="997" t="s">
        <v>3496</v>
      </c>
      <c r="J405" s="990">
        <v>4600000</v>
      </c>
      <c r="K405" s="1495"/>
      <c r="L405" s="49"/>
      <c r="M405" s="1495"/>
      <c r="N405" s="1495"/>
      <c r="O405" s="644"/>
      <c r="P405" s="644"/>
      <c r="Q405" s="992"/>
      <c r="R405" s="644"/>
    </row>
    <row r="406" spans="7:18">
      <c r="G406" s="48"/>
      <c r="H406" s="48"/>
      <c r="I406" s="997" t="s">
        <v>3676</v>
      </c>
      <c r="J406" s="990">
        <v>30690000</v>
      </c>
      <c r="K406" s="1495"/>
      <c r="L406" s="49"/>
      <c r="M406" s="1495"/>
      <c r="N406" s="49"/>
      <c r="O406" s="644"/>
      <c r="P406" s="644"/>
      <c r="Q406" s="992"/>
      <c r="R406" s="644"/>
    </row>
    <row r="407" spans="7:18">
      <c r="G407" s="48"/>
      <c r="H407" s="48"/>
      <c r="I407" s="997"/>
      <c r="J407" s="49"/>
      <c r="K407" s="1495"/>
      <c r="L407" s="49"/>
      <c r="M407" s="1498"/>
      <c r="N407" s="49"/>
      <c r="O407" s="644"/>
      <c r="P407" s="644"/>
      <c r="Q407" s="644"/>
      <c r="R407" s="644"/>
    </row>
    <row r="408" spans="7:18">
      <c r="G408" s="48"/>
      <c r="H408" s="48"/>
      <c r="I408" s="48"/>
      <c r="J408" s="49"/>
      <c r="K408" s="1495"/>
      <c r="L408" s="49"/>
      <c r="M408" s="1498"/>
      <c r="N408" s="49"/>
      <c r="O408" s="644"/>
      <c r="P408" s="644"/>
      <c r="Q408" s="644"/>
      <c r="R408" s="644"/>
    </row>
    <row r="409" spans="7:18">
      <c r="G409" s="48"/>
      <c r="H409" s="48"/>
      <c r="I409" s="48"/>
      <c r="J409" s="49"/>
      <c r="K409" s="1495"/>
      <c r="L409" s="49"/>
      <c r="M409" s="1498"/>
      <c r="N409" s="49"/>
      <c r="O409" s="644"/>
      <c r="P409" s="644"/>
      <c r="Q409" s="644"/>
      <c r="R409" s="644"/>
    </row>
    <row r="410" spans="7:18">
      <c r="G410" s="48"/>
      <c r="H410" s="48"/>
      <c r="I410" s="48"/>
      <c r="J410" s="49"/>
      <c r="K410" s="49"/>
      <c r="L410" s="49"/>
      <c r="M410" s="1498"/>
      <c r="N410" s="49"/>
      <c r="O410" s="644"/>
      <c r="P410" s="644"/>
      <c r="Q410" s="644"/>
      <c r="R410" s="644"/>
    </row>
    <row r="411" spans="7:18">
      <c r="G411" s="48"/>
      <c r="H411" s="48"/>
      <c r="I411" s="48"/>
      <c r="J411" s="954">
        <f>SUM(J402:J408)</f>
        <v>166885000</v>
      </c>
      <c r="K411" s="954"/>
      <c r="L411" s="954">
        <f>SUM(L402:L410)</f>
        <v>1200000</v>
      </c>
      <c r="M411" s="1498"/>
      <c r="N411" s="954">
        <f>SUM(N402:N410)</f>
        <v>256205000</v>
      </c>
      <c r="O411" s="644"/>
      <c r="P411" s="969">
        <f>SUM(P402:P408)</f>
        <v>0</v>
      </c>
      <c r="Q411" s="969"/>
      <c r="R411" s="969">
        <f>SUM(R402:R408)</f>
        <v>0</v>
      </c>
    </row>
    <row r="418" spans="7:18">
      <c r="G418" s="1572" t="s">
        <v>3530</v>
      </c>
      <c r="H418" s="1572"/>
      <c r="I418" s="1572"/>
      <c r="J418" s="3">
        <f>J411+L411</f>
        <v>168085000</v>
      </c>
    </row>
    <row r="419" spans="7:18">
      <c r="G419" s="1574" t="s">
        <v>3512</v>
      </c>
      <c r="H419" s="1574"/>
      <c r="I419" s="1574"/>
      <c r="J419" s="3">
        <f>N411-J418</f>
        <v>88120000</v>
      </c>
    </row>
    <row r="420" spans="7:18">
      <c r="G420" s="1574" t="s">
        <v>3531</v>
      </c>
      <c r="H420" s="1574"/>
      <c r="I420" s="1574"/>
    </row>
    <row r="432" spans="7:18">
      <c r="G432" s="1008">
        <v>45926</v>
      </c>
      <c r="H432" s="1169"/>
      <c r="I432" s="1575" t="s">
        <v>3510</v>
      </c>
      <c r="J432" s="1576"/>
      <c r="K432" s="1575" t="s">
        <v>3509</v>
      </c>
      <c r="L432" s="1576"/>
      <c r="M432" s="1575" t="s">
        <v>3541</v>
      </c>
      <c r="N432" s="1576"/>
      <c r="O432" s="1577" t="s">
        <v>3598</v>
      </c>
      <c r="P432" s="1578"/>
      <c r="Q432" s="1579" t="s">
        <v>3599</v>
      </c>
      <c r="R432" s="1580"/>
    </row>
    <row r="433" spans="7:18">
      <c r="G433" s="1000"/>
      <c r="H433" s="1000"/>
      <c r="I433" s="1000" t="s">
        <v>3680</v>
      </c>
      <c r="J433" s="990">
        <v>27000000</v>
      </c>
      <c r="K433" s="1495" t="s">
        <v>3532</v>
      </c>
      <c r="L433" s="49">
        <v>6310000</v>
      </c>
      <c r="M433" s="1495" t="s">
        <v>3686</v>
      </c>
      <c r="N433" s="49">
        <v>88120000</v>
      </c>
      <c r="O433" s="1383"/>
      <c r="P433" s="644"/>
      <c r="Q433" s="1002"/>
      <c r="R433" s="644"/>
    </row>
    <row r="434" spans="7:18">
      <c r="G434" s="991"/>
      <c r="H434" s="991"/>
      <c r="I434" s="997" t="s">
        <v>3682</v>
      </c>
      <c r="J434" s="990">
        <v>30360000</v>
      </c>
      <c r="K434" s="1495" t="s">
        <v>3679</v>
      </c>
      <c r="L434" s="49">
        <v>65000</v>
      </c>
      <c r="M434" s="1495" t="s">
        <v>3677</v>
      </c>
      <c r="N434" s="49">
        <v>266310000</v>
      </c>
      <c r="O434" s="1383"/>
      <c r="P434" s="644"/>
      <c r="Q434" s="994"/>
      <c r="R434" s="644"/>
    </row>
    <row r="435" spans="7:18">
      <c r="G435" s="48"/>
      <c r="H435" s="267"/>
      <c r="I435" s="1001" t="s">
        <v>3683</v>
      </c>
      <c r="J435" s="49">
        <v>93000000</v>
      </c>
      <c r="K435" s="1495" t="s">
        <v>3681</v>
      </c>
      <c r="L435" s="1495">
        <v>140000</v>
      </c>
      <c r="M435" s="1498" t="s">
        <v>3639</v>
      </c>
      <c r="N435" s="49">
        <v>40770000</v>
      </c>
      <c r="O435" s="1383"/>
      <c r="P435" s="644"/>
      <c r="Q435" s="992"/>
      <c r="R435" s="644"/>
    </row>
    <row r="436" spans="7:18">
      <c r="G436" s="48"/>
      <c r="H436" s="48"/>
      <c r="I436" s="997" t="s">
        <v>3685</v>
      </c>
      <c r="J436" s="990">
        <v>30360000</v>
      </c>
      <c r="K436" s="1495" t="s">
        <v>3612</v>
      </c>
      <c r="L436" s="49">
        <v>6500000</v>
      </c>
      <c r="M436" s="1495"/>
      <c r="N436" s="1495"/>
      <c r="O436" s="644"/>
      <c r="P436" s="644"/>
      <c r="Q436" s="992"/>
      <c r="R436" s="644"/>
    </row>
    <row r="437" spans="7:18">
      <c r="G437" s="48"/>
      <c r="H437" s="48"/>
      <c r="I437" s="997"/>
      <c r="J437" s="990"/>
      <c r="K437" s="1495" t="s">
        <v>3639</v>
      </c>
      <c r="L437" s="49">
        <v>500000</v>
      </c>
      <c r="M437" s="1495"/>
      <c r="N437" s="49"/>
      <c r="O437" s="644"/>
      <c r="P437" s="644"/>
      <c r="Q437" s="992"/>
      <c r="R437" s="644"/>
    </row>
    <row r="438" spans="7:18">
      <c r="G438" s="48"/>
      <c r="H438" s="48"/>
      <c r="I438" s="997"/>
      <c r="J438" s="49"/>
      <c r="K438" s="1495" t="s">
        <v>3684</v>
      </c>
      <c r="L438" s="49">
        <v>1000000</v>
      </c>
      <c r="M438" s="1498"/>
      <c r="N438" s="49"/>
      <c r="O438" s="644"/>
      <c r="P438" s="644"/>
      <c r="Q438" s="644"/>
      <c r="R438" s="644"/>
    </row>
    <row r="439" spans="7:18">
      <c r="G439" s="48"/>
      <c r="H439" s="48"/>
      <c r="I439" s="48"/>
      <c r="J439" s="49"/>
      <c r="K439" s="1495"/>
      <c r="L439" s="49"/>
      <c r="M439" s="1498"/>
      <c r="N439" s="49"/>
      <c r="O439" s="644"/>
      <c r="P439" s="644"/>
      <c r="Q439" s="644"/>
      <c r="R439" s="644"/>
    </row>
    <row r="440" spans="7:18">
      <c r="G440" s="48"/>
      <c r="H440" s="48"/>
      <c r="I440" s="48"/>
      <c r="J440" s="49"/>
      <c r="K440" s="1495"/>
      <c r="L440" s="49"/>
      <c r="M440" s="1498"/>
      <c r="N440" s="49"/>
      <c r="O440" s="644"/>
      <c r="P440" s="644"/>
      <c r="Q440" s="644"/>
      <c r="R440" s="644"/>
    </row>
    <row r="441" spans="7:18">
      <c r="G441" s="48"/>
      <c r="H441" s="48"/>
      <c r="I441" s="48"/>
      <c r="J441" s="49"/>
      <c r="K441" s="49"/>
      <c r="L441" s="49"/>
      <c r="M441" s="1498"/>
      <c r="N441" s="49"/>
      <c r="O441" s="644"/>
      <c r="P441" s="644"/>
      <c r="Q441" s="644"/>
      <c r="R441" s="644"/>
    </row>
    <row r="442" spans="7:18">
      <c r="G442" s="48"/>
      <c r="H442" s="48"/>
      <c r="I442" s="48"/>
      <c r="J442" s="954">
        <f>SUM(J433:J439)</f>
        <v>180720000</v>
      </c>
      <c r="K442" s="954"/>
      <c r="L442" s="954">
        <f>SUM(L433:L441)</f>
        <v>14515000</v>
      </c>
      <c r="M442" s="1498"/>
      <c r="N442" s="954">
        <f>SUM(N433:N441)</f>
        <v>395200000</v>
      </c>
      <c r="O442" s="644"/>
      <c r="P442" s="969">
        <f>SUM(P433:P439)</f>
        <v>0</v>
      </c>
      <c r="Q442" s="969"/>
      <c r="R442" s="969">
        <f>SUM(R433:R439)</f>
        <v>0</v>
      </c>
    </row>
    <row r="449" spans="7:13">
      <c r="G449" s="1572" t="s">
        <v>3530</v>
      </c>
      <c r="H449" s="1572"/>
      <c r="I449" s="1572"/>
      <c r="J449" s="3">
        <f>J442+L442</f>
        <v>195235000</v>
      </c>
      <c r="K449" s="1009" t="s">
        <v>3678</v>
      </c>
      <c r="L449" s="3">
        <v>269000000</v>
      </c>
    </row>
    <row r="450" spans="7:13">
      <c r="G450" s="1574" t="s">
        <v>3512</v>
      </c>
      <c r="H450" s="1574"/>
      <c r="I450" s="1574"/>
      <c r="J450" s="3">
        <f>N442-J449</f>
        <v>199965000</v>
      </c>
      <c r="K450" s="1009" t="s">
        <v>3664</v>
      </c>
      <c r="L450" s="3">
        <f>L449*0.99</f>
        <v>266310000</v>
      </c>
    </row>
    <row r="451" spans="7:13">
      <c r="G451" s="1574" t="s">
        <v>3531</v>
      </c>
      <c r="H451" s="1574"/>
      <c r="I451" s="1574"/>
    </row>
    <row r="457" spans="7:13">
      <c r="L457" s="3">
        <v>33000000</v>
      </c>
      <c r="M457" s="3"/>
    </row>
    <row r="458" spans="7:13">
      <c r="L458" s="3">
        <f>L457*0.004</f>
        <v>132000</v>
      </c>
      <c r="M458" s="3"/>
    </row>
    <row r="469" spans="7:18">
      <c r="G469" s="1008">
        <v>45927</v>
      </c>
      <c r="H469" s="1169"/>
      <c r="I469" s="1575" t="s">
        <v>3510</v>
      </c>
      <c r="J469" s="1576"/>
      <c r="K469" s="1575" t="s">
        <v>3509</v>
      </c>
      <c r="L469" s="1576"/>
      <c r="M469" s="1575" t="s">
        <v>3541</v>
      </c>
      <c r="N469" s="1576"/>
      <c r="O469" s="1577" t="s">
        <v>3598</v>
      </c>
      <c r="P469" s="1578"/>
      <c r="Q469" s="1579" t="s">
        <v>3599</v>
      </c>
      <c r="R469" s="1580"/>
    </row>
    <row r="470" spans="7:18">
      <c r="G470" s="1000"/>
      <c r="H470" s="1000"/>
      <c r="I470" s="1000" t="s">
        <v>3628</v>
      </c>
      <c r="J470" s="990">
        <f>15000000*0.95</f>
        <v>14250000</v>
      </c>
      <c r="K470" s="1495" t="s">
        <v>3688</v>
      </c>
      <c r="L470" s="49">
        <v>3000000</v>
      </c>
      <c r="M470" s="1495" t="s">
        <v>3687</v>
      </c>
      <c r="N470" s="49">
        <v>199965000</v>
      </c>
      <c r="O470" s="1383"/>
      <c r="P470" s="644"/>
      <c r="Q470" s="1002"/>
      <c r="R470" s="644"/>
    </row>
    <row r="471" spans="7:18">
      <c r="G471" s="991"/>
      <c r="H471" s="991"/>
      <c r="I471" s="997" t="s">
        <v>3671</v>
      </c>
      <c r="J471" s="990">
        <v>180000000</v>
      </c>
      <c r="K471" s="1495" t="s">
        <v>3689</v>
      </c>
      <c r="L471" s="49">
        <v>500000</v>
      </c>
      <c r="M471" s="1495"/>
      <c r="N471" s="49"/>
      <c r="O471" s="1383"/>
      <c r="P471" s="644"/>
      <c r="Q471" s="994"/>
      <c r="R471" s="644"/>
    </row>
    <row r="472" spans="7:18">
      <c r="G472" s="48"/>
      <c r="H472" s="267"/>
      <c r="I472" s="1001"/>
      <c r="J472" s="49"/>
      <c r="K472" s="1495" t="s">
        <v>3690</v>
      </c>
      <c r="L472" s="1495">
        <v>500000</v>
      </c>
      <c r="M472" s="1498"/>
      <c r="N472" s="49"/>
      <c r="O472" s="1383"/>
      <c r="P472" s="644"/>
      <c r="Q472" s="992"/>
      <c r="R472" s="644"/>
    </row>
    <row r="473" spans="7:18">
      <c r="G473" s="48"/>
      <c r="H473" s="48"/>
      <c r="I473" s="997"/>
      <c r="J473" s="990"/>
      <c r="K473" s="1495" t="s">
        <v>3612</v>
      </c>
      <c r="L473" s="49">
        <v>100000</v>
      </c>
      <c r="M473" s="1495"/>
      <c r="N473" s="1495"/>
      <c r="O473" s="644"/>
      <c r="P473" s="644"/>
      <c r="Q473" s="992"/>
      <c r="R473" s="644"/>
    </row>
    <row r="474" spans="7:18">
      <c r="G474" s="48"/>
      <c r="H474" s="48"/>
      <c r="I474" s="997"/>
      <c r="J474" s="990"/>
      <c r="K474" s="1495"/>
      <c r="L474" s="49"/>
      <c r="M474" s="1495"/>
      <c r="N474" s="49"/>
      <c r="O474" s="644"/>
      <c r="P474" s="644"/>
      <c r="Q474" s="992"/>
      <c r="R474" s="644"/>
    </row>
    <row r="475" spans="7:18">
      <c r="G475" s="48"/>
      <c r="H475" s="48"/>
      <c r="I475" s="997"/>
      <c r="J475" s="49"/>
      <c r="K475" s="1495"/>
      <c r="L475" s="49"/>
      <c r="M475" s="1498"/>
      <c r="N475" s="49"/>
      <c r="O475" s="644"/>
      <c r="P475" s="644"/>
      <c r="Q475" s="644"/>
      <c r="R475" s="644"/>
    </row>
    <row r="476" spans="7:18">
      <c r="G476" s="48"/>
      <c r="H476" s="48"/>
      <c r="I476" s="48"/>
      <c r="J476" s="49"/>
      <c r="K476" s="1495"/>
      <c r="L476" s="49"/>
      <c r="M476" s="1498"/>
      <c r="N476" s="49"/>
      <c r="O476" s="644"/>
      <c r="P476" s="644"/>
      <c r="Q476" s="644"/>
      <c r="R476" s="644"/>
    </row>
    <row r="477" spans="7:18">
      <c r="G477" s="48"/>
      <c r="H477" s="48"/>
      <c r="I477" s="48"/>
      <c r="J477" s="49"/>
      <c r="K477" s="1495"/>
      <c r="L477" s="49"/>
      <c r="M477" s="1498"/>
      <c r="N477" s="49"/>
      <c r="O477" s="644"/>
      <c r="P477" s="644"/>
      <c r="Q477" s="644"/>
      <c r="R477" s="644"/>
    </row>
    <row r="478" spans="7:18">
      <c r="G478" s="48"/>
      <c r="H478" s="48"/>
      <c r="I478" s="48"/>
      <c r="J478" s="49"/>
      <c r="K478" s="49"/>
      <c r="L478" s="49"/>
      <c r="M478" s="1498"/>
      <c r="N478" s="49"/>
      <c r="O478" s="644"/>
      <c r="P478" s="644"/>
      <c r="Q478" s="644"/>
      <c r="R478" s="644"/>
    </row>
    <row r="479" spans="7:18">
      <c r="G479" s="48"/>
      <c r="H479" s="48"/>
      <c r="I479" s="48"/>
      <c r="J479" s="954">
        <f>SUM(J470:J476)</f>
        <v>194250000</v>
      </c>
      <c r="K479" s="954"/>
      <c r="L479" s="954">
        <f>SUM(L470:L478)</f>
        <v>4100000</v>
      </c>
      <c r="M479" s="1498"/>
      <c r="N479" s="954">
        <f>SUM(N470:N478)</f>
        <v>199965000</v>
      </c>
      <c r="O479" s="644"/>
      <c r="P479" s="969">
        <f>SUM(P470:P476)</f>
        <v>0</v>
      </c>
      <c r="Q479" s="969"/>
      <c r="R479" s="969">
        <f>SUM(R470:R476)</f>
        <v>0</v>
      </c>
    </row>
    <row r="486" spans="7:12">
      <c r="G486" s="1572" t="s">
        <v>3530</v>
      </c>
      <c r="H486" s="1572"/>
      <c r="I486" s="1572"/>
      <c r="J486" s="3">
        <f>J479+L479</f>
        <v>198350000</v>
      </c>
      <c r="K486" s="1009"/>
      <c r="L486" s="3"/>
    </row>
    <row r="487" spans="7:12">
      <c r="G487" s="1574" t="s">
        <v>3512</v>
      </c>
      <c r="H487" s="1574"/>
      <c r="I487" s="1574"/>
      <c r="J487" s="3">
        <f>N479-J486</f>
        <v>1615000</v>
      </c>
      <c r="K487" s="1009"/>
      <c r="L487" s="3"/>
    </row>
    <row r="488" spans="7:12">
      <c r="G488" s="1574" t="s">
        <v>3531</v>
      </c>
      <c r="H488" s="1574"/>
      <c r="I488" s="1574"/>
    </row>
    <row r="499" spans="7:18">
      <c r="G499" s="1008">
        <v>45929</v>
      </c>
      <c r="H499" s="1169"/>
      <c r="I499" s="1575" t="s">
        <v>3510</v>
      </c>
      <c r="J499" s="1576"/>
      <c r="K499" s="1575" t="s">
        <v>3509</v>
      </c>
      <c r="L499" s="1576"/>
      <c r="M499" s="1575" t="s">
        <v>3541</v>
      </c>
      <c r="N499" s="1576"/>
      <c r="O499" s="1577" t="s">
        <v>3598</v>
      </c>
      <c r="P499" s="1578"/>
      <c r="Q499" s="1579" t="s">
        <v>3599</v>
      </c>
      <c r="R499" s="1580"/>
    </row>
    <row r="500" spans="7:18">
      <c r="G500" s="1000"/>
      <c r="H500" s="1000"/>
      <c r="I500" s="1010" t="s">
        <v>3496</v>
      </c>
      <c r="J500" s="990">
        <v>4600000</v>
      </c>
      <c r="K500" s="1495" t="s">
        <v>3532</v>
      </c>
      <c r="L500" s="49">
        <v>6580000</v>
      </c>
      <c r="M500" s="1495" t="s">
        <v>3532</v>
      </c>
      <c r="N500" s="49">
        <v>41580000</v>
      </c>
      <c r="O500" s="1383" t="s">
        <v>3692</v>
      </c>
      <c r="P500" s="644">
        <v>34000000</v>
      </c>
      <c r="Q500" s="1002"/>
      <c r="R500" s="644"/>
    </row>
    <row r="501" spans="7:18">
      <c r="G501" s="991"/>
      <c r="H501" s="991"/>
      <c r="I501" s="997"/>
      <c r="J501" s="990"/>
      <c r="K501" s="1495" t="s">
        <v>3639</v>
      </c>
      <c r="L501" s="49">
        <v>3000000</v>
      </c>
      <c r="M501" s="1495"/>
      <c r="N501" s="49"/>
      <c r="O501" s="1383"/>
      <c r="P501" s="644"/>
      <c r="Q501" s="994"/>
      <c r="R501" s="644"/>
    </row>
    <row r="502" spans="7:18">
      <c r="G502" s="48"/>
      <c r="H502" s="267"/>
      <c r="I502" s="1001"/>
      <c r="J502" s="49"/>
      <c r="K502" s="1495" t="s">
        <v>3693</v>
      </c>
      <c r="L502" s="1495">
        <v>150000</v>
      </c>
      <c r="M502" s="1498"/>
      <c r="N502" s="49"/>
      <c r="O502" s="1383"/>
      <c r="P502" s="644"/>
      <c r="Q502" s="992"/>
      <c r="R502" s="644"/>
    </row>
    <row r="503" spans="7:18">
      <c r="G503" s="48"/>
      <c r="H503" s="48"/>
      <c r="I503" s="997"/>
      <c r="J503" s="990"/>
      <c r="K503" s="1495" t="s">
        <v>3612</v>
      </c>
      <c r="L503" s="49">
        <v>100000</v>
      </c>
      <c r="M503" s="1495"/>
      <c r="N503" s="1495"/>
      <c r="O503" s="644"/>
      <c r="P503" s="644"/>
      <c r="Q503" s="992"/>
      <c r="R503" s="644"/>
    </row>
    <row r="504" spans="7:18">
      <c r="G504" s="48"/>
      <c r="H504" s="48"/>
      <c r="I504" s="997"/>
      <c r="J504" s="990"/>
      <c r="K504" s="1495"/>
      <c r="L504" s="49"/>
      <c r="M504" s="1495"/>
      <c r="N504" s="49"/>
      <c r="O504" s="644"/>
      <c r="P504" s="644"/>
      <c r="Q504" s="992"/>
      <c r="R504" s="644"/>
    </row>
    <row r="505" spans="7:18">
      <c r="G505" s="48"/>
      <c r="H505" s="48"/>
      <c r="I505" s="997"/>
      <c r="J505" s="49"/>
      <c r="K505" s="1495"/>
      <c r="L505" s="49"/>
      <c r="M505" s="1498"/>
      <c r="N505" s="49"/>
      <c r="O505" s="644"/>
      <c r="P505" s="644"/>
      <c r="Q505" s="644"/>
      <c r="R505" s="644"/>
    </row>
    <row r="506" spans="7:18">
      <c r="G506" s="48"/>
      <c r="H506" s="48"/>
      <c r="I506" s="48"/>
      <c r="J506" s="49"/>
      <c r="K506" s="1495"/>
      <c r="L506" s="49"/>
      <c r="M506" s="1498"/>
      <c r="N506" s="49"/>
      <c r="O506" s="644"/>
      <c r="P506" s="644"/>
      <c r="Q506" s="644"/>
      <c r="R506" s="644"/>
    </row>
    <row r="507" spans="7:18">
      <c r="G507" s="48"/>
      <c r="H507" s="48"/>
      <c r="I507" s="48"/>
      <c r="J507" s="49"/>
      <c r="K507" s="1495"/>
      <c r="L507" s="49"/>
      <c r="M507" s="1498"/>
      <c r="N507" s="49"/>
      <c r="O507" s="644"/>
      <c r="P507" s="644"/>
      <c r="Q507" s="644"/>
      <c r="R507" s="644"/>
    </row>
    <row r="508" spans="7:18">
      <c r="G508" s="48"/>
      <c r="H508" s="48"/>
      <c r="I508" s="48"/>
      <c r="J508" s="49"/>
      <c r="K508" s="49"/>
      <c r="L508" s="49"/>
      <c r="M508" s="1498"/>
      <c r="N508" s="49"/>
      <c r="O508" s="644"/>
      <c r="P508" s="644"/>
      <c r="Q508" s="644"/>
      <c r="R508" s="644"/>
    </row>
    <row r="509" spans="7:18">
      <c r="G509" s="48"/>
      <c r="H509" s="48"/>
      <c r="I509" s="48"/>
      <c r="J509" s="954">
        <f>SUM(J500:J506)</f>
        <v>4600000</v>
      </c>
      <c r="K509" s="954"/>
      <c r="L509" s="954">
        <f>SUM(L500:L508)</f>
        <v>9830000</v>
      </c>
      <c r="M509" s="1498"/>
      <c r="N509" s="954">
        <f>SUM(N500:N508)</f>
        <v>41580000</v>
      </c>
      <c r="O509" s="644"/>
      <c r="P509" s="969">
        <f>SUM(P500:P506)</f>
        <v>34000000</v>
      </c>
      <c r="Q509" s="969"/>
      <c r="R509" s="969">
        <f>SUM(R500:R506)</f>
        <v>0</v>
      </c>
    </row>
    <row r="512" spans="7:18">
      <c r="M512" s="1527" t="s">
        <v>3691</v>
      </c>
      <c r="N512" s="3">
        <v>42000000</v>
      </c>
    </row>
    <row r="513" spans="7:14">
      <c r="M513" s="1527" t="s">
        <v>3664</v>
      </c>
      <c r="N513" s="3">
        <f>N512*0.99</f>
        <v>41580000</v>
      </c>
    </row>
    <row r="516" spans="7:14">
      <c r="G516" s="1572" t="s">
        <v>3530</v>
      </c>
      <c r="H516" s="1572"/>
      <c r="I516" s="1572"/>
      <c r="J516" s="3">
        <f>J509+L509</f>
        <v>14430000</v>
      </c>
      <c r="K516" s="1009"/>
      <c r="L516" s="3"/>
    </row>
    <row r="517" spans="7:14">
      <c r="G517" s="1574" t="s">
        <v>3512</v>
      </c>
      <c r="H517" s="1574"/>
      <c r="I517" s="1574"/>
      <c r="J517" s="3">
        <f>N509-J516</f>
        <v>27150000</v>
      </c>
      <c r="K517" s="1009"/>
      <c r="L517" s="3"/>
    </row>
    <row r="518" spans="7:14">
      <c r="G518" s="1574" t="s">
        <v>3531</v>
      </c>
      <c r="H518" s="1574"/>
      <c r="I518" s="1574"/>
    </row>
    <row r="530" spans="7:18">
      <c r="G530" s="1008">
        <v>45930</v>
      </c>
      <c r="H530" s="1169"/>
      <c r="I530" s="1575" t="s">
        <v>3510</v>
      </c>
      <c r="J530" s="1576"/>
      <c r="K530" s="1575" t="s">
        <v>3509</v>
      </c>
      <c r="L530" s="1576"/>
      <c r="M530" s="1575" t="s">
        <v>3541</v>
      </c>
      <c r="N530" s="1576"/>
      <c r="O530" s="1577" t="s">
        <v>3598</v>
      </c>
      <c r="P530" s="1578"/>
      <c r="Q530" s="1579" t="s">
        <v>3599</v>
      </c>
      <c r="R530" s="1580"/>
    </row>
    <row r="531" spans="7:18">
      <c r="G531" s="1000"/>
      <c r="H531" s="1000"/>
      <c r="I531" s="1010"/>
      <c r="J531" s="990"/>
      <c r="K531" s="1495" t="s">
        <v>3694</v>
      </c>
      <c r="L531" s="49">
        <v>30000000</v>
      </c>
      <c r="M531" s="1495"/>
      <c r="N531" s="49"/>
      <c r="O531" s="1383"/>
      <c r="P531" s="644"/>
      <c r="Q531" s="1002"/>
      <c r="R531" s="644"/>
    </row>
    <row r="532" spans="7:18">
      <c r="G532" s="991"/>
      <c r="H532" s="991"/>
      <c r="I532" s="997"/>
      <c r="J532" s="990"/>
      <c r="K532" s="1495"/>
      <c r="L532" s="49"/>
      <c r="M532" s="1495"/>
      <c r="N532" s="49"/>
      <c r="O532" s="1383"/>
      <c r="P532" s="644"/>
      <c r="Q532" s="994"/>
      <c r="R532" s="644"/>
    </row>
    <row r="533" spans="7:18">
      <c r="G533" s="48"/>
      <c r="H533" s="267"/>
      <c r="I533" s="1001"/>
      <c r="J533" s="49"/>
      <c r="K533" s="1495"/>
      <c r="L533" s="1495"/>
      <c r="M533" s="1498"/>
      <c r="N533" s="49"/>
      <c r="O533" s="1383"/>
      <c r="P533" s="644"/>
      <c r="Q533" s="992"/>
      <c r="R533" s="644"/>
    </row>
    <row r="534" spans="7:18">
      <c r="G534" s="48"/>
      <c r="H534" s="48"/>
      <c r="I534" s="997"/>
      <c r="J534" s="990"/>
      <c r="K534" s="1495"/>
      <c r="L534" s="49"/>
      <c r="M534" s="1495"/>
      <c r="N534" s="1495"/>
      <c r="O534" s="644"/>
      <c r="P534" s="644"/>
      <c r="Q534" s="992"/>
      <c r="R534" s="644"/>
    </row>
    <row r="535" spans="7:18">
      <c r="G535" s="48"/>
      <c r="H535" s="48"/>
      <c r="I535" s="997"/>
      <c r="J535" s="990"/>
      <c r="K535" s="1495"/>
      <c r="L535" s="49"/>
      <c r="M535" s="1495"/>
      <c r="N535" s="49"/>
      <c r="O535" s="644"/>
      <c r="P535" s="644"/>
      <c r="Q535" s="992"/>
      <c r="R535" s="644"/>
    </row>
    <row r="536" spans="7:18">
      <c r="G536" s="48"/>
      <c r="H536" s="48"/>
      <c r="I536" s="997"/>
      <c r="J536" s="49"/>
      <c r="K536" s="1495"/>
      <c r="L536" s="49"/>
      <c r="M536" s="1498"/>
      <c r="N536" s="49"/>
      <c r="O536" s="644"/>
      <c r="P536" s="644"/>
      <c r="Q536" s="644"/>
      <c r="R536" s="644"/>
    </row>
    <row r="537" spans="7:18">
      <c r="G537" s="48"/>
      <c r="H537" s="48"/>
      <c r="I537" s="48"/>
      <c r="J537" s="49"/>
      <c r="K537" s="1495"/>
      <c r="L537" s="49"/>
      <c r="M537" s="1498"/>
      <c r="N537" s="49"/>
      <c r="O537" s="644"/>
      <c r="P537" s="644"/>
      <c r="Q537" s="644"/>
      <c r="R537" s="644"/>
    </row>
    <row r="538" spans="7:18">
      <c r="G538" s="48"/>
      <c r="H538" s="48"/>
      <c r="I538" s="48"/>
      <c r="J538" s="49"/>
      <c r="K538" s="1495"/>
      <c r="L538" s="49"/>
      <c r="M538" s="1498"/>
      <c r="N538" s="49"/>
      <c r="O538" s="644"/>
      <c r="P538" s="644"/>
      <c r="Q538" s="644"/>
      <c r="R538" s="644"/>
    </row>
    <row r="539" spans="7:18">
      <c r="G539" s="48"/>
      <c r="H539" s="48"/>
      <c r="I539" s="48"/>
      <c r="J539" s="49"/>
      <c r="K539" s="49"/>
      <c r="L539" s="49"/>
      <c r="M539" s="1498"/>
      <c r="N539" s="49"/>
      <c r="O539" s="644"/>
      <c r="P539" s="644"/>
      <c r="Q539" s="644"/>
      <c r="R539" s="644"/>
    </row>
    <row r="540" spans="7:18">
      <c r="G540" s="48"/>
      <c r="H540" s="48"/>
      <c r="I540" s="48"/>
      <c r="J540" s="954">
        <f>SUM(J531:J537)</f>
        <v>0</v>
      </c>
      <c r="K540" s="954"/>
      <c r="L540" s="954">
        <f>SUM(L531:L539)</f>
        <v>30000000</v>
      </c>
      <c r="M540" s="1498"/>
      <c r="N540" s="954">
        <f>SUM(N531:N539)</f>
        <v>0</v>
      </c>
      <c r="O540" s="644"/>
      <c r="P540" s="969">
        <f>SUM(P531:P537)</f>
        <v>0</v>
      </c>
      <c r="Q540" s="969"/>
      <c r="R540" s="969">
        <f>SUM(R531:R537)</f>
        <v>0</v>
      </c>
    </row>
    <row r="547" spans="7:18">
      <c r="G547" s="1572" t="s">
        <v>3530</v>
      </c>
      <c r="H547" s="1572"/>
      <c r="I547" s="1572"/>
      <c r="J547" s="3">
        <f>J540+L540</f>
        <v>30000000</v>
      </c>
      <c r="K547" s="1009"/>
      <c r="L547" s="3"/>
    </row>
    <row r="548" spans="7:18">
      <c r="G548" s="1574" t="s">
        <v>3512</v>
      </c>
      <c r="H548" s="1574"/>
      <c r="I548" s="1574"/>
      <c r="J548" s="3">
        <f>N540-J547</f>
        <v>-30000000</v>
      </c>
      <c r="K548" s="1009"/>
      <c r="L548" s="3"/>
    </row>
    <row r="549" spans="7:18">
      <c r="G549" s="1574" t="s">
        <v>3531</v>
      </c>
      <c r="H549" s="1574"/>
      <c r="I549" s="1574"/>
    </row>
    <row r="558" spans="7:18">
      <c r="G558" s="1008">
        <v>45937</v>
      </c>
      <c r="H558" s="1169"/>
      <c r="I558" s="1575" t="s">
        <v>3510</v>
      </c>
      <c r="J558" s="1576"/>
      <c r="K558" s="1575" t="s">
        <v>3509</v>
      </c>
      <c r="L558" s="1576"/>
      <c r="M558" s="1575" t="s">
        <v>3541</v>
      </c>
      <c r="N558" s="1576"/>
      <c r="O558" s="1577" t="s">
        <v>3598</v>
      </c>
      <c r="P558" s="1578"/>
      <c r="Q558" s="1579" t="s">
        <v>3599</v>
      </c>
      <c r="R558" s="1580"/>
    </row>
    <row r="559" spans="7:18">
      <c r="G559" s="1000"/>
      <c r="H559" s="1000"/>
      <c r="I559" s="1023" t="s">
        <v>3703</v>
      </c>
      <c r="J559" s="990">
        <v>30360000</v>
      </c>
      <c r="K559" s="1532" t="s">
        <v>3532</v>
      </c>
      <c r="L559" s="49">
        <v>4490000</v>
      </c>
      <c r="M559" s="1495" t="s">
        <v>3567</v>
      </c>
      <c r="N559" s="49">
        <v>495990000</v>
      </c>
      <c r="O559" s="1383" t="s">
        <v>3700</v>
      </c>
      <c r="P559" s="644">
        <v>500000</v>
      </c>
      <c r="Q559" s="1021" t="s">
        <v>3312</v>
      </c>
      <c r="R559" s="644">
        <v>500000</v>
      </c>
    </row>
    <row r="560" spans="7:18">
      <c r="G560" s="991"/>
      <c r="H560" s="991"/>
      <c r="I560" s="1022" t="s">
        <v>3714</v>
      </c>
      <c r="J560" s="990">
        <v>30360000</v>
      </c>
      <c r="K560" s="1532" t="s">
        <v>3701</v>
      </c>
      <c r="L560" s="49">
        <v>1980000</v>
      </c>
      <c r="M560" s="1495" t="s">
        <v>3702</v>
      </c>
      <c r="N560" s="49">
        <v>8000000</v>
      </c>
      <c r="O560" s="1383" t="s">
        <v>3721</v>
      </c>
      <c r="P560" s="644">
        <v>4400000</v>
      </c>
      <c r="Q560" s="994"/>
      <c r="R560" s="644"/>
    </row>
    <row r="561" spans="7:18">
      <c r="G561" s="48"/>
      <c r="H561" s="267"/>
      <c r="I561" s="1024" t="s">
        <v>3715</v>
      </c>
      <c r="J561" s="49">
        <v>30360000</v>
      </c>
      <c r="K561" s="1532" t="s">
        <v>3713</v>
      </c>
      <c r="L561" s="1495">
        <v>1000000</v>
      </c>
      <c r="M561" s="1498" t="s">
        <v>3704</v>
      </c>
      <c r="N561" s="49">
        <v>700000</v>
      </c>
      <c r="O561" s="1383"/>
      <c r="P561" s="644"/>
      <c r="Q561" s="992"/>
      <c r="R561" s="644"/>
    </row>
    <row r="562" spans="7:18">
      <c r="G562" s="48"/>
      <c r="H562" s="48"/>
      <c r="I562" s="1022" t="s">
        <v>3716</v>
      </c>
      <c r="J562" s="990">
        <v>18400000</v>
      </c>
      <c r="K562" s="1532" t="s">
        <v>3711</v>
      </c>
      <c r="L562" s="49">
        <v>400000</v>
      </c>
      <c r="M562" s="1495" t="s">
        <v>3705</v>
      </c>
      <c r="N562" s="1495">
        <v>1000000</v>
      </c>
      <c r="O562" s="644"/>
      <c r="P562" s="644"/>
      <c r="Q562" s="992"/>
      <c r="R562" s="644"/>
    </row>
    <row r="563" spans="7:18">
      <c r="G563" s="48"/>
      <c r="H563" s="48"/>
      <c r="I563" s="1022" t="s">
        <v>3717</v>
      </c>
      <c r="J563" s="990">
        <v>30360000</v>
      </c>
      <c r="K563" s="1532" t="s">
        <v>3638</v>
      </c>
      <c r="L563" s="49">
        <v>960000</v>
      </c>
      <c r="M563" s="1495" t="s">
        <v>3706</v>
      </c>
      <c r="N563" s="49">
        <v>4000000</v>
      </c>
      <c r="O563" s="644"/>
      <c r="P563" s="644"/>
      <c r="Q563" s="992"/>
      <c r="R563" s="644"/>
    </row>
    <row r="564" spans="7:18">
      <c r="G564" s="48"/>
      <c r="H564" s="48"/>
      <c r="I564" s="1022" t="s">
        <v>3718</v>
      </c>
      <c r="J564" s="49">
        <v>21160000</v>
      </c>
      <c r="K564" s="1532" t="s">
        <v>3712</v>
      </c>
      <c r="L564" s="49">
        <v>29500000</v>
      </c>
      <c r="M564" s="1498"/>
      <c r="N564" s="49"/>
      <c r="O564" s="644"/>
      <c r="P564" s="644"/>
      <c r="Q564" s="644"/>
      <c r="R564" s="644"/>
    </row>
    <row r="565" spans="7:18">
      <c r="G565" s="48"/>
      <c r="H565" s="48"/>
      <c r="I565" s="48"/>
      <c r="J565" s="49"/>
      <c r="K565" s="1532" t="s">
        <v>3707</v>
      </c>
      <c r="L565" s="49">
        <v>40000000</v>
      </c>
      <c r="M565" s="1498"/>
      <c r="N565" s="49"/>
      <c r="O565" s="644"/>
      <c r="P565" s="644"/>
      <c r="Q565" s="644"/>
      <c r="R565" s="644"/>
    </row>
    <row r="566" spans="7:18">
      <c r="G566" s="48"/>
      <c r="H566" s="48"/>
      <c r="I566" s="48"/>
      <c r="J566" s="49"/>
      <c r="K566" s="1532" t="s">
        <v>3710</v>
      </c>
      <c r="L566" s="49">
        <v>5000000</v>
      </c>
      <c r="M566" s="1498"/>
      <c r="N566" s="49"/>
      <c r="O566" s="644"/>
      <c r="P566" s="644"/>
      <c r="Q566" s="644"/>
      <c r="R566" s="644"/>
    </row>
    <row r="567" spans="7:18">
      <c r="G567" s="48"/>
      <c r="H567" s="48"/>
      <c r="I567" s="48"/>
      <c r="J567" s="49"/>
      <c r="K567" s="1498" t="s">
        <v>3708</v>
      </c>
      <c r="L567" s="49">
        <v>100000</v>
      </c>
      <c r="M567" s="1498"/>
      <c r="N567" s="49"/>
      <c r="O567" s="644"/>
      <c r="P567" s="644"/>
      <c r="Q567" s="644"/>
      <c r="R567" s="644"/>
    </row>
    <row r="568" spans="7:18">
      <c r="G568" s="48"/>
      <c r="H568" s="48"/>
      <c r="I568" s="48"/>
      <c r="J568" s="49"/>
      <c r="K568" s="1498" t="s">
        <v>3709</v>
      </c>
      <c r="L568" s="49">
        <v>600000</v>
      </c>
      <c r="M568" s="1498"/>
      <c r="N568" s="49"/>
      <c r="O568" s="644"/>
      <c r="P568" s="644"/>
      <c r="Q568" s="644"/>
      <c r="R568" s="644"/>
    </row>
    <row r="569" spans="7:18">
      <c r="G569" s="48"/>
      <c r="H569" s="48"/>
      <c r="I569" s="48"/>
      <c r="J569" s="49"/>
      <c r="K569" s="49" t="s">
        <v>3719</v>
      </c>
      <c r="L569" s="49">
        <v>150000000</v>
      </c>
      <c r="M569" s="1498"/>
      <c r="N569" s="49"/>
      <c r="O569" s="644"/>
      <c r="P569" s="644"/>
      <c r="Q569" s="644"/>
      <c r="R569" s="644"/>
    </row>
    <row r="570" spans="7:18">
      <c r="G570" s="48"/>
      <c r="H570" s="48"/>
      <c r="I570" s="48"/>
      <c r="J570" s="954">
        <f>SUM(J559:J565)</f>
        <v>161000000</v>
      </c>
      <c r="K570" s="954"/>
      <c r="L570" s="954">
        <f>SUM(L559:L569)</f>
        <v>234030000</v>
      </c>
      <c r="M570" s="1498"/>
      <c r="N570" s="954">
        <f>SUM(N559:N569)</f>
        <v>509690000</v>
      </c>
      <c r="O570" s="644"/>
      <c r="P570" s="969">
        <f>SUM(P559:P565)</f>
        <v>4900000</v>
      </c>
      <c r="Q570" s="969"/>
      <c r="R570" s="969">
        <f>SUM(R559:R565)</f>
        <v>500000</v>
      </c>
    </row>
    <row r="576" spans="7:18">
      <c r="M576" s="1527" t="s">
        <v>3699</v>
      </c>
      <c r="N576" s="3">
        <v>501000000</v>
      </c>
      <c r="O576" s="1527" t="s">
        <v>3723</v>
      </c>
      <c r="P576" s="3">
        <v>4400000</v>
      </c>
    </row>
    <row r="577" spans="7:18">
      <c r="G577" s="1572" t="s">
        <v>3530</v>
      </c>
      <c r="H577" s="1572"/>
      <c r="I577" s="1572"/>
      <c r="J577" s="3">
        <f>J570+L570</f>
        <v>395030000</v>
      </c>
      <c r="K577" s="1009"/>
      <c r="L577" s="3"/>
      <c r="M577" s="1527" t="s">
        <v>3664</v>
      </c>
      <c r="N577" s="1527">
        <f>N576*0.99</f>
        <v>495990000</v>
      </c>
    </row>
    <row r="578" spans="7:18">
      <c r="G578" s="1574" t="s">
        <v>3512</v>
      </c>
      <c r="H578" s="1574"/>
      <c r="I578" s="1574"/>
      <c r="J578" s="3">
        <f>N570-J577</f>
        <v>114660000</v>
      </c>
      <c r="K578" s="1009"/>
      <c r="L578" s="3"/>
    </row>
    <row r="579" spans="7:18">
      <c r="G579" s="1574" t="s">
        <v>3531</v>
      </c>
      <c r="H579" s="1574"/>
      <c r="I579" s="1574"/>
    </row>
    <row r="590" spans="7:18">
      <c r="G590" s="1008">
        <v>45938</v>
      </c>
      <c r="H590" s="1169"/>
      <c r="I590" s="1575" t="s">
        <v>3510</v>
      </c>
      <c r="J590" s="1576"/>
      <c r="K590" s="1575" t="s">
        <v>3509</v>
      </c>
      <c r="L590" s="1576"/>
      <c r="M590" s="1575" t="s">
        <v>3541</v>
      </c>
      <c r="N590" s="1576"/>
      <c r="O590" s="1577" t="s">
        <v>3598</v>
      </c>
      <c r="P590" s="1578"/>
      <c r="Q590" s="1579" t="s">
        <v>3599</v>
      </c>
      <c r="R590" s="1580"/>
    </row>
    <row r="591" spans="7:18">
      <c r="G591" s="1000"/>
      <c r="H591" s="1000"/>
      <c r="I591" s="1023" t="s">
        <v>3726</v>
      </c>
      <c r="J591" s="990">
        <v>13500000</v>
      </c>
      <c r="K591" s="1532" t="s">
        <v>3738</v>
      </c>
      <c r="L591" s="49">
        <v>50000000</v>
      </c>
      <c r="M591" s="1495" t="s">
        <v>3722</v>
      </c>
      <c r="N591" s="49">
        <v>114660000</v>
      </c>
      <c r="O591" s="1383" t="s">
        <v>3724</v>
      </c>
      <c r="P591" s="644">
        <v>4400000</v>
      </c>
      <c r="Q591" s="1021" t="s">
        <v>3725</v>
      </c>
      <c r="R591" s="644">
        <v>1010000</v>
      </c>
    </row>
    <row r="592" spans="7:18">
      <c r="G592" s="991"/>
      <c r="H592" s="991"/>
      <c r="I592" s="1022" t="s">
        <v>3727</v>
      </c>
      <c r="J592" s="990">
        <v>30360000</v>
      </c>
      <c r="K592" s="1532" t="s">
        <v>3636</v>
      </c>
      <c r="L592" s="49">
        <v>195000</v>
      </c>
      <c r="M592" s="1495" t="s">
        <v>3731</v>
      </c>
      <c r="N592" s="49">
        <v>100000000</v>
      </c>
      <c r="O592" s="1383"/>
      <c r="P592" s="644"/>
      <c r="Q592" s="1021" t="s">
        <v>3736</v>
      </c>
      <c r="R592" s="644">
        <v>400000</v>
      </c>
    </row>
    <row r="593" spans="7:18">
      <c r="G593" s="48"/>
      <c r="H593" s="267"/>
      <c r="I593" s="1024" t="s">
        <v>3730</v>
      </c>
      <c r="J593" s="49">
        <v>93000000</v>
      </c>
      <c r="K593" s="1532" t="s">
        <v>3532</v>
      </c>
      <c r="L593" s="1495">
        <v>60000</v>
      </c>
      <c r="M593" s="1495" t="s">
        <v>3532</v>
      </c>
      <c r="N593" s="49">
        <v>287595000</v>
      </c>
      <c r="O593" s="1383"/>
      <c r="P593" s="644"/>
      <c r="Q593" s="1076" t="s">
        <v>3742</v>
      </c>
      <c r="R593" s="644">
        <v>371000</v>
      </c>
    </row>
    <row r="594" spans="7:18">
      <c r="G594" s="48"/>
      <c r="H594" s="48"/>
      <c r="I594" s="1022" t="s">
        <v>3734</v>
      </c>
      <c r="J594" s="990">
        <v>30290000</v>
      </c>
      <c r="K594" s="1532" t="s">
        <v>3659</v>
      </c>
      <c r="L594" s="49">
        <v>5630000</v>
      </c>
      <c r="M594" s="1495" t="s">
        <v>3740</v>
      </c>
      <c r="N594" s="1495">
        <v>1600000</v>
      </c>
      <c r="O594" s="644"/>
      <c r="P594" s="644"/>
      <c r="Q594" s="992"/>
      <c r="R594" s="644"/>
    </row>
    <row r="595" spans="7:18">
      <c r="G595" s="48"/>
      <c r="H595" s="48"/>
      <c r="I595" s="1022" t="s">
        <v>3735</v>
      </c>
      <c r="J595" s="990">
        <v>90000000</v>
      </c>
      <c r="K595" s="1532" t="s">
        <v>3732</v>
      </c>
      <c r="L595" s="49">
        <v>4000000</v>
      </c>
      <c r="M595" s="1495"/>
      <c r="N595" s="49"/>
      <c r="O595" s="644"/>
      <c r="P595" s="644"/>
      <c r="Q595" s="992"/>
      <c r="R595" s="644"/>
    </row>
    <row r="596" spans="7:18">
      <c r="G596" s="48"/>
      <c r="H596" s="48"/>
      <c r="I596" s="1022" t="s">
        <v>3737</v>
      </c>
      <c r="J596" s="49">
        <v>23000000</v>
      </c>
      <c r="K596" s="1532" t="s">
        <v>3733</v>
      </c>
      <c r="L596" s="49">
        <v>60000</v>
      </c>
      <c r="M596" s="1498"/>
      <c r="N596" s="49"/>
      <c r="O596" s="644"/>
      <c r="P596" s="644"/>
      <c r="Q596" s="644"/>
      <c r="R596" s="644"/>
    </row>
    <row r="597" spans="7:18">
      <c r="G597" s="48"/>
      <c r="H597" s="48"/>
      <c r="I597" s="48"/>
      <c r="J597" s="49"/>
      <c r="K597" s="1495" t="s">
        <v>3532</v>
      </c>
      <c r="L597" s="49">
        <v>5195000</v>
      </c>
      <c r="M597" s="1498"/>
      <c r="N597" s="49"/>
      <c r="O597" s="644"/>
      <c r="P597" s="644"/>
      <c r="Q597" s="644"/>
      <c r="R597" s="644"/>
    </row>
    <row r="598" spans="7:18">
      <c r="G598" s="48"/>
      <c r="H598" s="48"/>
      <c r="I598" s="48"/>
      <c r="J598" s="49"/>
      <c r="K598" s="1532" t="s">
        <v>3739</v>
      </c>
      <c r="L598" s="49">
        <v>2000000</v>
      </c>
      <c r="M598" s="1498"/>
      <c r="N598" s="49"/>
      <c r="O598" s="644"/>
      <c r="P598" s="644"/>
      <c r="Q598" s="644"/>
      <c r="R598" s="644"/>
    </row>
    <row r="599" spans="7:18">
      <c r="G599" s="48"/>
      <c r="H599" s="48"/>
      <c r="I599" s="48"/>
      <c r="J599" s="49"/>
      <c r="K599" s="1495" t="s">
        <v>3612</v>
      </c>
      <c r="L599" s="49">
        <v>100000</v>
      </c>
      <c r="M599" s="1498"/>
      <c r="N599" s="49"/>
      <c r="O599" s="644"/>
      <c r="P599" s="644"/>
      <c r="Q599" s="644"/>
      <c r="R599" s="644"/>
    </row>
    <row r="600" spans="7:18">
      <c r="G600" s="48"/>
      <c r="H600" s="48"/>
      <c r="I600" s="48"/>
      <c r="J600" s="49"/>
      <c r="K600" s="1498" t="s">
        <v>3729</v>
      </c>
      <c r="L600" s="49">
        <v>100000</v>
      </c>
      <c r="M600" s="1498"/>
      <c r="N600" s="49"/>
      <c r="O600" s="644"/>
      <c r="P600" s="644"/>
      <c r="Q600" s="644"/>
      <c r="R600" s="644"/>
    </row>
    <row r="601" spans="7:18">
      <c r="G601" s="48"/>
      <c r="H601" s="48"/>
      <c r="I601" s="48"/>
      <c r="J601" s="49"/>
      <c r="K601" s="49"/>
      <c r="L601" s="49"/>
      <c r="M601" s="1498"/>
      <c r="N601" s="49"/>
      <c r="O601" s="644"/>
      <c r="P601" s="644"/>
      <c r="Q601" s="644"/>
      <c r="R601" s="644"/>
    </row>
    <row r="602" spans="7:18">
      <c r="G602" s="48"/>
      <c r="H602" s="48"/>
      <c r="I602" s="48"/>
      <c r="J602" s="954">
        <f>SUM(J591:J597)</f>
        <v>280150000</v>
      </c>
      <c r="K602" s="954"/>
      <c r="L602" s="954">
        <f>SUM(L591:L601)</f>
        <v>67340000</v>
      </c>
      <c r="M602" s="1498"/>
      <c r="N602" s="954">
        <f>SUM(N591:N601)</f>
        <v>503855000</v>
      </c>
      <c r="O602" s="644"/>
      <c r="P602" s="969">
        <f>SUM(P591:P597)</f>
        <v>4400000</v>
      </c>
      <c r="Q602" s="969"/>
      <c r="R602" s="969">
        <f>SUM(R591:R597)</f>
        <v>1781000</v>
      </c>
    </row>
    <row r="608" spans="7:18">
      <c r="M608" s="1533" t="s">
        <v>3699</v>
      </c>
      <c r="N608" s="3">
        <v>290500000</v>
      </c>
      <c r="O608" s="1534" t="s">
        <v>3741</v>
      </c>
      <c r="P608" s="939">
        <f>P602-R602</f>
        <v>2619000</v>
      </c>
    </row>
    <row r="609" spans="7:18">
      <c r="G609" s="1572" t="s">
        <v>3530</v>
      </c>
      <c r="H609" s="1572"/>
      <c r="I609" s="1572"/>
      <c r="J609" s="3">
        <f>J602+L602</f>
        <v>347490000</v>
      </c>
      <c r="K609" s="1009"/>
      <c r="L609" s="3"/>
      <c r="M609" s="1533" t="s">
        <v>3664</v>
      </c>
      <c r="N609" s="1527">
        <f>N608*0.99</f>
        <v>287595000</v>
      </c>
    </row>
    <row r="610" spans="7:18">
      <c r="G610" s="1574" t="s">
        <v>3512</v>
      </c>
      <c r="H610" s="1574"/>
      <c r="I610" s="1574"/>
      <c r="J610" s="3">
        <f>N602-J609</f>
        <v>156365000</v>
      </c>
      <c r="K610" s="1009"/>
      <c r="L610" s="3"/>
      <c r="N610" s="3">
        <f>N609-5195000</f>
        <v>282400000</v>
      </c>
    </row>
    <row r="611" spans="7:18">
      <c r="G611" s="1574" t="s">
        <v>3531</v>
      </c>
      <c r="H611" s="1574"/>
      <c r="I611" s="1574"/>
    </row>
    <row r="619" spans="7:18">
      <c r="G619" s="1008">
        <v>45939</v>
      </c>
      <c r="H619" s="1169"/>
      <c r="I619" s="1575" t="s">
        <v>3510</v>
      </c>
      <c r="J619" s="1576"/>
      <c r="K619" s="1575" t="s">
        <v>3509</v>
      </c>
      <c r="L619" s="1576"/>
      <c r="M619" s="1575" t="s">
        <v>3541</v>
      </c>
      <c r="N619" s="1576"/>
      <c r="O619" s="1577" t="s">
        <v>3598</v>
      </c>
      <c r="P619" s="1578"/>
      <c r="Q619" s="1579" t="s">
        <v>3599</v>
      </c>
      <c r="R619" s="1580"/>
    </row>
    <row r="620" spans="7:18">
      <c r="G620" s="1000"/>
      <c r="H620" s="1000"/>
      <c r="I620" s="1023" t="s">
        <v>3745</v>
      </c>
      <c r="J620" s="990">
        <v>30360000</v>
      </c>
      <c r="K620" s="1532" t="s">
        <v>3547</v>
      </c>
      <c r="L620" s="49">
        <v>7000000</v>
      </c>
      <c r="M620" s="1495" t="s">
        <v>3743</v>
      </c>
      <c r="N620" s="49">
        <v>156365000</v>
      </c>
      <c r="O620" s="1383" t="s">
        <v>3744</v>
      </c>
      <c r="P620" s="644">
        <v>2619000</v>
      </c>
      <c r="Q620" s="1021"/>
      <c r="R620" s="644"/>
    </row>
    <row r="621" spans="7:18">
      <c r="G621" s="991"/>
      <c r="H621" s="991"/>
      <c r="I621" s="1022" t="s">
        <v>3752</v>
      </c>
      <c r="J621" s="990">
        <v>30030000</v>
      </c>
      <c r="K621" s="1532" t="s">
        <v>3403</v>
      </c>
      <c r="L621" s="49">
        <v>70000</v>
      </c>
      <c r="M621" s="1495"/>
      <c r="N621" s="49"/>
      <c r="O621" s="1383"/>
      <c r="P621" s="644"/>
      <c r="Q621" s="1021"/>
      <c r="R621" s="644"/>
    </row>
    <row r="622" spans="7:18">
      <c r="G622" s="48"/>
      <c r="H622" s="267"/>
      <c r="I622" s="1024" t="s">
        <v>3748</v>
      </c>
      <c r="J622" s="49">
        <v>30360000</v>
      </c>
      <c r="K622" s="1532" t="s">
        <v>3746</v>
      </c>
      <c r="L622" s="1495">
        <v>660000</v>
      </c>
      <c r="M622" s="1495"/>
      <c r="N622" s="49"/>
      <c r="O622" s="1383"/>
      <c r="P622" s="644"/>
      <c r="Q622" s="1021"/>
      <c r="R622" s="644"/>
    </row>
    <row r="623" spans="7:18">
      <c r="G623" s="48"/>
      <c r="H623" s="48"/>
      <c r="I623" s="1022" t="s">
        <v>3749</v>
      </c>
      <c r="J623" s="990">
        <v>13950000</v>
      </c>
      <c r="K623" s="1532" t="s">
        <v>3404</v>
      </c>
      <c r="L623" s="49">
        <v>190000</v>
      </c>
      <c r="M623" s="1495"/>
      <c r="N623" s="1495"/>
      <c r="O623" s="644"/>
      <c r="P623" s="644"/>
      <c r="Q623" s="992"/>
      <c r="R623" s="644"/>
    </row>
    <row r="624" spans="7:18">
      <c r="G624" s="48"/>
      <c r="H624" s="48"/>
      <c r="I624" s="1022" t="s">
        <v>3750</v>
      </c>
      <c r="J624" s="990">
        <v>30690000</v>
      </c>
      <c r="K624" s="1532" t="s">
        <v>3747</v>
      </c>
      <c r="L624" s="49">
        <v>3000000</v>
      </c>
      <c r="M624" s="1495"/>
      <c r="N624" s="49"/>
      <c r="O624" s="644"/>
      <c r="P624" s="644"/>
      <c r="Q624" s="992"/>
      <c r="R624" s="644"/>
    </row>
    <row r="625" spans="7:18">
      <c r="G625" s="48"/>
      <c r="H625" s="48"/>
      <c r="I625" s="1022"/>
      <c r="J625" s="49"/>
      <c r="K625" s="1532" t="s">
        <v>3751</v>
      </c>
      <c r="L625" s="49">
        <v>600000</v>
      </c>
      <c r="M625" s="1498"/>
      <c r="N625" s="49"/>
      <c r="O625" s="644"/>
      <c r="P625" s="644"/>
      <c r="Q625" s="644"/>
      <c r="R625" s="644"/>
    </row>
    <row r="626" spans="7:18">
      <c r="G626" s="48"/>
      <c r="H626" s="48"/>
      <c r="I626" s="48"/>
      <c r="J626" s="49"/>
      <c r="K626" s="1495"/>
      <c r="L626" s="49"/>
      <c r="M626" s="1498"/>
      <c r="N626" s="49"/>
      <c r="O626" s="644"/>
      <c r="P626" s="644"/>
      <c r="Q626" s="644"/>
      <c r="R626" s="644"/>
    </row>
    <row r="627" spans="7:18">
      <c r="G627" s="48"/>
      <c r="H627" s="48"/>
      <c r="I627" s="48"/>
      <c r="J627" s="49"/>
      <c r="K627" s="1532"/>
      <c r="L627" s="49"/>
      <c r="M627" s="1498"/>
      <c r="N627" s="49"/>
      <c r="O627" s="644"/>
      <c r="P627" s="644"/>
      <c r="Q627" s="644"/>
      <c r="R627" s="644"/>
    </row>
    <row r="628" spans="7:18">
      <c r="G628" s="48"/>
      <c r="H628" s="48"/>
      <c r="I628" s="48"/>
      <c r="J628" s="49"/>
      <c r="K628" s="1495"/>
      <c r="L628" s="49"/>
      <c r="M628" s="1498"/>
      <c r="N628" s="49"/>
      <c r="O628" s="644"/>
      <c r="P628" s="644"/>
      <c r="Q628" s="644"/>
      <c r="R628" s="644"/>
    </row>
    <row r="629" spans="7:18">
      <c r="G629" s="48"/>
      <c r="H629" s="48"/>
      <c r="I629" s="48"/>
      <c r="J629" s="49"/>
      <c r="K629" s="1498"/>
      <c r="L629" s="49"/>
      <c r="M629" s="1498"/>
      <c r="N629" s="49"/>
      <c r="O629" s="644"/>
      <c r="P629" s="644"/>
      <c r="Q629" s="644"/>
      <c r="R629" s="644"/>
    </row>
    <row r="630" spans="7:18">
      <c r="G630" s="48"/>
      <c r="H630" s="48"/>
      <c r="I630" s="48"/>
      <c r="J630" s="49"/>
      <c r="K630" s="49"/>
      <c r="L630" s="49"/>
      <c r="M630" s="1498"/>
      <c r="N630" s="49"/>
      <c r="O630" s="644"/>
      <c r="P630" s="644"/>
      <c r="Q630" s="644"/>
      <c r="R630" s="644"/>
    </row>
    <row r="631" spans="7:18">
      <c r="G631" s="48"/>
      <c r="H631" s="48"/>
      <c r="I631" s="48"/>
      <c r="J631" s="954">
        <f>SUM(J620:J626)</f>
        <v>135390000</v>
      </c>
      <c r="K631" s="954"/>
      <c r="L631" s="954">
        <f>SUM(L620:L630)</f>
        <v>11520000</v>
      </c>
      <c r="M631" s="1498"/>
      <c r="N631" s="954">
        <f>SUM(N620:N630)</f>
        <v>156365000</v>
      </c>
      <c r="O631" s="644"/>
      <c r="P631" s="969">
        <f>SUM(P620:P626)</f>
        <v>2619000</v>
      </c>
      <c r="Q631" s="969"/>
      <c r="R631" s="969">
        <f>SUM(R620:R626)</f>
        <v>0</v>
      </c>
    </row>
    <row r="637" spans="7:18">
      <c r="M637" s="1533" t="s">
        <v>3699</v>
      </c>
      <c r="N637" s="3">
        <v>290500000</v>
      </c>
      <c r="O637" s="1534" t="s">
        <v>3741</v>
      </c>
      <c r="P637" s="939">
        <f>P631-R631</f>
        <v>2619000</v>
      </c>
    </row>
    <row r="638" spans="7:18">
      <c r="G638" s="1572" t="s">
        <v>3530</v>
      </c>
      <c r="H638" s="1572"/>
      <c r="I638" s="1572"/>
      <c r="J638" s="3">
        <f>J631+L631</f>
        <v>146910000</v>
      </c>
      <c r="K638" s="1009"/>
      <c r="L638" s="3"/>
      <c r="M638" s="1533" t="s">
        <v>3664</v>
      </c>
      <c r="N638" s="1527">
        <f>N637*0.99</f>
        <v>287595000</v>
      </c>
    </row>
    <row r="639" spans="7:18">
      <c r="G639" s="1574" t="s">
        <v>3512</v>
      </c>
      <c r="H639" s="1574"/>
      <c r="I639" s="1574"/>
      <c r="J639" s="3">
        <f>N631-J638</f>
        <v>9455000</v>
      </c>
      <c r="K639" s="1009"/>
      <c r="L639" s="3"/>
      <c r="N639" s="3">
        <f>N638-5195000</f>
        <v>282400000</v>
      </c>
    </row>
    <row r="640" spans="7:18">
      <c r="G640" s="1574" t="s">
        <v>3531</v>
      </c>
      <c r="H640" s="1574"/>
      <c r="I640" s="1574"/>
    </row>
    <row r="651" spans="7:18">
      <c r="L651" s="1527" t="s">
        <v>3762</v>
      </c>
      <c r="M651" s="1527">
        <v>9455000</v>
      </c>
    </row>
    <row r="652" spans="7:18">
      <c r="G652" s="1008">
        <v>45940</v>
      </c>
      <c r="H652" s="1169"/>
      <c r="I652" s="1575" t="s">
        <v>3510</v>
      </c>
      <c r="J652" s="1576"/>
      <c r="K652" s="1575" t="s">
        <v>3509</v>
      </c>
      <c r="L652" s="1576"/>
      <c r="M652" s="1575" t="s">
        <v>3541</v>
      </c>
      <c r="N652" s="1576"/>
      <c r="O652" s="1577" t="s">
        <v>3598</v>
      </c>
      <c r="P652" s="1578"/>
      <c r="Q652" s="1579" t="s">
        <v>3599</v>
      </c>
      <c r="R652" s="1580"/>
    </row>
    <row r="653" spans="7:18">
      <c r="G653" s="1000"/>
      <c r="H653" s="1000"/>
      <c r="I653" s="1023" t="s">
        <v>3757</v>
      </c>
      <c r="J653" s="990">
        <v>93000000</v>
      </c>
      <c r="K653" s="1532" t="s">
        <v>3753</v>
      </c>
      <c r="L653" s="49">
        <v>200000</v>
      </c>
      <c r="M653" s="1495" t="s">
        <v>3755</v>
      </c>
      <c r="N653" s="49" t="s">
        <v>3756</v>
      </c>
      <c r="O653" s="1383"/>
      <c r="P653" s="644"/>
      <c r="Q653" s="1030"/>
      <c r="R653" s="644"/>
    </row>
    <row r="654" spans="7:18">
      <c r="G654" s="991"/>
      <c r="H654" s="991"/>
      <c r="I654" s="1028" t="s">
        <v>3763</v>
      </c>
      <c r="J654" s="990">
        <v>30360000</v>
      </c>
      <c r="K654" s="1532" t="s">
        <v>3754</v>
      </c>
      <c r="L654" s="49">
        <v>3000000</v>
      </c>
      <c r="M654" s="1495" t="s">
        <v>3758</v>
      </c>
      <c r="N654" s="49">
        <v>3200000</v>
      </c>
      <c r="O654" s="1383"/>
      <c r="P654" s="644"/>
      <c r="Q654" s="1030"/>
      <c r="R654" s="644"/>
    </row>
    <row r="655" spans="7:18">
      <c r="G655" s="48"/>
      <c r="H655" s="267"/>
      <c r="I655" s="1029" t="s">
        <v>3764</v>
      </c>
      <c r="J655" s="49">
        <v>4600000</v>
      </c>
      <c r="K655" s="1532" t="s">
        <v>3759</v>
      </c>
      <c r="L655" s="1495">
        <v>530000</v>
      </c>
      <c r="M655" s="1495" t="s">
        <v>3761</v>
      </c>
      <c r="N655" s="49">
        <v>150000000</v>
      </c>
      <c r="O655" s="1383"/>
      <c r="P655" s="644"/>
      <c r="Q655" s="1030"/>
      <c r="R655" s="644"/>
    </row>
    <row r="656" spans="7:18">
      <c r="G656" s="48"/>
      <c r="H656" s="48"/>
      <c r="I656" s="1022"/>
      <c r="J656" s="990"/>
      <c r="K656" s="1532" t="s">
        <v>3760</v>
      </c>
      <c r="L656" s="49">
        <v>1500000</v>
      </c>
      <c r="M656" s="1495"/>
      <c r="N656" s="1495"/>
      <c r="O656" s="644"/>
      <c r="P656" s="644"/>
      <c r="Q656" s="992"/>
      <c r="R656" s="644"/>
    </row>
    <row r="657" spans="7:18">
      <c r="G657" s="48"/>
      <c r="H657" s="48"/>
      <c r="I657" s="1022"/>
      <c r="J657" s="990"/>
      <c r="K657" s="1532" t="s">
        <v>3751</v>
      </c>
      <c r="L657" s="49">
        <v>800000</v>
      </c>
      <c r="M657" s="1495"/>
      <c r="N657" s="49"/>
      <c r="O657" s="644"/>
      <c r="P657" s="644"/>
      <c r="Q657" s="992"/>
      <c r="R657" s="644"/>
    </row>
    <row r="658" spans="7:18">
      <c r="G658" s="48"/>
      <c r="H658" s="48"/>
      <c r="I658" s="1022"/>
      <c r="J658" s="49"/>
      <c r="K658" s="1532"/>
      <c r="L658" s="49"/>
      <c r="M658" s="1498"/>
      <c r="N658" s="49"/>
      <c r="O658" s="644"/>
      <c r="P658" s="644"/>
      <c r="Q658" s="644"/>
      <c r="R658" s="644"/>
    </row>
    <row r="659" spans="7:18">
      <c r="G659" s="48"/>
      <c r="H659" s="48"/>
      <c r="I659" s="48"/>
      <c r="J659" s="49"/>
      <c r="K659" s="1495"/>
      <c r="L659" s="49"/>
      <c r="M659" s="1498"/>
      <c r="N659" s="49"/>
      <c r="O659" s="644"/>
      <c r="P659" s="644"/>
      <c r="Q659" s="644"/>
      <c r="R659" s="644"/>
    </row>
    <row r="660" spans="7:18">
      <c r="G660" s="48"/>
      <c r="H660" s="48"/>
      <c r="I660" s="48"/>
      <c r="J660" s="49"/>
      <c r="K660" s="1532"/>
      <c r="L660" s="49"/>
      <c r="M660" s="1498"/>
      <c r="N660" s="49"/>
      <c r="O660" s="644"/>
      <c r="P660" s="644"/>
      <c r="Q660" s="644"/>
      <c r="R660" s="644"/>
    </row>
    <row r="661" spans="7:18">
      <c r="G661" s="48"/>
      <c r="H661" s="48"/>
      <c r="I661" s="48"/>
      <c r="J661" s="49"/>
      <c r="K661" s="1495"/>
      <c r="L661" s="49"/>
      <c r="M661" s="1498"/>
      <c r="N661" s="49"/>
      <c r="O661" s="644"/>
      <c r="P661" s="644"/>
      <c r="Q661" s="644"/>
      <c r="R661" s="644"/>
    </row>
    <row r="662" spans="7:18">
      <c r="G662" s="48"/>
      <c r="H662" s="48"/>
      <c r="I662" s="48"/>
      <c r="J662" s="49"/>
      <c r="K662" s="1498"/>
      <c r="L662" s="49"/>
      <c r="M662" s="1498"/>
      <c r="N662" s="49"/>
      <c r="O662" s="644"/>
      <c r="P662" s="644"/>
      <c r="Q662" s="644"/>
      <c r="R662" s="644"/>
    </row>
    <row r="663" spans="7:18">
      <c r="G663" s="48"/>
      <c r="H663" s="48"/>
      <c r="I663" s="48"/>
      <c r="J663" s="49"/>
      <c r="K663" s="49"/>
      <c r="L663" s="49"/>
      <c r="M663" s="1498"/>
      <c r="N663" s="49"/>
      <c r="O663" s="644"/>
      <c r="P663" s="644"/>
      <c r="Q663" s="644"/>
      <c r="R663" s="644"/>
    </row>
    <row r="664" spans="7:18">
      <c r="G664" s="48"/>
      <c r="H664" s="48"/>
      <c r="I664" s="48"/>
      <c r="J664" s="954">
        <f>SUM(J653:J659)</f>
        <v>127960000</v>
      </c>
      <c r="K664" s="954"/>
      <c r="L664" s="954">
        <f>SUM(L653:L663)</f>
        <v>6030000</v>
      </c>
      <c r="M664" s="1498"/>
      <c r="N664" s="954">
        <f>SUM(N653:N663)</f>
        <v>153200000</v>
      </c>
      <c r="O664" s="644"/>
      <c r="P664" s="969">
        <f>SUM(P653:P659)</f>
        <v>0</v>
      </c>
      <c r="Q664" s="969"/>
      <c r="R664" s="969">
        <f>SUM(R653:R659)</f>
        <v>0</v>
      </c>
    </row>
    <row r="670" spans="7:18">
      <c r="M670" s="1533" t="s">
        <v>3699</v>
      </c>
      <c r="N670" s="3">
        <v>149500000</v>
      </c>
      <c r="O670" s="1534" t="s">
        <v>3741</v>
      </c>
      <c r="P670" s="939">
        <f>P664-R664</f>
        <v>0</v>
      </c>
    </row>
    <row r="671" spans="7:18">
      <c r="G671" s="1574" t="s">
        <v>3530</v>
      </c>
      <c r="H671" s="1574"/>
      <c r="I671" s="1574"/>
      <c r="J671" s="3">
        <f>J664+L664</f>
        <v>133990000</v>
      </c>
      <c r="K671" s="1009"/>
      <c r="L671" s="3"/>
      <c r="M671" s="1533" t="s">
        <v>3664</v>
      </c>
      <c r="N671" s="1527"/>
    </row>
    <row r="672" spans="7:18">
      <c r="G672" s="1574" t="s">
        <v>3512</v>
      </c>
      <c r="H672" s="1574"/>
      <c r="I672" s="1574"/>
      <c r="J672" s="3">
        <f>N664-J671+M651</f>
        <v>28665000</v>
      </c>
      <c r="K672" s="1009"/>
      <c r="L672" s="3"/>
    </row>
    <row r="673" spans="7:18">
      <c r="G673" s="1574" t="s">
        <v>3531</v>
      </c>
      <c r="H673" s="1574"/>
      <c r="I673" s="1574"/>
    </row>
    <row r="687" spans="7:18">
      <c r="G687" s="1008">
        <v>45941</v>
      </c>
      <c r="H687" s="1169"/>
      <c r="I687" s="1575" t="s">
        <v>3510</v>
      </c>
      <c r="J687" s="1576"/>
      <c r="K687" s="1575" t="s">
        <v>3509</v>
      </c>
      <c r="L687" s="1576"/>
      <c r="M687" s="1575" t="s">
        <v>3541</v>
      </c>
      <c r="N687" s="1576"/>
      <c r="O687" s="1577" t="s">
        <v>3598</v>
      </c>
      <c r="P687" s="1578"/>
      <c r="Q687" s="1579" t="s">
        <v>3599</v>
      </c>
      <c r="R687" s="1580"/>
    </row>
    <row r="688" spans="7:18">
      <c r="G688" s="1000"/>
      <c r="H688" s="1000"/>
      <c r="I688" s="1033" t="s">
        <v>3773</v>
      </c>
      <c r="J688" s="990">
        <v>30690000</v>
      </c>
      <c r="K688" s="1532" t="s">
        <v>3532</v>
      </c>
      <c r="L688" s="49">
        <v>5500000</v>
      </c>
      <c r="M688" s="1495" t="s">
        <v>3772</v>
      </c>
      <c r="N688" s="49">
        <v>28665000</v>
      </c>
      <c r="O688" s="1383"/>
      <c r="P688" s="644"/>
      <c r="Q688" s="1030"/>
      <c r="R688" s="644"/>
    </row>
    <row r="689" spans="7:18">
      <c r="G689" s="991"/>
      <c r="H689" s="991"/>
      <c r="I689" s="1028"/>
      <c r="J689" s="990"/>
      <c r="K689" s="1532" t="s">
        <v>3768</v>
      </c>
      <c r="L689" s="49">
        <v>150000</v>
      </c>
      <c r="M689" s="1495" t="s">
        <v>3765</v>
      </c>
      <c r="N689" s="49">
        <v>34000000</v>
      </c>
      <c r="O689" s="1383"/>
      <c r="P689" s="644"/>
      <c r="Q689" s="1030"/>
      <c r="R689" s="644"/>
    </row>
    <row r="690" spans="7:18">
      <c r="G690" s="48"/>
      <c r="H690" s="267"/>
      <c r="I690" s="1029"/>
      <c r="J690" s="49"/>
      <c r="K690" s="1532" t="s">
        <v>3770</v>
      </c>
      <c r="L690" s="1495">
        <v>2000000</v>
      </c>
      <c r="M690" s="1495" t="s">
        <v>3766</v>
      </c>
      <c r="N690" s="49">
        <v>1000000</v>
      </c>
      <c r="O690" s="1383"/>
      <c r="P690" s="644"/>
      <c r="Q690" s="1030"/>
      <c r="R690" s="644"/>
    </row>
    <row r="691" spans="7:18">
      <c r="G691" s="48"/>
      <c r="H691" s="48"/>
      <c r="I691" s="1022"/>
      <c r="J691" s="990"/>
      <c r="K691" s="1532" t="s">
        <v>3771</v>
      </c>
      <c r="L691" s="49">
        <v>160000</v>
      </c>
      <c r="M691" s="1495" t="s">
        <v>3767</v>
      </c>
      <c r="N691" s="49">
        <v>36000000</v>
      </c>
      <c r="O691" s="644"/>
      <c r="P691" s="644"/>
      <c r="Q691" s="992"/>
      <c r="R691" s="644"/>
    </row>
    <row r="692" spans="7:18">
      <c r="G692" s="48"/>
      <c r="H692" s="48"/>
      <c r="I692" s="1022"/>
      <c r="J692" s="990"/>
      <c r="K692" s="1532" t="s">
        <v>3363</v>
      </c>
      <c r="L692" s="49">
        <v>2600000</v>
      </c>
      <c r="M692" s="1495"/>
      <c r="N692" s="49"/>
      <c r="O692" s="644"/>
      <c r="P692" s="644"/>
      <c r="Q692" s="992"/>
      <c r="R692" s="644"/>
    </row>
    <row r="693" spans="7:18">
      <c r="G693" s="48"/>
      <c r="H693" s="48"/>
      <c r="I693" s="1022"/>
      <c r="J693" s="49"/>
      <c r="K693" s="1532"/>
      <c r="L693" s="49"/>
      <c r="M693" s="1498"/>
      <c r="N693" s="49"/>
      <c r="O693" s="644"/>
      <c r="P693" s="644"/>
      <c r="Q693" s="644"/>
      <c r="R693" s="644"/>
    </row>
    <row r="694" spans="7:18">
      <c r="G694" s="48"/>
      <c r="H694" s="48"/>
      <c r="I694" s="48"/>
      <c r="J694" s="49"/>
      <c r="K694" s="1495"/>
      <c r="L694" s="49"/>
      <c r="M694" s="1498"/>
      <c r="N694" s="49"/>
      <c r="O694" s="644"/>
      <c r="P694" s="644"/>
      <c r="Q694" s="644"/>
      <c r="R694" s="644"/>
    </row>
    <row r="695" spans="7:18">
      <c r="G695" s="48"/>
      <c r="H695" s="48"/>
      <c r="I695" s="48"/>
      <c r="J695" s="49"/>
      <c r="K695" s="1532"/>
      <c r="L695" s="49"/>
      <c r="M695" s="1498"/>
      <c r="N695" s="49"/>
      <c r="O695" s="644"/>
      <c r="P695" s="644"/>
      <c r="Q695" s="644"/>
      <c r="R695" s="644"/>
    </row>
    <row r="696" spans="7:18">
      <c r="G696" s="48"/>
      <c r="H696" s="48"/>
      <c r="I696" s="48"/>
      <c r="J696" s="49"/>
      <c r="K696" s="1495"/>
      <c r="L696" s="49"/>
      <c r="M696" s="1498"/>
      <c r="N696" s="49"/>
      <c r="O696" s="644"/>
      <c r="P696" s="644"/>
      <c r="Q696" s="644"/>
      <c r="R696" s="644"/>
    </row>
    <row r="697" spans="7:18">
      <c r="G697" s="48"/>
      <c r="H697" s="48"/>
      <c r="I697" s="48"/>
      <c r="J697" s="49"/>
      <c r="K697" s="1498"/>
      <c r="L697" s="49"/>
      <c r="M697" s="1498"/>
      <c r="N697" s="49"/>
      <c r="O697" s="644"/>
      <c r="P697" s="644"/>
      <c r="Q697" s="644"/>
      <c r="R697" s="644"/>
    </row>
    <row r="698" spans="7:18">
      <c r="G698" s="48"/>
      <c r="H698" s="48"/>
      <c r="I698" s="48"/>
      <c r="J698" s="49"/>
      <c r="K698" s="49"/>
      <c r="L698" s="49"/>
      <c r="M698" s="1498"/>
      <c r="N698" s="49"/>
      <c r="O698" s="644"/>
      <c r="P698" s="644"/>
      <c r="Q698" s="644"/>
      <c r="R698" s="644"/>
    </row>
    <row r="699" spans="7:18">
      <c r="G699" s="48"/>
      <c r="H699" s="48"/>
      <c r="I699" s="48"/>
      <c r="J699" s="954">
        <f>SUM(J688:J694)</f>
        <v>30690000</v>
      </c>
      <c r="K699" s="954"/>
      <c r="L699" s="954">
        <f>SUM(L688:L698)</f>
        <v>10410000</v>
      </c>
      <c r="M699" s="1498"/>
      <c r="N699" s="954">
        <f>SUM(N688:N698)</f>
        <v>99665000</v>
      </c>
      <c r="O699" s="644"/>
      <c r="P699" s="969">
        <f>SUM(P688:P694)</f>
        <v>0</v>
      </c>
      <c r="Q699" s="969"/>
      <c r="R699" s="969">
        <f>SUM(R688:R694)</f>
        <v>0</v>
      </c>
    </row>
    <row r="705" spans="7:18">
      <c r="M705" s="1533" t="s">
        <v>3699</v>
      </c>
      <c r="O705" s="1534" t="s">
        <v>3741</v>
      </c>
      <c r="P705" s="939">
        <f>P699-R699</f>
        <v>0</v>
      </c>
    </row>
    <row r="706" spans="7:18">
      <c r="G706" s="1574" t="s">
        <v>3530</v>
      </c>
      <c r="H706" s="1574"/>
      <c r="I706" s="1574"/>
      <c r="J706" s="3">
        <f>J699+L699</f>
        <v>41100000</v>
      </c>
      <c r="K706" s="1009"/>
      <c r="L706" s="3"/>
      <c r="M706" s="1533" t="s">
        <v>3664</v>
      </c>
      <c r="N706" s="1527"/>
    </row>
    <row r="707" spans="7:18">
      <c r="G707" s="1574" t="s">
        <v>3512</v>
      </c>
      <c r="H707" s="1574"/>
      <c r="I707" s="1574"/>
      <c r="J707" s="3">
        <f>N699-J706+M686</f>
        <v>58565000</v>
      </c>
      <c r="K707" s="1009"/>
      <c r="L707" s="3"/>
    </row>
    <row r="708" spans="7:18">
      <c r="G708" s="1574" t="s">
        <v>3531</v>
      </c>
      <c r="H708" s="1574"/>
      <c r="I708" s="1574"/>
      <c r="J708" s="3">
        <v>1000</v>
      </c>
    </row>
    <row r="715" spans="7:18">
      <c r="G715" s="1008">
        <v>45943</v>
      </c>
      <c r="H715" s="1169"/>
      <c r="I715" s="1575" t="s">
        <v>3510</v>
      </c>
      <c r="J715" s="1576"/>
      <c r="K715" s="1575" t="s">
        <v>3509</v>
      </c>
      <c r="L715" s="1576"/>
      <c r="M715" s="1575" t="s">
        <v>3541</v>
      </c>
      <c r="N715" s="1576"/>
      <c r="O715" s="1577" t="s">
        <v>3598</v>
      </c>
      <c r="P715" s="1578"/>
      <c r="Q715" s="1579" t="s">
        <v>3599</v>
      </c>
      <c r="R715" s="1580"/>
    </row>
    <row r="716" spans="7:18">
      <c r="G716" s="1000"/>
      <c r="H716" s="1000"/>
      <c r="I716" s="1033" t="s">
        <v>3779</v>
      </c>
      <c r="J716" s="990">
        <v>30360000</v>
      </c>
      <c r="K716" s="1532" t="s">
        <v>3363</v>
      </c>
      <c r="L716" s="49">
        <v>1100000</v>
      </c>
      <c r="M716" s="1495" t="s">
        <v>3774</v>
      </c>
      <c r="N716" s="49">
        <v>2500000</v>
      </c>
      <c r="O716" s="1383" t="s">
        <v>3775</v>
      </c>
      <c r="P716" s="644">
        <v>20500000</v>
      </c>
      <c r="Q716" s="1030"/>
      <c r="R716" s="644"/>
    </row>
    <row r="717" spans="7:18">
      <c r="G717" s="1028" t="s">
        <v>3781</v>
      </c>
      <c r="H717" s="1028"/>
      <c r="I717" s="1028" t="s">
        <v>3780</v>
      </c>
      <c r="J717" s="990">
        <v>23400000</v>
      </c>
      <c r="K717" s="1532" t="s">
        <v>3776</v>
      </c>
      <c r="L717" s="49">
        <v>100000</v>
      </c>
      <c r="M717" s="1495" t="s">
        <v>3782</v>
      </c>
      <c r="N717" s="49">
        <v>58565000</v>
      </c>
      <c r="O717" s="1383"/>
      <c r="P717" s="644"/>
      <c r="Q717" s="1030"/>
      <c r="R717" s="644"/>
    </row>
    <row r="718" spans="7:18">
      <c r="G718" s="48"/>
      <c r="H718" s="267"/>
      <c r="I718" s="1029"/>
      <c r="J718" s="49"/>
      <c r="K718" s="1532" t="s">
        <v>3777</v>
      </c>
      <c r="L718" s="1495" t="s">
        <v>3778</v>
      </c>
      <c r="M718" s="1495"/>
      <c r="N718" s="49"/>
      <c r="O718" s="1383"/>
      <c r="P718" s="644"/>
      <c r="Q718" s="1030"/>
      <c r="R718" s="644"/>
    </row>
    <row r="719" spans="7:18">
      <c r="G719" s="48"/>
      <c r="H719" s="48"/>
      <c r="I719" s="1022"/>
      <c r="J719" s="990"/>
      <c r="K719" s="1532"/>
      <c r="L719" s="49"/>
      <c r="M719" s="1495"/>
      <c r="N719" s="49"/>
      <c r="O719" s="644"/>
      <c r="P719" s="644"/>
      <c r="Q719" s="992"/>
      <c r="R719" s="644"/>
    </row>
    <row r="720" spans="7:18">
      <c r="G720" s="48"/>
      <c r="H720" s="48"/>
      <c r="I720" s="1022"/>
      <c r="J720" s="990"/>
      <c r="K720" s="1532"/>
      <c r="L720" s="49"/>
      <c r="M720" s="1495"/>
      <c r="N720" s="49"/>
      <c r="O720" s="644"/>
      <c r="P720" s="644"/>
      <c r="Q720" s="992"/>
      <c r="R720" s="644"/>
    </row>
    <row r="721" spans="7:18">
      <c r="G721" s="48"/>
      <c r="H721" s="48"/>
      <c r="I721" s="1022"/>
      <c r="J721" s="49"/>
      <c r="K721" s="1532"/>
      <c r="L721" s="49"/>
      <c r="M721" s="1498"/>
      <c r="N721" s="49"/>
      <c r="O721" s="644"/>
      <c r="P721" s="644"/>
      <c r="Q721" s="644"/>
      <c r="R721" s="644"/>
    </row>
    <row r="722" spans="7:18">
      <c r="G722" s="48"/>
      <c r="H722" s="48"/>
      <c r="I722" s="48"/>
      <c r="J722" s="49"/>
      <c r="K722" s="1495"/>
      <c r="L722" s="49"/>
      <c r="M722" s="1498"/>
      <c r="N722" s="49"/>
      <c r="O722" s="644"/>
      <c r="P722" s="644"/>
      <c r="Q722" s="644"/>
      <c r="R722" s="644"/>
    </row>
    <row r="723" spans="7:18">
      <c r="G723" s="48"/>
      <c r="H723" s="48"/>
      <c r="I723" s="48"/>
      <c r="J723" s="49"/>
      <c r="K723" s="1532"/>
      <c r="L723" s="49"/>
      <c r="M723" s="1498"/>
      <c r="N723" s="49"/>
      <c r="O723" s="644"/>
      <c r="P723" s="644"/>
      <c r="Q723" s="644"/>
      <c r="R723" s="644"/>
    </row>
    <row r="724" spans="7:18">
      <c r="G724" s="48"/>
      <c r="H724" s="48"/>
      <c r="I724" s="48"/>
      <c r="J724" s="49"/>
      <c r="K724" s="1495"/>
      <c r="L724" s="49"/>
      <c r="M724" s="1498"/>
      <c r="N724" s="49"/>
      <c r="O724" s="644"/>
      <c r="P724" s="644"/>
      <c r="Q724" s="644"/>
      <c r="R724" s="644"/>
    </row>
    <row r="725" spans="7:18">
      <c r="G725" s="48"/>
      <c r="H725" s="48"/>
      <c r="I725" s="48"/>
      <c r="J725" s="49"/>
      <c r="K725" s="1498"/>
      <c r="L725" s="49"/>
      <c r="M725" s="1498"/>
      <c r="N725" s="49"/>
      <c r="O725" s="644"/>
      <c r="P725" s="644"/>
      <c r="Q725" s="644"/>
      <c r="R725" s="644"/>
    </row>
    <row r="726" spans="7:18">
      <c r="G726" s="48"/>
      <c r="H726" s="48"/>
      <c r="I726" s="48"/>
      <c r="J726" s="49"/>
      <c r="K726" s="49"/>
      <c r="L726" s="49"/>
      <c r="M726" s="1498"/>
      <c r="N726" s="49"/>
      <c r="O726" s="644"/>
      <c r="P726" s="644"/>
      <c r="Q726" s="644"/>
      <c r="R726" s="644"/>
    </row>
    <row r="727" spans="7:18">
      <c r="G727" s="48"/>
      <c r="H727" s="48"/>
      <c r="I727" s="48"/>
      <c r="J727" s="954">
        <f>SUM(J716:J722)</f>
        <v>53760000</v>
      </c>
      <c r="K727" s="954"/>
      <c r="L727" s="954">
        <f>SUM(L716:L726)</f>
        <v>1200000</v>
      </c>
      <c r="M727" s="1498"/>
      <c r="N727" s="954">
        <f>SUM(N716:N726)</f>
        <v>61065000</v>
      </c>
      <c r="O727" s="644"/>
      <c r="P727" s="969">
        <f>SUM(P716:P722)</f>
        <v>20500000</v>
      </c>
      <c r="Q727" s="969"/>
      <c r="R727" s="969">
        <f>SUM(R716:R722)</f>
        <v>0</v>
      </c>
    </row>
    <row r="733" spans="7:18">
      <c r="M733" s="1533" t="s">
        <v>3699</v>
      </c>
      <c r="O733" s="1534" t="s">
        <v>3741</v>
      </c>
      <c r="P733" s="939">
        <f>P727-R727</f>
        <v>20500000</v>
      </c>
    </row>
    <row r="734" spans="7:18">
      <c r="G734" s="1574" t="s">
        <v>3530</v>
      </c>
      <c r="H734" s="1574"/>
      <c r="I734" s="1574"/>
      <c r="J734" s="3">
        <f>J727+L727</f>
        <v>54960000</v>
      </c>
      <c r="K734" s="1009"/>
      <c r="L734" s="3"/>
      <c r="M734" s="1533" t="s">
        <v>3664</v>
      </c>
      <c r="N734" s="1527"/>
    </row>
    <row r="735" spans="7:18">
      <c r="G735" s="1574" t="s">
        <v>3512</v>
      </c>
      <c r="H735" s="1574"/>
      <c r="I735" s="1574"/>
      <c r="J735" s="3">
        <f>N727-J734+M714</f>
        <v>6105000</v>
      </c>
      <c r="K735" s="1009"/>
      <c r="L735" s="3"/>
    </row>
    <row r="736" spans="7:18">
      <c r="G736" s="1574" t="s">
        <v>3531</v>
      </c>
      <c r="H736" s="1574"/>
      <c r="I736" s="1574"/>
      <c r="J736" s="3">
        <v>0</v>
      </c>
    </row>
    <row r="742" spans="7:20">
      <c r="O742" s="1527">
        <f>O741*12100</f>
        <v>0</v>
      </c>
    </row>
    <row r="744" spans="7:20">
      <c r="O744" s="3"/>
    </row>
    <row r="745" spans="7:20">
      <c r="O745" s="3"/>
    </row>
    <row r="746" spans="7:20">
      <c r="G746" s="1008">
        <v>45944</v>
      </c>
      <c r="H746" s="1169"/>
      <c r="I746" s="1575" t="s">
        <v>3510</v>
      </c>
      <c r="J746" s="1576"/>
      <c r="K746" s="1575" t="s">
        <v>3509</v>
      </c>
      <c r="L746" s="1576"/>
      <c r="M746" s="1575" t="s">
        <v>3541</v>
      </c>
      <c r="N746" s="1576"/>
      <c r="O746" s="1577" t="s">
        <v>3598</v>
      </c>
      <c r="P746" s="1578"/>
      <c r="Q746" s="1579" t="s">
        <v>3599</v>
      </c>
      <c r="R746" s="1580"/>
      <c r="S746" s="1588" t="s">
        <v>3366</v>
      </c>
      <c r="T746" s="1588"/>
    </row>
    <row r="747" spans="7:20">
      <c r="G747" s="1000"/>
      <c r="H747" s="1000"/>
      <c r="I747" s="1033" t="s">
        <v>3792</v>
      </c>
      <c r="J747" s="990">
        <v>21200000</v>
      </c>
      <c r="K747" s="1532" t="s">
        <v>3659</v>
      </c>
      <c r="L747" s="49">
        <v>2400000</v>
      </c>
      <c r="M747" s="1495" t="s">
        <v>3783</v>
      </c>
      <c r="N747" s="49">
        <v>31200000</v>
      </c>
      <c r="O747" s="1383"/>
      <c r="P747" s="644"/>
      <c r="Q747" s="1030"/>
      <c r="R747" s="644"/>
      <c r="S747" s="48" t="s">
        <v>3783</v>
      </c>
      <c r="T747" s="759">
        <v>7000</v>
      </c>
    </row>
    <row r="748" spans="7:20">
      <c r="G748" s="1028"/>
      <c r="H748" s="1028"/>
      <c r="I748" s="1028" t="s">
        <v>3793</v>
      </c>
      <c r="J748" s="990">
        <v>29190000</v>
      </c>
      <c r="K748" s="1532" t="s">
        <v>3784</v>
      </c>
      <c r="L748" s="49">
        <v>100000</v>
      </c>
      <c r="M748" s="1495" t="s">
        <v>3787</v>
      </c>
      <c r="N748" s="49">
        <v>6105000</v>
      </c>
      <c r="O748" s="1383"/>
      <c r="P748" s="644"/>
      <c r="Q748" s="1030"/>
      <c r="R748" s="644"/>
      <c r="S748" s="48"/>
      <c r="T748" s="759"/>
    </row>
    <row r="749" spans="7:20">
      <c r="G749" s="48"/>
      <c r="H749" s="267"/>
      <c r="I749" s="1029" t="s">
        <v>3795</v>
      </c>
      <c r="J749" s="49">
        <v>30690000</v>
      </c>
      <c r="K749" s="1532" t="s">
        <v>3785</v>
      </c>
      <c r="L749" s="1495">
        <v>200000</v>
      </c>
      <c r="M749" s="1495" t="s">
        <v>3783</v>
      </c>
      <c r="N749" s="49">
        <v>10100000</v>
      </c>
      <c r="O749" s="1383"/>
      <c r="P749" s="644"/>
      <c r="Q749" s="1030"/>
      <c r="R749" s="644"/>
      <c r="S749" s="48"/>
      <c r="T749" s="759"/>
    </row>
    <row r="750" spans="7:20">
      <c r="G750" s="48"/>
      <c r="H750" s="48"/>
      <c r="I750" s="1028" t="s">
        <v>3796</v>
      </c>
      <c r="J750" s="990">
        <v>21160000</v>
      </c>
      <c r="K750" s="1495" t="s">
        <v>3788</v>
      </c>
      <c r="L750" s="49">
        <v>10100000</v>
      </c>
      <c r="M750" s="1495" t="s">
        <v>3532</v>
      </c>
      <c r="N750" s="49">
        <v>305700000</v>
      </c>
      <c r="O750" s="644"/>
      <c r="P750" s="644"/>
      <c r="Q750" s="992"/>
      <c r="R750" s="644"/>
      <c r="S750" s="48"/>
      <c r="T750" s="759"/>
    </row>
    <row r="751" spans="7:20">
      <c r="G751" s="48"/>
      <c r="H751" s="48"/>
      <c r="I751" s="1028" t="s">
        <v>3797</v>
      </c>
      <c r="J751" s="990">
        <v>22000000</v>
      </c>
      <c r="K751" s="1532" t="s">
        <v>3789</v>
      </c>
      <c r="L751" s="49">
        <v>5000000</v>
      </c>
      <c r="M751" s="1495" t="s">
        <v>3761</v>
      </c>
      <c r="N751" s="49">
        <v>291000000</v>
      </c>
      <c r="O751" s="644"/>
      <c r="P751" s="644"/>
      <c r="Q751" s="992"/>
      <c r="R751" s="644"/>
      <c r="S751" s="48"/>
      <c r="T751" s="759"/>
    </row>
    <row r="752" spans="7:20">
      <c r="G752" s="48"/>
      <c r="H752" s="48"/>
      <c r="I752" s="1028" t="s">
        <v>3798</v>
      </c>
      <c r="J752" s="49">
        <v>250000000</v>
      </c>
      <c r="K752" s="1532" t="s">
        <v>3363</v>
      </c>
      <c r="L752" s="49">
        <v>1000000</v>
      </c>
      <c r="M752" s="1498" t="s">
        <v>3790</v>
      </c>
      <c r="N752" s="49">
        <v>20000000</v>
      </c>
      <c r="O752" s="644"/>
      <c r="P752" s="644"/>
      <c r="Q752" s="644"/>
      <c r="R752" s="644"/>
      <c r="S752" s="48"/>
      <c r="T752" s="759"/>
    </row>
    <row r="753" spans="7:20">
      <c r="G753" s="48"/>
      <c r="H753" s="48"/>
      <c r="I753" s="48" t="s">
        <v>3799</v>
      </c>
      <c r="J753" s="49">
        <v>30690000</v>
      </c>
      <c r="K753" s="1495" t="s">
        <v>3532</v>
      </c>
      <c r="L753" s="49">
        <v>3500000</v>
      </c>
      <c r="M753" s="1498" t="s">
        <v>3791</v>
      </c>
      <c r="N753" s="49">
        <v>5000000</v>
      </c>
      <c r="O753" s="644"/>
      <c r="P753" s="644"/>
      <c r="Q753" s="644"/>
      <c r="R753" s="644"/>
      <c r="S753" s="48"/>
      <c r="T753" s="759"/>
    </row>
    <row r="754" spans="7:20">
      <c r="G754" s="48"/>
      <c r="H754" s="48"/>
      <c r="I754" s="48" t="s">
        <v>3800</v>
      </c>
      <c r="J754" s="49">
        <v>92500000</v>
      </c>
      <c r="K754" s="1532" t="s">
        <v>3769</v>
      </c>
      <c r="L754" s="49">
        <v>4000000</v>
      </c>
      <c r="M754" s="1498" t="s">
        <v>3794</v>
      </c>
      <c r="N754" s="49">
        <v>1000000</v>
      </c>
      <c r="O754" s="644"/>
      <c r="P754" s="644"/>
      <c r="Q754" s="644"/>
      <c r="R754" s="644"/>
      <c r="S754" s="48"/>
      <c r="T754" s="759"/>
    </row>
    <row r="755" spans="7:20">
      <c r="G755" s="48"/>
      <c r="H755" s="48"/>
      <c r="I755" s="48" t="s">
        <v>3801</v>
      </c>
      <c r="J755" s="49">
        <v>25850000</v>
      </c>
      <c r="K755" s="1495"/>
      <c r="L755" s="49"/>
      <c r="M755" s="1498"/>
      <c r="N755" s="49"/>
      <c r="O755" s="644"/>
      <c r="P755" s="644"/>
      <c r="Q755" s="644"/>
      <c r="R755" s="644"/>
      <c r="S755" s="48"/>
      <c r="T755" s="759"/>
    </row>
    <row r="756" spans="7:20">
      <c r="G756" s="48"/>
      <c r="H756" s="48"/>
      <c r="I756" s="48"/>
      <c r="J756" s="49"/>
      <c r="K756" s="1498"/>
      <c r="L756" s="49"/>
      <c r="M756" s="1498"/>
      <c r="N756" s="49"/>
      <c r="O756" s="644"/>
      <c r="P756" s="644"/>
      <c r="Q756" s="644"/>
      <c r="R756" s="644"/>
      <c r="S756" s="48"/>
      <c r="T756" s="759"/>
    </row>
    <row r="757" spans="7:20">
      <c r="G757" s="48"/>
      <c r="H757" s="48"/>
      <c r="I757" s="48"/>
      <c r="J757" s="49"/>
      <c r="K757" s="49"/>
      <c r="L757" s="49"/>
      <c r="M757" s="1498"/>
      <c r="N757" s="49"/>
      <c r="O757" s="644"/>
      <c r="P757" s="644"/>
      <c r="Q757" s="644"/>
      <c r="R757" s="644"/>
      <c r="S757" s="48"/>
      <c r="T757" s="759"/>
    </row>
    <row r="758" spans="7:20">
      <c r="G758" s="48"/>
      <c r="H758" s="48"/>
      <c r="I758" s="48"/>
      <c r="J758" s="954">
        <f>SUM(J747:J755)</f>
        <v>523280000</v>
      </c>
      <c r="K758" s="954"/>
      <c r="L758" s="954">
        <f>SUM(L747:L757)</f>
        <v>26300000</v>
      </c>
      <c r="M758" s="1498"/>
      <c r="N758" s="954">
        <f>SUM(N747:N757)</f>
        <v>670105000</v>
      </c>
      <c r="O758" s="644"/>
      <c r="P758" s="969">
        <f>SUM(P747:P753)</f>
        <v>0</v>
      </c>
      <c r="Q758" s="969"/>
      <c r="R758" s="969">
        <f>SUM(R747:R753)</f>
        <v>0</v>
      </c>
      <c r="S758" s="48"/>
      <c r="T758" s="759">
        <f>SUM(T747:T757)</f>
        <v>7000</v>
      </c>
    </row>
    <row r="764" spans="7:20">
      <c r="M764" s="1533" t="s">
        <v>3699</v>
      </c>
      <c r="O764" s="1534" t="s">
        <v>3741</v>
      </c>
      <c r="P764" s="939">
        <f>P758-R758</f>
        <v>0</v>
      </c>
    </row>
    <row r="765" spans="7:20">
      <c r="G765" s="1574" t="s">
        <v>3530</v>
      </c>
      <c r="H765" s="1574"/>
      <c r="I765" s="1574"/>
      <c r="J765" s="3">
        <f>J758+L758</f>
        <v>549580000</v>
      </c>
      <c r="K765" s="1009"/>
      <c r="L765" s="3"/>
      <c r="M765" s="1533" t="s">
        <v>3664</v>
      </c>
      <c r="N765" s="1527"/>
      <c r="P765" s="1512" t="s">
        <v>3547</v>
      </c>
    </row>
    <row r="766" spans="7:20">
      <c r="G766" s="1574" t="s">
        <v>3512</v>
      </c>
      <c r="H766" s="1574"/>
      <c r="I766" s="1574"/>
      <c r="J766" s="3">
        <f>N758-J765</f>
        <v>120525000</v>
      </c>
      <c r="K766" s="1009"/>
      <c r="L766" s="3"/>
      <c r="P766" s="1527">
        <v>7000</v>
      </c>
      <c r="Q766" s="661">
        <f>P766*12100</f>
        <v>84700000</v>
      </c>
    </row>
    <row r="767" spans="7:20">
      <c r="G767" s="1574" t="s">
        <v>3531</v>
      </c>
      <c r="H767" s="1574"/>
      <c r="I767" s="1574"/>
      <c r="J767" s="3">
        <v>7000</v>
      </c>
      <c r="Q767" s="3">
        <v>300000</v>
      </c>
    </row>
    <row r="768" spans="7:20">
      <c r="Q768" s="3">
        <v>20000000</v>
      </c>
    </row>
    <row r="769" spans="10:17">
      <c r="Q769" s="3">
        <v>6000000</v>
      </c>
    </row>
    <row r="770" spans="10:17">
      <c r="J770" s="3">
        <f>J766-J769</f>
        <v>120525000</v>
      </c>
      <c r="Q770" s="3">
        <v>4900000</v>
      </c>
    </row>
    <row r="788" spans="7:20">
      <c r="G788" s="1008">
        <v>45945</v>
      </c>
      <c r="H788" s="1169"/>
      <c r="I788" s="1575" t="s">
        <v>3510</v>
      </c>
      <c r="J788" s="1576"/>
      <c r="K788" s="1575" t="s">
        <v>3509</v>
      </c>
      <c r="L788" s="1576"/>
      <c r="M788" s="1575" t="s">
        <v>3541</v>
      </c>
      <c r="N788" s="1576"/>
      <c r="O788" s="1577" t="s">
        <v>3598</v>
      </c>
      <c r="P788" s="1578"/>
      <c r="Q788" s="1579" t="s">
        <v>3599</v>
      </c>
      <c r="R788" s="1580"/>
      <c r="S788" s="1588" t="s">
        <v>3366</v>
      </c>
      <c r="T788" s="1588"/>
    </row>
    <row r="789" spans="7:20">
      <c r="G789" s="1000"/>
      <c r="H789" s="1000"/>
      <c r="I789" s="1040" t="s">
        <v>3803</v>
      </c>
      <c r="J789" s="990">
        <v>18400000</v>
      </c>
      <c r="K789" s="1532" t="s">
        <v>3802</v>
      </c>
      <c r="L789" s="49">
        <v>5640000</v>
      </c>
      <c r="M789" s="1495" t="s">
        <v>3804</v>
      </c>
      <c r="N789" s="49">
        <v>120000000</v>
      </c>
      <c r="O789" s="1383" t="s">
        <v>3700</v>
      </c>
      <c r="P789" s="644">
        <v>6000000</v>
      </c>
      <c r="Q789" s="1030"/>
      <c r="R789" s="644"/>
      <c r="S789" s="1041" t="s">
        <v>3804</v>
      </c>
      <c r="T789" s="1035">
        <v>7000</v>
      </c>
    </row>
    <row r="790" spans="7:20">
      <c r="G790" s="1028"/>
      <c r="H790" s="1028"/>
      <c r="I790" s="1044" t="s">
        <v>3806</v>
      </c>
      <c r="J790" s="990">
        <v>30360000</v>
      </c>
      <c r="K790" s="1532" t="s">
        <v>3363</v>
      </c>
      <c r="L790" s="49">
        <v>1500000</v>
      </c>
      <c r="M790" s="1495" t="s">
        <v>3805</v>
      </c>
      <c r="N790" s="49">
        <v>20000000</v>
      </c>
      <c r="O790" s="1383"/>
      <c r="P790" s="644"/>
      <c r="Q790" s="1030"/>
      <c r="R790" s="644"/>
      <c r="S790" s="48"/>
      <c r="T790" s="1035"/>
    </row>
    <row r="791" spans="7:20">
      <c r="G791" s="48"/>
      <c r="H791" s="267"/>
      <c r="I791" s="1045" t="s">
        <v>3810</v>
      </c>
      <c r="J791" s="49">
        <v>23250000</v>
      </c>
      <c r="K791" s="1532" t="s">
        <v>3807</v>
      </c>
      <c r="L791" s="1495">
        <v>15000000</v>
      </c>
      <c r="M791" s="1495" t="s">
        <v>3532</v>
      </c>
      <c r="N791" s="49">
        <v>586500000</v>
      </c>
      <c r="O791" s="1383"/>
      <c r="P791" s="644"/>
      <c r="Q791" s="1030"/>
      <c r="R791" s="644"/>
      <c r="S791" s="48"/>
      <c r="T791" s="1035"/>
    </row>
    <row r="792" spans="7:20">
      <c r="G792" s="48"/>
      <c r="H792" s="48"/>
      <c r="I792" s="1044" t="s">
        <v>3798</v>
      </c>
      <c r="J792" s="990">
        <v>216000000</v>
      </c>
      <c r="K792" s="1495" t="s">
        <v>3808</v>
      </c>
      <c r="L792" s="49">
        <v>800000</v>
      </c>
      <c r="M792" s="1495" t="s">
        <v>3809</v>
      </c>
      <c r="N792" s="49">
        <v>17000000</v>
      </c>
      <c r="O792" s="644"/>
      <c r="P792" s="644"/>
      <c r="Q792" s="992"/>
      <c r="R792" s="644"/>
      <c r="S792" s="48"/>
      <c r="T792" s="1035"/>
    </row>
    <row r="793" spans="7:20">
      <c r="G793" s="48"/>
      <c r="H793" s="48"/>
      <c r="I793" s="1028"/>
      <c r="J793" s="990"/>
      <c r="K793" s="1532" t="s">
        <v>3404</v>
      </c>
      <c r="L793" s="49">
        <v>100000</v>
      </c>
      <c r="M793" s="1495" t="s">
        <v>3809</v>
      </c>
      <c r="N793" s="49">
        <v>4600000</v>
      </c>
      <c r="O793" s="644"/>
      <c r="P793" s="644"/>
      <c r="Q793" s="992"/>
      <c r="R793" s="644"/>
      <c r="S793" s="48"/>
      <c r="T793" s="1035"/>
    </row>
    <row r="794" spans="7:20">
      <c r="G794" s="48"/>
      <c r="H794" s="48"/>
      <c r="I794" s="1028"/>
      <c r="J794" s="49"/>
      <c r="K794" s="1532"/>
      <c r="L794" s="49"/>
      <c r="M794" s="1498"/>
      <c r="N794" s="49"/>
      <c r="O794" s="644"/>
      <c r="P794" s="644"/>
      <c r="Q794" s="644"/>
      <c r="R794" s="644"/>
      <c r="S794" s="48"/>
      <c r="T794" s="1035"/>
    </row>
    <row r="795" spans="7:20">
      <c r="G795" s="48"/>
      <c r="H795" s="48"/>
      <c r="I795" s="48"/>
      <c r="J795" s="49"/>
      <c r="K795" s="1495"/>
      <c r="L795" s="49"/>
      <c r="M795" s="1498"/>
      <c r="N795" s="49"/>
      <c r="O795" s="644"/>
      <c r="P795" s="644"/>
      <c r="Q795" s="644"/>
      <c r="R795" s="644"/>
      <c r="S795" s="48"/>
      <c r="T795" s="1035"/>
    </row>
    <row r="796" spans="7:20">
      <c r="G796" s="48"/>
      <c r="H796" s="48"/>
      <c r="I796" s="48"/>
      <c r="J796" s="49"/>
      <c r="K796" s="1532"/>
      <c r="L796" s="49"/>
      <c r="M796" s="1498"/>
      <c r="N796" s="49"/>
      <c r="O796" s="644"/>
      <c r="P796" s="644"/>
      <c r="Q796" s="644"/>
      <c r="R796" s="644"/>
      <c r="S796" s="48"/>
      <c r="T796" s="1035"/>
    </row>
    <row r="797" spans="7:20">
      <c r="G797" s="48"/>
      <c r="H797" s="48"/>
      <c r="I797" s="48"/>
      <c r="J797" s="49"/>
      <c r="K797" s="1495"/>
      <c r="L797" s="49"/>
      <c r="M797" s="1498"/>
      <c r="N797" s="49"/>
      <c r="O797" s="644"/>
      <c r="P797" s="644"/>
      <c r="Q797" s="644"/>
      <c r="R797" s="644"/>
      <c r="S797" s="48"/>
      <c r="T797" s="1035"/>
    </row>
    <row r="798" spans="7:20">
      <c r="G798" s="48"/>
      <c r="H798" s="48"/>
      <c r="I798" s="48"/>
      <c r="J798" s="49"/>
      <c r="K798" s="1498"/>
      <c r="L798" s="49"/>
      <c r="M798" s="1498"/>
      <c r="N798" s="49"/>
      <c r="O798" s="644"/>
      <c r="P798" s="644"/>
      <c r="Q798" s="644"/>
      <c r="R798" s="644"/>
      <c r="S798" s="48"/>
      <c r="T798" s="1035"/>
    </row>
    <row r="799" spans="7:20">
      <c r="G799" s="48"/>
      <c r="H799" s="48"/>
      <c r="I799" s="48"/>
      <c r="J799" s="49"/>
      <c r="K799" s="49"/>
      <c r="L799" s="49"/>
      <c r="M799" s="1498"/>
      <c r="N799" s="49"/>
      <c r="O799" s="644"/>
      <c r="P799" s="644"/>
      <c r="Q799" s="644"/>
      <c r="R799" s="644"/>
      <c r="S799" s="48"/>
      <c r="T799" s="1035"/>
    </row>
    <row r="800" spans="7:20">
      <c r="G800" s="48"/>
      <c r="H800" s="48"/>
      <c r="I800" s="48"/>
      <c r="J800" s="954">
        <f>SUM(J789:J797)</f>
        <v>288010000</v>
      </c>
      <c r="K800" s="954"/>
      <c r="L800" s="954">
        <f>SUM(L789:L799)</f>
        <v>23040000</v>
      </c>
      <c r="M800" s="1498"/>
      <c r="N800" s="954">
        <f>SUM(N789:N799)</f>
        <v>748100000</v>
      </c>
      <c r="O800" s="644"/>
      <c r="P800" s="969">
        <f>SUM(P789:P795)</f>
        <v>6000000</v>
      </c>
      <c r="Q800" s="969"/>
      <c r="R800" s="969">
        <f>SUM(R789:R795)</f>
        <v>0</v>
      </c>
      <c r="S800" s="48"/>
      <c r="T800" s="1035">
        <f>SUM(T789:T799)</f>
        <v>7000</v>
      </c>
    </row>
    <row r="801" spans="7:20">
      <c r="T801" s="1034"/>
    </row>
    <row r="802" spans="7:20">
      <c r="T802" s="1034"/>
    </row>
    <row r="803" spans="7:20">
      <c r="T803" s="1034"/>
    </row>
    <row r="804" spans="7:20">
      <c r="T804" s="1034"/>
    </row>
    <row r="805" spans="7:20">
      <c r="T805" s="1034"/>
    </row>
    <row r="806" spans="7:20">
      <c r="M806" s="1533" t="s">
        <v>3699</v>
      </c>
      <c r="O806" s="1534" t="s">
        <v>3741</v>
      </c>
      <c r="P806" s="939">
        <f>P800-R800</f>
        <v>6000000</v>
      </c>
      <c r="T806" s="1034"/>
    </row>
    <row r="807" spans="7:20">
      <c r="G807" s="1574" t="s">
        <v>3530</v>
      </c>
      <c r="H807" s="1574"/>
      <c r="I807" s="1574"/>
      <c r="J807" s="3">
        <f>J800+L800</f>
        <v>311050000</v>
      </c>
      <c r="K807" s="1009"/>
      <c r="L807" s="3"/>
      <c r="M807" s="1533" t="s">
        <v>3664</v>
      </c>
      <c r="N807" s="1527"/>
      <c r="P807" s="1512"/>
      <c r="T807" s="1034"/>
    </row>
    <row r="808" spans="7:20">
      <c r="G808" s="1574" t="s">
        <v>3512</v>
      </c>
      <c r="H808" s="1574"/>
      <c r="I808" s="1574"/>
      <c r="J808" s="3">
        <f>N800-J807</f>
        <v>437050000</v>
      </c>
      <c r="K808" s="1009"/>
      <c r="L808" s="3"/>
      <c r="Q808" s="661"/>
      <c r="T808" s="1034"/>
    </row>
    <row r="809" spans="7:20">
      <c r="G809" s="1574" t="s">
        <v>3531</v>
      </c>
      <c r="H809" s="1574"/>
      <c r="I809" s="1574"/>
      <c r="J809" s="3">
        <v>7000</v>
      </c>
      <c r="Q809" s="3"/>
      <c r="T809" s="1034"/>
    </row>
    <row r="821" spans="7:20">
      <c r="G821" s="1008">
        <v>45946</v>
      </c>
      <c r="H821" s="1169"/>
      <c r="I821" s="1575" t="s">
        <v>3510</v>
      </c>
      <c r="J821" s="1576"/>
      <c r="K821" s="1575" t="s">
        <v>3509</v>
      </c>
      <c r="L821" s="1576"/>
      <c r="M821" s="1575" t="s">
        <v>3541</v>
      </c>
      <c r="N821" s="1576"/>
      <c r="O821" s="1577" t="s">
        <v>3598</v>
      </c>
      <c r="P821" s="1578"/>
      <c r="Q821" s="1579" t="s">
        <v>3599</v>
      </c>
      <c r="R821" s="1580"/>
      <c r="S821" s="1588" t="s">
        <v>3366</v>
      </c>
      <c r="T821" s="1588"/>
    </row>
    <row r="822" spans="7:20">
      <c r="G822" s="1000"/>
      <c r="H822" s="1000"/>
      <c r="I822" s="1040" t="s">
        <v>3815</v>
      </c>
      <c r="J822" s="990">
        <v>27500000</v>
      </c>
      <c r="K822" s="1532" t="s">
        <v>3811</v>
      </c>
      <c r="L822" s="49">
        <v>15000000</v>
      </c>
      <c r="M822" s="1495" t="s">
        <v>3812</v>
      </c>
      <c r="N822" s="49">
        <v>137000000</v>
      </c>
      <c r="O822" s="1383" t="s">
        <v>3818</v>
      </c>
      <c r="P822" s="644">
        <v>2000000</v>
      </c>
      <c r="Q822" s="1030"/>
      <c r="R822" s="644"/>
      <c r="S822" s="1041"/>
      <c r="T822" s="1035"/>
    </row>
    <row r="823" spans="7:20">
      <c r="G823" s="1028"/>
      <c r="H823" s="1028"/>
      <c r="I823" s="1044" t="s">
        <v>3816</v>
      </c>
      <c r="J823" s="990">
        <v>30690000</v>
      </c>
      <c r="K823" s="1532" t="s">
        <v>3547</v>
      </c>
      <c r="L823" s="1495">
        <v>2000000</v>
      </c>
      <c r="M823" s="1495" t="s">
        <v>3814</v>
      </c>
      <c r="N823" s="49">
        <v>16000000</v>
      </c>
      <c r="O823" s="1383"/>
      <c r="P823" s="644"/>
      <c r="Q823" s="1030"/>
      <c r="R823" s="644"/>
      <c r="S823" s="48"/>
      <c r="T823" s="1035"/>
    </row>
    <row r="824" spans="7:20">
      <c r="G824" s="48"/>
      <c r="H824" s="267"/>
      <c r="I824" s="1045" t="s">
        <v>3819</v>
      </c>
      <c r="J824" s="49">
        <v>93000000</v>
      </c>
      <c r="M824" s="1495" t="s">
        <v>3532</v>
      </c>
      <c r="N824" s="49">
        <v>230500000</v>
      </c>
      <c r="O824" s="1383"/>
      <c r="P824" s="644"/>
      <c r="Q824" s="1030"/>
      <c r="R824" s="644"/>
      <c r="S824" s="48"/>
      <c r="T824" s="1035"/>
    </row>
    <row r="825" spans="7:20">
      <c r="G825" s="48"/>
      <c r="H825" s="48"/>
      <c r="I825" s="1044" t="s">
        <v>3820</v>
      </c>
      <c r="J825" s="990">
        <v>46500000</v>
      </c>
      <c r="K825" s="1495"/>
      <c r="L825" s="49"/>
      <c r="M825" s="1495"/>
      <c r="N825" s="49"/>
      <c r="O825" s="644"/>
      <c r="P825" s="644"/>
      <c r="Q825" s="992"/>
      <c r="R825" s="644"/>
      <c r="S825" s="48"/>
      <c r="T825" s="1035"/>
    </row>
    <row r="826" spans="7:20">
      <c r="G826" s="48"/>
      <c r="H826" s="48"/>
      <c r="I826" s="1044" t="s">
        <v>3821</v>
      </c>
      <c r="J826" s="990">
        <v>18600000</v>
      </c>
      <c r="K826" s="1532"/>
      <c r="L826" s="49"/>
      <c r="M826" s="1495"/>
      <c r="N826" s="49"/>
      <c r="O826" s="644"/>
      <c r="P826" s="644"/>
      <c r="Q826" s="992"/>
      <c r="R826" s="644"/>
      <c r="S826" s="48"/>
      <c r="T826" s="1035"/>
    </row>
    <row r="827" spans="7:20">
      <c r="G827" s="48"/>
      <c r="H827" s="48"/>
      <c r="I827" s="1028"/>
      <c r="J827" s="49"/>
      <c r="K827" s="1532"/>
      <c r="L827" s="49"/>
      <c r="M827" s="1498"/>
      <c r="N827" s="49"/>
      <c r="O827" s="644"/>
      <c r="P827" s="644"/>
      <c r="Q827" s="644"/>
      <c r="R827" s="644"/>
      <c r="S827" s="48"/>
      <c r="T827" s="1035"/>
    </row>
    <row r="828" spans="7:20">
      <c r="G828" s="48"/>
      <c r="H828" s="48"/>
      <c r="I828" s="48"/>
      <c r="J828" s="49"/>
      <c r="K828" s="1495"/>
      <c r="L828" s="49"/>
      <c r="M828" s="1498"/>
      <c r="N828" s="49"/>
      <c r="O828" s="644"/>
      <c r="P828" s="644"/>
      <c r="Q828" s="644"/>
      <c r="R828" s="644"/>
      <c r="S828" s="48"/>
      <c r="T828" s="1035"/>
    </row>
    <row r="829" spans="7:20">
      <c r="G829" s="48"/>
      <c r="H829" s="48"/>
      <c r="I829" s="48"/>
      <c r="J829" s="49"/>
      <c r="K829" s="1532"/>
      <c r="L829" s="49"/>
      <c r="M829" s="1498"/>
      <c r="N829" s="49"/>
      <c r="O829" s="644"/>
      <c r="P829" s="644"/>
      <c r="Q829" s="644"/>
      <c r="R829" s="644"/>
      <c r="S829" s="48"/>
      <c r="T829" s="1035"/>
    </row>
    <row r="830" spans="7:20">
      <c r="G830" s="48"/>
      <c r="H830" s="48"/>
      <c r="I830" s="48"/>
      <c r="J830" s="49"/>
      <c r="K830" s="1495"/>
      <c r="L830" s="49"/>
      <c r="M830" s="1498"/>
      <c r="N830" s="49"/>
      <c r="O830" s="644"/>
      <c r="P830" s="644"/>
      <c r="Q830" s="644"/>
      <c r="R830" s="644"/>
      <c r="S830" s="48"/>
      <c r="T830" s="1035"/>
    </row>
    <row r="831" spans="7:20">
      <c r="G831" s="48"/>
      <c r="H831" s="48"/>
      <c r="I831" s="48"/>
      <c r="J831" s="49"/>
      <c r="K831" s="1498"/>
      <c r="L831" s="49"/>
      <c r="M831" s="1498"/>
      <c r="N831" s="49"/>
      <c r="O831" s="644"/>
      <c r="P831" s="644"/>
      <c r="Q831" s="644"/>
      <c r="R831" s="644"/>
      <c r="S831" s="48"/>
      <c r="T831" s="1035"/>
    </row>
    <row r="832" spans="7:20">
      <c r="G832" s="48"/>
      <c r="H832" s="48"/>
      <c r="I832" s="48"/>
      <c r="J832" s="49"/>
      <c r="K832" s="49"/>
      <c r="L832" s="49"/>
      <c r="M832" s="1498"/>
      <c r="N832" s="49"/>
      <c r="O832" s="644"/>
      <c r="P832" s="644"/>
      <c r="Q832" s="644"/>
      <c r="R832" s="644"/>
      <c r="S832" s="48"/>
      <c r="T832" s="1035"/>
    </row>
    <row r="833" spans="7:20">
      <c r="G833" s="48"/>
      <c r="H833" s="48"/>
      <c r="I833" s="48"/>
      <c r="J833" s="954">
        <f>SUM(J822:J830)</f>
        <v>216290000</v>
      </c>
      <c r="K833" s="954"/>
      <c r="L833" s="954">
        <f>SUM(L822:L832)</f>
        <v>17000000</v>
      </c>
      <c r="M833" s="1498"/>
      <c r="N833" s="954">
        <f>SUM(N822:N832)</f>
        <v>383500000</v>
      </c>
      <c r="O833" s="644"/>
      <c r="P833" s="969">
        <f>SUM(P822:P828)</f>
        <v>2000000</v>
      </c>
      <c r="Q833" s="969"/>
      <c r="R833" s="969">
        <f>SUM(R822:R828)</f>
        <v>0</v>
      </c>
      <c r="S833" s="48"/>
      <c r="T833" s="1035"/>
    </row>
    <row r="834" spans="7:20">
      <c r="T834" s="1034"/>
    </row>
    <row r="835" spans="7:20">
      <c r="T835" s="1034"/>
    </row>
    <row r="836" spans="7:20">
      <c r="T836" s="1034"/>
    </row>
    <row r="837" spans="7:20">
      <c r="T837" s="1034"/>
    </row>
    <row r="838" spans="7:20">
      <c r="T838" s="1034"/>
    </row>
    <row r="839" spans="7:20">
      <c r="M839" s="1533" t="s">
        <v>3699</v>
      </c>
      <c r="O839" s="1534" t="s">
        <v>3741</v>
      </c>
      <c r="P839" s="939">
        <f>P833-R833</f>
        <v>2000000</v>
      </c>
      <c r="T839" s="1034"/>
    </row>
    <row r="840" spans="7:20">
      <c r="G840" s="1574" t="s">
        <v>3530</v>
      </c>
      <c r="H840" s="1574"/>
      <c r="I840" s="1574"/>
      <c r="J840" s="3">
        <f>J833+L833</f>
        <v>233290000</v>
      </c>
      <c r="K840" s="1009"/>
      <c r="L840" s="3"/>
      <c r="M840" s="1533" t="s">
        <v>3664</v>
      </c>
      <c r="N840" s="1527"/>
      <c r="P840" s="1512"/>
      <c r="T840" s="1034"/>
    </row>
    <row r="841" spans="7:20">
      <c r="G841" s="1574" t="s">
        <v>3512</v>
      </c>
      <c r="H841" s="1574"/>
      <c r="I841" s="1574"/>
      <c r="J841" s="3">
        <f>N833-J840</f>
        <v>150210000</v>
      </c>
      <c r="K841" s="1009"/>
      <c r="L841" s="3"/>
      <c r="Q841" s="661"/>
      <c r="T841" s="1034"/>
    </row>
    <row r="842" spans="7:20">
      <c r="G842" s="1574" t="s">
        <v>3531</v>
      </c>
      <c r="H842" s="1574"/>
      <c r="I842" s="1574"/>
      <c r="Q842" s="3"/>
      <c r="T842" s="1034"/>
    </row>
    <row r="862" spans="7:20">
      <c r="G862" s="1008">
        <v>45947</v>
      </c>
      <c r="H862" s="1169"/>
      <c r="I862" s="1575" t="s">
        <v>3510</v>
      </c>
      <c r="J862" s="1576"/>
      <c r="K862" s="1575" t="s">
        <v>3509</v>
      </c>
      <c r="L862" s="1576"/>
      <c r="M862" s="1575" t="s">
        <v>3541</v>
      </c>
      <c r="N862" s="1576"/>
      <c r="O862" s="1577" t="s">
        <v>3598</v>
      </c>
      <c r="P862" s="1578"/>
      <c r="Q862" s="1579" t="s">
        <v>3599</v>
      </c>
      <c r="R862" s="1580"/>
      <c r="S862" s="1588" t="s">
        <v>3366</v>
      </c>
      <c r="T862" s="1588"/>
    </row>
    <row r="863" spans="7:20">
      <c r="G863" s="1000"/>
      <c r="H863" s="1000"/>
      <c r="I863" s="1040" t="s">
        <v>3822</v>
      </c>
      <c r="J863" s="990">
        <v>92000000</v>
      </c>
      <c r="K863" s="1532" t="s">
        <v>3405</v>
      </c>
      <c r="L863" s="49">
        <v>8500000</v>
      </c>
      <c r="M863" s="1495" t="s">
        <v>3823</v>
      </c>
      <c r="N863" s="49">
        <v>150000000</v>
      </c>
      <c r="O863" s="1383" t="s">
        <v>3829</v>
      </c>
      <c r="P863" s="644">
        <v>52000000</v>
      </c>
      <c r="Q863" s="1030"/>
      <c r="R863" s="644"/>
      <c r="S863" s="1041"/>
      <c r="T863" s="1035"/>
    </row>
    <row r="864" spans="7:20">
      <c r="G864" s="1028"/>
      <c r="H864" s="1028"/>
      <c r="I864" s="1044" t="s">
        <v>3824</v>
      </c>
      <c r="J864" s="990">
        <v>45540000</v>
      </c>
      <c r="K864" s="1532" t="s">
        <v>3589</v>
      </c>
      <c r="L864" s="1495">
        <v>400000</v>
      </c>
      <c r="M864" s="1495" t="s">
        <v>3546</v>
      </c>
      <c r="N864" s="49">
        <v>3000000</v>
      </c>
      <c r="O864" s="1383"/>
      <c r="P864" s="644"/>
      <c r="Q864" s="1030"/>
      <c r="R864" s="644"/>
      <c r="S864" s="48"/>
      <c r="T864" s="1035"/>
    </row>
    <row r="865" spans="7:20">
      <c r="G865" s="48"/>
      <c r="H865" s="267"/>
      <c r="I865" s="1045" t="s">
        <v>3826</v>
      </c>
      <c r="J865" s="49">
        <v>30360000</v>
      </c>
      <c r="K865" s="49" t="s">
        <v>3363</v>
      </c>
      <c r="L865" s="1498">
        <v>150000</v>
      </c>
      <c r="M865" s="1495" t="s">
        <v>3825</v>
      </c>
      <c r="N865" s="49">
        <v>8000000</v>
      </c>
      <c r="O865" s="1383"/>
      <c r="P865" s="644"/>
      <c r="Q865" s="1030"/>
      <c r="R865" s="644"/>
      <c r="S865" s="48"/>
      <c r="T865" s="1035"/>
    </row>
    <row r="866" spans="7:20">
      <c r="G866" s="48"/>
      <c r="H866" s="48"/>
      <c r="I866" s="1044" t="s">
        <v>3827</v>
      </c>
      <c r="J866" s="990">
        <v>15650000</v>
      </c>
      <c r="K866" s="1495"/>
      <c r="L866" s="49"/>
      <c r="M866" s="1495" t="s">
        <v>3532</v>
      </c>
      <c r="N866" s="49">
        <v>184000000</v>
      </c>
      <c r="O866" s="644"/>
      <c r="P866" s="644"/>
      <c r="Q866" s="992"/>
      <c r="R866" s="644"/>
      <c r="S866" s="48"/>
      <c r="T866" s="1035"/>
    </row>
    <row r="867" spans="7:20">
      <c r="G867" s="48"/>
      <c r="H867" s="48"/>
      <c r="I867" s="1044"/>
      <c r="J867" s="990"/>
      <c r="K867" s="1532"/>
      <c r="L867" s="49"/>
      <c r="M867" s="1495" t="s">
        <v>3828</v>
      </c>
      <c r="N867" s="49">
        <v>100000000</v>
      </c>
      <c r="O867" s="644"/>
      <c r="P867" s="644"/>
      <c r="Q867" s="992"/>
      <c r="R867" s="644"/>
      <c r="S867" s="48"/>
      <c r="T867" s="1035"/>
    </row>
    <row r="868" spans="7:20">
      <c r="G868" s="48"/>
      <c r="H868" s="48"/>
      <c r="I868" s="1028"/>
      <c r="J868" s="49"/>
      <c r="K868" s="1532"/>
      <c r="L868" s="49"/>
      <c r="M868" s="1498"/>
      <c r="N868" s="49"/>
      <c r="O868" s="644"/>
      <c r="P868" s="644"/>
      <c r="Q868" s="644"/>
      <c r="R868" s="644"/>
      <c r="S868" s="48"/>
      <c r="T868" s="1035"/>
    </row>
    <row r="869" spans="7:20">
      <c r="G869" s="48"/>
      <c r="H869" s="48"/>
      <c r="I869" s="48"/>
      <c r="J869" s="49"/>
      <c r="K869" s="1495"/>
      <c r="L869" s="49"/>
      <c r="M869" s="1498"/>
      <c r="N869" s="49"/>
      <c r="O869" s="644"/>
      <c r="P869" s="644"/>
      <c r="Q869" s="644"/>
      <c r="R869" s="644"/>
      <c r="S869" s="48"/>
      <c r="T869" s="1035"/>
    </row>
    <row r="870" spans="7:20">
      <c r="G870" s="48"/>
      <c r="H870" s="48"/>
      <c r="I870" s="48"/>
      <c r="J870" s="49"/>
      <c r="K870" s="1532"/>
      <c r="L870" s="49"/>
      <c r="M870" s="1498"/>
      <c r="N870" s="49"/>
      <c r="O870" s="644"/>
      <c r="P870" s="644"/>
      <c r="Q870" s="644"/>
      <c r="R870" s="644"/>
      <c r="S870" s="48"/>
      <c r="T870" s="1035"/>
    </row>
    <row r="871" spans="7:20">
      <c r="G871" s="48"/>
      <c r="H871" s="48"/>
      <c r="I871" s="48"/>
      <c r="J871" s="49"/>
      <c r="K871" s="1495"/>
      <c r="L871" s="49"/>
      <c r="M871" s="1498"/>
      <c r="N871" s="49"/>
      <c r="O871" s="644"/>
      <c r="P871" s="644"/>
      <c r="Q871" s="644"/>
      <c r="R871" s="644"/>
      <c r="S871" s="48"/>
      <c r="T871" s="1035"/>
    </row>
    <row r="872" spans="7:20">
      <c r="G872" s="48"/>
      <c r="H872" s="48"/>
      <c r="I872" s="48"/>
      <c r="J872" s="49"/>
      <c r="K872" s="1498"/>
      <c r="L872" s="49"/>
      <c r="M872" s="1498"/>
      <c r="N872" s="49"/>
      <c r="O872" s="644"/>
      <c r="P872" s="644"/>
      <c r="Q872" s="644"/>
      <c r="R872" s="644"/>
      <c r="S872" s="48"/>
      <c r="T872" s="1035"/>
    </row>
    <row r="873" spans="7:20">
      <c r="G873" s="48"/>
      <c r="H873" s="48"/>
      <c r="I873" s="48"/>
      <c r="J873" s="49"/>
      <c r="K873" s="49"/>
      <c r="L873" s="49"/>
      <c r="M873" s="1498"/>
      <c r="N873" s="49"/>
      <c r="O873" s="644"/>
      <c r="P873" s="644"/>
      <c r="Q873" s="644"/>
      <c r="R873" s="644"/>
      <c r="S873" s="48"/>
      <c r="T873" s="1035"/>
    </row>
    <row r="874" spans="7:20">
      <c r="G874" s="48"/>
      <c r="H874" s="48"/>
      <c r="I874" s="48"/>
      <c r="J874" s="954">
        <f>SUM(J863:J871)</f>
        <v>183550000</v>
      </c>
      <c r="K874" s="954"/>
      <c r="L874" s="954">
        <f>SUM(L863:L873)</f>
        <v>9050000</v>
      </c>
      <c r="M874" s="1498"/>
      <c r="N874" s="954">
        <f>SUM(N863:N873)</f>
        <v>445000000</v>
      </c>
      <c r="O874" s="644"/>
      <c r="P874" s="969">
        <f>SUM(P863:P869)</f>
        <v>52000000</v>
      </c>
      <c r="Q874" s="969"/>
      <c r="R874" s="969">
        <f>SUM(R863:R869)</f>
        <v>0</v>
      </c>
      <c r="S874" s="48"/>
      <c r="T874" s="1035"/>
    </row>
    <row r="875" spans="7:20">
      <c r="T875" s="1034"/>
    </row>
    <row r="876" spans="7:20">
      <c r="T876" s="1034"/>
    </row>
    <row r="877" spans="7:20">
      <c r="T877" s="1034"/>
    </row>
    <row r="878" spans="7:20">
      <c r="T878" s="1034"/>
    </row>
    <row r="879" spans="7:20">
      <c r="T879" s="1034"/>
    </row>
    <row r="880" spans="7:20">
      <c r="M880" s="1533" t="s">
        <v>3699</v>
      </c>
      <c r="O880" s="1534" t="s">
        <v>3741</v>
      </c>
      <c r="P880" s="939">
        <f>P874-R874</f>
        <v>52000000</v>
      </c>
      <c r="T880" s="1034"/>
    </row>
    <row r="881" spans="7:20">
      <c r="G881" s="1574" t="s">
        <v>3530</v>
      </c>
      <c r="H881" s="1574"/>
      <c r="I881" s="1574"/>
      <c r="J881" s="3">
        <f>J874+L874</f>
        <v>192600000</v>
      </c>
      <c r="K881" s="1009"/>
      <c r="L881" s="3"/>
      <c r="M881" s="1533" t="s">
        <v>3664</v>
      </c>
      <c r="N881" s="1527"/>
      <c r="P881" s="1512"/>
      <c r="T881" s="1034"/>
    </row>
    <row r="882" spans="7:20">
      <c r="G882" s="1574" t="s">
        <v>3512</v>
      </c>
      <c r="H882" s="1574"/>
      <c r="I882" s="1574"/>
      <c r="J882" s="3">
        <f>N874-J881</f>
        <v>252400000</v>
      </c>
      <c r="K882" s="1009"/>
      <c r="L882" s="3"/>
      <c r="Q882" s="661"/>
      <c r="T882" s="1034"/>
    </row>
    <row r="883" spans="7:20">
      <c r="G883" s="1574" t="s">
        <v>3531</v>
      </c>
      <c r="H883" s="1574"/>
      <c r="I883" s="1574"/>
      <c r="Q883" s="3"/>
      <c r="T883" s="1034"/>
    </row>
    <row r="895" spans="7:20">
      <c r="G895" s="1008">
        <v>45948</v>
      </c>
      <c r="H895" s="1169"/>
      <c r="I895" s="1575" t="s">
        <v>3510</v>
      </c>
      <c r="J895" s="1576"/>
      <c r="K895" s="1575" t="s">
        <v>3509</v>
      </c>
      <c r="L895" s="1576"/>
      <c r="M895" s="1575" t="s">
        <v>3541</v>
      </c>
      <c r="N895" s="1576"/>
      <c r="O895" s="1577" t="s">
        <v>3598</v>
      </c>
      <c r="P895" s="1578"/>
      <c r="Q895" s="1579" t="s">
        <v>3599</v>
      </c>
      <c r="R895" s="1580"/>
      <c r="S895" s="1588" t="s">
        <v>3366</v>
      </c>
      <c r="T895" s="1588"/>
    </row>
    <row r="896" spans="7:20">
      <c r="G896" s="1000"/>
      <c r="H896" s="1000"/>
      <c r="I896" s="1040" t="s">
        <v>3834</v>
      </c>
      <c r="J896" s="990">
        <v>145000000</v>
      </c>
      <c r="K896" s="1532" t="s">
        <v>3830</v>
      </c>
      <c r="L896" s="49">
        <v>1000000</v>
      </c>
      <c r="M896" s="1495" t="s">
        <v>3831</v>
      </c>
      <c r="N896" s="49">
        <v>151000000</v>
      </c>
      <c r="O896" s="1383"/>
      <c r="P896" s="644"/>
      <c r="Q896" s="1052" t="s">
        <v>3404</v>
      </c>
      <c r="R896" s="1053">
        <v>150000</v>
      </c>
      <c r="S896" s="1041"/>
      <c r="T896" s="1035"/>
    </row>
    <row r="897" spans="7:20">
      <c r="G897" s="1028"/>
      <c r="H897" s="1028"/>
      <c r="I897" s="1044"/>
      <c r="J897" s="990"/>
      <c r="K897" s="1532" t="s">
        <v>3833</v>
      </c>
      <c r="L897" s="1495">
        <v>7000000</v>
      </c>
      <c r="M897" s="1495" t="s">
        <v>3832</v>
      </c>
      <c r="N897" s="49">
        <v>12000000</v>
      </c>
      <c r="O897" s="1383"/>
      <c r="P897" s="644"/>
      <c r="Q897" s="1054" t="s">
        <v>3835</v>
      </c>
      <c r="R897" s="644">
        <v>600000</v>
      </c>
      <c r="S897" s="48"/>
      <c r="T897" s="1035"/>
    </row>
    <row r="898" spans="7:20">
      <c r="G898" s="48"/>
      <c r="H898" s="267"/>
      <c r="I898" s="1045"/>
      <c r="J898" s="49"/>
      <c r="K898" s="49" t="s">
        <v>3532</v>
      </c>
      <c r="L898" s="49">
        <v>5000000</v>
      </c>
      <c r="M898" s="1495"/>
      <c r="N898" s="49"/>
      <c r="O898" s="1383"/>
      <c r="P898" s="644"/>
      <c r="Q898" s="644" t="s">
        <v>3785</v>
      </c>
      <c r="R898" s="644">
        <v>500000</v>
      </c>
      <c r="S898" s="48"/>
      <c r="T898" s="1035"/>
    </row>
    <row r="899" spans="7:20">
      <c r="G899" s="48"/>
      <c r="H899" s="48"/>
      <c r="I899" s="1044"/>
      <c r="J899" s="990"/>
      <c r="K899" s="1495"/>
      <c r="L899" s="49"/>
      <c r="M899" s="1495"/>
      <c r="N899" s="49"/>
      <c r="O899" s="644"/>
      <c r="P899" s="644"/>
      <c r="Q899" s="1054"/>
      <c r="R899" s="644"/>
      <c r="S899" s="48"/>
      <c r="T899" s="1035"/>
    </row>
    <row r="900" spans="7:20">
      <c r="G900" s="48"/>
      <c r="H900" s="48"/>
      <c r="I900" s="1044"/>
      <c r="J900" s="990"/>
      <c r="K900" s="1532"/>
      <c r="L900" s="49"/>
      <c r="M900" s="1495"/>
      <c r="N900" s="49"/>
      <c r="O900" s="644"/>
      <c r="P900" s="644"/>
      <c r="Q900" s="644"/>
      <c r="R900" s="644"/>
      <c r="S900" s="48"/>
      <c r="T900" s="1035"/>
    </row>
    <row r="901" spans="7:20">
      <c r="G901" s="48"/>
      <c r="H901" s="48"/>
      <c r="I901" s="1028"/>
      <c r="J901" s="49"/>
      <c r="K901" s="1532"/>
      <c r="L901" s="49"/>
      <c r="M901" s="1498"/>
      <c r="N901" s="49"/>
      <c r="O901" s="644"/>
      <c r="P901" s="644"/>
      <c r="Q901" s="644"/>
      <c r="R901" s="644"/>
      <c r="S901" s="48"/>
      <c r="T901" s="1035"/>
    </row>
    <row r="902" spans="7:20">
      <c r="G902" s="48"/>
      <c r="H902" s="48"/>
      <c r="I902" s="48"/>
      <c r="J902" s="49"/>
      <c r="K902" s="1495"/>
      <c r="L902" s="49"/>
      <c r="M902" s="1498"/>
      <c r="N902" s="49"/>
      <c r="O902" s="644"/>
      <c r="P902" s="644"/>
      <c r="Q902" s="644"/>
      <c r="R902" s="644"/>
      <c r="S902" s="48"/>
      <c r="T902" s="1035"/>
    </row>
    <row r="903" spans="7:20">
      <c r="G903" s="48"/>
      <c r="H903" s="48"/>
      <c r="I903" s="48"/>
      <c r="J903" s="49"/>
      <c r="K903" s="1532"/>
      <c r="L903" s="49"/>
      <c r="M903" s="1498"/>
      <c r="N903" s="49"/>
      <c r="O903" s="644"/>
      <c r="P903" s="644"/>
      <c r="Q903" s="644"/>
      <c r="R903" s="644"/>
      <c r="S903" s="48"/>
      <c r="T903" s="1035"/>
    </row>
    <row r="904" spans="7:20">
      <c r="G904" s="48"/>
      <c r="H904" s="48"/>
      <c r="I904" s="48"/>
      <c r="J904" s="49"/>
      <c r="K904" s="1495"/>
      <c r="L904" s="49"/>
      <c r="M904" s="1498"/>
      <c r="N904" s="49"/>
      <c r="O904" s="644"/>
      <c r="P904" s="644"/>
      <c r="Q904" s="644"/>
      <c r="R904" s="644"/>
      <c r="S904" s="48"/>
      <c r="T904" s="1035"/>
    </row>
    <row r="905" spans="7:20">
      <c r="G905" s="48"/>
      <c r="H905" s="48"/>
      <c r="I905" s="48"/>
      <c r="J905" s="49"/>
      <c r="K905" s="1498"/>
      <c r="L905" s="49"/>
      <c r="M905" s="1498"/>
      <c r="N905" s="49"/>
      <c r="O905" s="644"/>
      <c r="P905" s="644"/>
      <c r="Q905" s="644"/>
      <c r="R905" s="644"/>
      <c r="S905" s="48"/>
      <c r="T905" s="1035"/>
    </row>
    <row r="906" spans="7:20">
      <c r="G906" s="48"/>
      <c r="H906" s="48"/>
      <c r="I906" s="48"/>
      <c r="J906" s="49"/>
      <c r="K906" s="49"/>
      <c r="L906" s="49"/>
      <c r="M906" s="1498"/>
      <c r="N906" s="49"/>
      <c r="O906" s="644"/>
      <c r="P906" s="644"/>
      <c r="Q906" s="644"/>
      <c r="R906" s="644"/>
      <c r="S906" s="48"/>
      <c r="T906" s="1035"/>
    </row>
    <row r="907" spans="7:20">
      <c r="G907" s="48"/>
      <c r="H907" s="48"/>
      <c r="I907" s="48"/>
      <c r="J907" s="954">
        <f>SUM(J896:J904)</f>
        <v>145000000</v>
      </c>
      <c r="K907" s="954"/>
      <c r="L907" s="954">
        <f>SUM(L896:L906)</f>
        <v>13000000</v>
      </c>
      <c r="M907" s="1498"/>
      <c r="N907" s="954">
        <f>SUM(N896:N906)</f>
        <v>163000000</v>
      </c>
      <c r="O907" s="644"/>
      <c r="P907" s="969">
        <f>SUM(P896:P902)</f>
        <v>0</v>
      </c>
      <c r="Q907" s="969"/>
      <c r="R907" s="969">
        <f>SUM(R896:R902)</f>
        <v>1250000</v>
      </c>
      <c r="S907" s="48"/>
      <c r="T907" s="1035"/>
    </row>
    <row r="908" spans="7:20">
      <c r="T908" s="1034"/>
    </row>
    <row r="909" spans="7:20">
      <c r="T909" s="1034"/>
    </row>
    <row r="910" spans="7:20">
      <c r="T910" s="1034"/>
    </row>
    <row r="911" spans="7:20">
      <c r="T911" s="1034"/>
    </row>
    <row r="912" spans="7:20">
      <c r="T912" s="1034"/>
    </row>
    <row r="913" spans="7:20">
      <c r="M913" s="1533" t="s">
        <v>3699</v>
      </c>
      <c r="O913" s="1534" t="s">
        <v>3741</v>
      </c>
      <c r="P913" s="939">
        <f>P907-R907</f>
        <v>-1250000</v>
      </c>
      <c r="T913" s="1034"/>
    </row>
    <row r="914" spans="7:20">
      <c r="G914" s="1574" t="s">
        <v>3530</v>
      </c>
      <c r="H914" s="1574"/>
      <c r="I914" s="1574"/>
      <c r="J914" s="3">
        <f>J907+L907</f>
        <v>158000000</v>
      </c>
      <c r="K914" s="1009"/>
      <c r="L914" s="3"/>
      <c r="M914" s="1533" t="s">
        <v>3664</v>
      </c>
      <c r="N914" s="1527"/>
      <c r="P914" s="1512"/>
      <c r="T914" s="1034"/>
    </row>
    <row r="915" spans="7:20">
      <c r="G915" s="1574" t="s">
        <v>3512</v>
      </c>
      <c r="H915" s="1574"/>
      <c r="I915" s="1574"/>
      <c r="J915" s="3">
        <f>N907-J914</f>
        <v>5000000</v>
      </c>
      <c r="K915" s="1009"/>
      <c r="L915" s="3"/>
      <c r="Q915" s="661"/>
      <c r="T915" s="1034"/>
    </row>
    <row r="916" spans="7:20">
      <c r="G916" s="1574" t="s">
        <v>3531</v>
      </c>
      <c r="H916" s="1574"/>
      <c r="I916" s="1574"/>
      <c r="Q916" s="3"/>
      <c r="T916" s="1034"/>
    </row>
    <row r="929" spans="7:20">
      <c r="G929" s="1008">
        <v>45950</v>
      </c>
      <c r="H929" s="1169"/>
      <c r="I929" s="1575" t="s">
        <v>3510</v>
      </c>
      <c r="J929" s="1576"/>
      <c r="K929" s="1575" t="s">
        <v>3509</v>
      </c>
      <c r="L929" s="1576"/>
      <c r="M929" s="1575" t="s">
        <v>3541</v>
      </c>
      <c r="N929" s="1576"/>
      <c r="O929" s="1577" t="s">
        <v>3598</v>
      </c>
      <c r="P929" s="1578"/>
      <c r="Q929" s="1579" t="s">
        <v>3599</v>
      </c>
      <c r="R929" s="1580"/>
      <c r="S929" s="1588" t="s">
        <v>3366</v>
      </c>
      <c r="T929" s="1588"/>
    </row>
    <row r="930" spans="7:20">
      <c r="G930" s="1000"/>
      <c r="H930" s="1000"/>
      <c r="I930" s="1040"/>
      <c r="J930" s="990"/>
      <c r="K930" s="1532" t="s">
        <v>3836</v>
      </c>
      <c r="L930" s="49">
        <v>28365000</v>
      </c>
      <c r="M930" s="1495" t="s">
        <v>3512</v>
      </c>
      <c r="N930" s="49">
        <v>28365000</v>
      </c>
      <c r="O930" s="1383"/>
      <c r="P930" s="644"/>
      <c r="Q930" s="1052" t="s">
        <v>3364</v>
      </c>
      <c r="R930" s="1053">
        <v>100000</v>
      </c>
      <c r="S930" s="1041"/>
      <c r="T930" s="1035"/>
    </row>
    <row r="931" spans="7:20">
      <c r="G931" s="1028"/>
      <c r="H931" s="1028"/>
      <c r="I931" s="1044"/>
      <c r="J931" s="990"/>
      <c r="K931" s="1532" t="s">
        <v>3677</v>
      </c>
      <c r="L931" s="1495">
        <v>1200000</v>
      </c>
      <c r="M931" s="1495" t="s">
        <v>3613</v>
      </c>
      <c r="N931" s="49">
        <v>5100000</v>
      </c>
      <c r="O931" s="1383"/>
      <c r="P931" s="644"/>
      <c r="Q931" s="1054" t="s">
        <v>3612</v>
      </c>
      <c r="R931" s="644">
        <v>150000</v>
      </c>
      <c r="S931" s="48"/>
      <c r="T931" s="1035"/>
    </row>
    <row r="932" spans="7:20">
      <c r="G932" s="48"/>
      <c r="H932" s="267"/>
      <c r="I932" s="1045"/>
      <c r="J932" s="49"/>
      <c r="K932" s="1495" t="s">
        <v>3840</v>
      </c>
      <c r="L932" s="49">
        <v>1000000</v>
      </c>
      <c r="M932" s="1495" t="s">
        <v>3455</v>
      </c>
      <c r="N932" s="49">
        <v>7000000</v>
      </c>
      <c r="O932" s="1383"/>
      <c r="P932" s="644"/>
      <c r="Q932" s="644" t="s">
        <v>3836</v>
      </c>
      <c r="R932" s="644">
        <v>10820000</v>
      </c>
      <c r="S932" s="48"/>
      <c r="T932" s="1035"/>
    </row>
    <row r="933" spans="7:20">
      <c r="G933" s="48"/>
      <c r="H933" s="48"/>
      <c r="I933" s="1044"/>
      <c r="J933" s="990"/>
      <c r="K933" s="1495"/>
      <c r="L933" s="49"/>
      <c r="M933" s="1495" t="s">
        <v>3567</v>
      </c>
      <c r="N933" s="49">
        <v>92000000</v>
      </c>
      <c r="O933" s="644"/>
      <c r="P933" s="644"/>
      <c r="Q933" s="1054" t="s">
        <v>3837</v>
      </c>
      <c r="R933" s="644">
        <v>1000000</v>
      </c>
      <c r="S933" s="48"/>
      <c r="T933" s="1035"/>
    </row>
    <row r="934" spans="7:20">
      <c r="G934" s="48"/>
      <c r="H934" s="48"/>
      <c r="I934" s="1044"/>
      <c r="J934" s="990"/>
      <c r="K934" s="1532"/>
      <c r="L934" s="49"/>
      <c r="M934" s="1495"/>
      <c r="N934" s="49"/>
      <c r="O934" s="644"/>
      <c r="P934" s="644"/>
      <c r="Q934" s="1054" t="s">
        <v>3838</v>
      </c>
      <c r="R934" s="644">
        <v>1000000</v>
      </c>
      <c r="S934" s="48"/>
      <c r="T934" s="1035"/>
    </row>
    <row r="935" spans="7:20">
      <c r="G935" s="48"/>
      <c r="H935" s="48"/>
      <c r="I935" s="1028"/>
      <c r="J935" s="49"/>
      <c r="K935" s="1532"/>
      <c r="L935" s="49"/>
      <c r="M935" s="1498"/>
      <c r="N935" s="49"/>
      <c r="O935" s="644"/>
      <c r="P935" s="644"/>
      <c r="Q935" s="1054" t="s">
        <v>3364</v>
      </c>
      <c r="R935" s="644">
        <v>5000000</v>
      </c>
      <c r="S935" s="48"/>
      <c r="T935" s="1035"/>
    </row>
    <row r="936" spans="7:20">
      <c r="G936" s="48"/>
      <c r="H936" s="48"/>
      <c r="I936" s="48"/>
      <c r="J936" s="49"/>
      <c r="K936" s="1495"/>
      <c r="L936" s="49"/>
      <c r="M936" s="1498"/>
      <c r="N936" s="49"/>
      <c r="O936" s="644"/>
      <c r="P936" s="644"/>
      <c r="Q936" s="644"/>
      <c r="R936" s="644"/>
      <c r="S936" s="48"/>
      <c r="T936" s="1035"/>
    </row>
    <row r="937" spans="7:20">
      <c r="G937" s="48"/>
      <c r="H937" s="48"/>
      <c r="I937" s="48"/>
      <c r="J937" s="49"/>
      <c r="K937" s="1532"/>
      <c r="L937" s="49"/>
      <c r="M937" s="1498"/>
      <c r="N937" s="49"/>
      <c r="O937" s="644"/>
      <c r="P937" s="644"/>
      <c r="Q937" s="644"/>
      <c r="R937" s="644"/>
      <c r="S937" s="48"/>
      <c r="T937" s="1035"/>
    </row>
    <row r="938" spans="7:20">
      <c r="G938" s="48"/>
      <c r="H938" s="48"/>
      <c r="I938" s="48"/>
      <c r="J938" s="49"/>
      <c r="K938" s="1495"/>
      <c r="L938" s="49"/>
      <c r="M938" s="1498"/>
      <c r="N938" s="49"/>
      <c r="O938" s="644"/>
      <c r="P938" s="644"/>
      <c r="Q938" s="644"/>
      <c r="R938" s="644"/>
      <c r="S938" s="48"/>
      <c r="T938" s="1035"/>
    </row>
    <row r="939" spans="7:20">
      <c r="G939" s="48"/>
      <c r="H939" s="48"/>
      <c r="I939" s="48"/>
      <c r="J939" s="49"/>
      <c r="K939" s="1498"/>
      <c r="L939" s="49"/>
      <c r="M939" s="1498"/>
      <c r="N939" s="49"/>
      <c r="O939" s="644"/>
      <c r="P939" s="644"/>
      <c r="Q939" s="644"/>
      <c r="R939" s="644"/>
      <c r="S939" s="48"/>
      <c r="T939" s="1035"/>
    </row>
    <row r="940" spans="7:20">
      <c r="G940" s="48"/>
      <c r="H940" s="48"/>
      <c r="I940" s="48"/>
      <c r="J940" s="49"/>
      <c r="K940" s="49"/>
      <c r="L940" s="49"/>
      <c r="M940" s="1498"/>
      <c r="N940" s="49"/>
      <c r="O940" s="644"/>
      <c r="P940" s="644"/>
      <c r="Q940" s="644"/>
      <c r="R940" s="644"/>
      <c r="S940" s="48"/>
      <c r="T940" s="1035"/>
    </row>
    <row r="941" spans="7:20">
      <c r="G941" s="48"/>
      <c r="H941" s="48"/>
      <c r="I941" s="48"/>
      <c r="J941" s="954">
        <f>SUM(J930:J938)</f>
        <v>0</v>
      </c>
      <c r="K941" s="954"/>
      <c r="L941" s="954">
        <f>SUM(L930:L940)</f>
        <v>30565000</v>
      </c>
      <c r="M941" s="1498"/>
      <c r="N941" s="954">
        <f>SUM(N930:N940)</f>
        <v>132465000</v>
      </c>
      <c r="O941" s="644"/>
      <c r="P941" s="969">
        <f>SUM(P930:P936)</f>
        <v>0</v>
      </c>
      <c r="Q941" s="969"/>
      <c r="R941" s="969">
        <f>SUM(R930:R936)</f>
        <v>18070000</v>
      </c>
      <c r="S941" s="48"/>
      <c r="T941" s="1035"/>
    </row>
    <row r="942" spans="7:20">
      <c r="T942" s="1034"/>
    </row>
    <row r="943" spans="7:20">
      <c r="T943" s="1034"/>
    </row>
    <row r="944" spans="7:20">
      <c r="T944" s="1034"/>
    </row>
    <row r="945" spans="7:20">
      <c r="T945" s="1034"/>
    </row>
    <row r="946" spans="7:20">
      <c r="T946" s="1034"/>
    </row>
    <row r="947" spans="7:20">
      <c r="M947" s="1533" t="s">
        <v>3699</v>
      </c>
      <c r="O947" s="1534" t="s">
        <v>3741</v>
      </c>
      <c r="P947" s="939">
        <f>P941-R941</f>
        <v>-18070000</v>
      </c>
      <c r="T947" s="1034"/>
    </row>
    <row r="948" spans="7:20">
      <c r="G948" s="1574" t="s">
        <v>3530</v>
      </c>
      <c r="H948" s="1574"/>
      <c r="I948" s="1574"/>
      <c r="J948" s="3">
        <f>J941+L941</f>
        <v>30565000</v>
      </c>
      <c r="K948" s="1009"/>
      <c r="L948" s="3"/>
      <c r="M948" s="1533" t="s">
        <v>3664</v>
      </c>
      <c r="N948" s="1527"/>
      <c r="P948" s="1512"/>
      <c r="T948" s="1034"/>
    </row>
    <row r="949" spans="7:20">
      <c r="G949" s="1574" t="s">
        <v>3512</v>
      </c>
      <c r="H949" s="1574"/>
      <c r="I949" s="1574"/>
      <c r="J949" s="3">
        <f>N941-J948</f>
        <v>101900000</v>
      </c>
      <c r="K949" s="1009"/>
      <c r="L949" s="3"/>
      <c r="Q949" s="661"/>
      <c r="T949" s="1034"/>
    </row>
    <row r="950" spans="7:20">
      <c r="G950" s="1574" t="s">
        <v>3531</v>
      </c>
      <c r="H950" s="1574"/>
      <c r="I950" s="1574"/>
      <c r="Q950" s="3"/>
      <c r="T950" s="1034"/>
    </row>
    <row r="959" spans="7:20">
      <c r="G959" s="1008">
        <v>45951</v>
      </c>
      <c r="H959" s="1169"/>
      <c r="I959" s="1575" t="s">
        <v>3510</v>
      </c>
      <c r="J959" s="1576"/>
      <c r="K959" s="1575" t="s">
        <v>3509</v>
      </c>
      <c r="L959" s="1576"/>
      <c r="M959" s="1575" t="s">
        <v>3541</v>
      </c>
      <c r="N959" s="1576"/>
      <c r="O959" s="1577" t="s">
        <v>3598</v>
      </c>
      <c r="P959" s="1578"/>
      <c r="Q959" s="1579" t="s">
        <v>3599</v>
      </c>
      <c r="R959" s="1580"/>
      <c r="S959" s="1588" t="s">
        <v>3366</v>
      </c>
      <c r="T959" s="1588"/>
    </row>
    <row r="960" spans="7:20">
      <c r="G960" s="1000"/>
      <c r="H960" s="1000"/>
      <c r="I960" s="1040" t="s">
        <v>3845</v>
      </c>
      <c r="J960" s="990">
        <v>30690000</v>
      </c>
      <c r="K960" s="1532" t="s">
        <v>3843</v>
      </c>
      <c r="L960" s="49">
        <v>5450000</v>
      </c>
      <c r="M960" s="1495" t="s">
        <v>3841</v>
      </c>
      <c r="N960" s="49">
        <v>102000000</v>
      </c>
      <c r="O960" s="1383"/>
      <c r="P960" s="644"/>
      <c r="Q960" s="1052" t="s">
        <v>3404</v>
      </c>
      <c r="R960" s="1053">
        <v>200000</v>
      </c>
      <c r="S960" s="1041" t="s">
        <v>3321</v>
      </c>
      <c r="T960" s="1035">
        <v>4000</v>
      </c>
    </row>
    <row r="961" spans="7:20">
      <c r="G961" s="1028"/>
      <c r="H961" s="1028"/>
      <c r="I961" s="1044"/>
      <c r="J961" s="990"/>
      <c r="K961" s="1532" t="s">
        <v>3844</v>
      </c>
      <c r="L961" s="1495">
        <v>7500000</v>
      </c>
      <c r="M961" s="1495" t="s">
        <v>3842</v>
      </c>
      <c r="N961" s="49">
        <v>2500000</v>
      </c>
      <c r="O961" s="1383"/>
      <c r="P961" s="644"/>
      <c r="Q961" s="1054" t="s">
        <v>3613</v>
      </c>
      <c r="R961" s="644">
        <v>1000000</v>
      </c>
      <c r="S961" s="48"/>
      <c r="T961" s="1035"/>
    </row>
    <row r="962" spans="7:20">
      <c r="G962" s="48"/>
      <c r="H962" s="267"/>
      <c r="I962" s="1045"/>
      <c r="J962" s="49"/>
      <c r="K962" s="1495" t="s">
        <v>3659</v>
      </c>
      <c r="L962" s="49">
        <v>4000000</v>
      </c>
      <c r="M962" s="1495" t="s">
        <v>3846</v>
      </c>
      <c r="N962" s="49">
        <v>2475000</v>
      </c>
      <c r="O962" s="1383"/>
      <c r="P962" s="644"/>
      <c r="Q962" s="1054" t="s">
        <v>3613</v>
      </c>
      <c r="R962" s="644">
        <v>2475000</v>
      </c>
      <c r="S962" s="48"/>
      <c r="T962" s="1035"/>
    </row>
    <row r="963" spans="7:20">
      <c r="G963" s="48"/>
      <c r="H963" s="48"/>
      <c r="I963" s="1044"/>
      <c r="J963" s="990"/>
      <c r="K963" s="1495" t="s">
        <v>3847</v>
      </c>
      <c r="L963" s="49">
        <v>10000000</v>
      </c>
      <c r="M963" s="1495" t="s">
        <v>3846</v>
      </c>
      <c r="N963" s="49">
        <v>1000000</v>
      </c>
      <c r="O963" s="644"/>
      <c r="P963" s="644"/>
      <c r="Q963" s="1054"/>
      <c r="R963" s="644"/>
      <c r="S963" s="48"/>
      <c r="T963" s="1035"/>
    </row>
    <row r="964" spans="7:20">
      <c r="G964" s="48"/>
      <c r="H964" s="48"/>
      <c r="I964" s="1044"/>
      <c r="J964" s="990"/>
      <c r="K964" s="1532" t="s">
        <v>3532</v>
      </c>
      <c r="L964" s="49">
        <v>600000</v>
      </c>
      <c r="M964" s="1495" t="s">
        <v>3700</v>
      </c>
      <c r="N964" s="49">
        <v>19700000</v>
      </c>
      <c r="O964" s="644"/>
      <c r="P964" s="644"/>
      <c r="Q964" s="1054"/>
      <c r="R964" s="644"/>
      <c r="S964" s="48"/>
      <c r="T964" s="1035"/>
    </row>
    <row r="965" spans="7:20">
      <c r="G965" s="48"/>
      <c r="H965" s="48"/>
      <c r="I965" s="1028"/>
      <c r="J965" s="49"/>
      <c r="K965" s="1532"/>
      <c r="L965" s="49"/>
      <c r="M965" s="1498"/>
      <c r="N965" s="49"/>
      <c r="O965" s="644"/>
      <c r="P965" s="644"/>
      <c r="Q965" s="1054"/>
      <c r="R965" s="644"/>
      <c r="S965" s="48"/>
      <c r="T965" s="1035"/>
    </row>
    <row r="966" spans="7:20">
      <c r="G966" s="48"/>
      <c r="H966" s="48"/>
      <c r="I966" s="48"/>
      <c r="J966" s="49"/>
      <c r="K966" s="1495"/>
      <c r="L966" s="49"/>
      <c r="M966" s="1498"/>
      <c r="N966" s="49"/>
      <c r="O966" s="644"/>
      <c r="P966" s="644"/>
      <c r="Q966" s="644"/>
      <c r="R966" s="644"/>
      <c r="S966" s="48"/>
      <c r="T966" s="1035"/>
    </row>
    <row r="967" spans="7:20">
      <c r="G967" s="48"/>
      <c r="H967" s="48"/>
      <c r="I967" s="48"/>
      <c r="J967" s="49"/>
      <c r="K967" s="1532"/>
      <c r="L967" s="49"/>
      <c r="M967" s="1498"/>
      <c r="N967" s="49"/>
      <c r="O967" s="644"/>
      <c r="P967" s="644"/>
      <c r="Q967" s="644"/>
      <c r="R967" s="644"/>
      <c r="S967" s="48"/>
      <c r="T967" s="1035"/>
    </row>
    <row r="968" spans="7:20">
      <c r="G968" s="48"/>
      <c r="H968" s="48"/>
      <c r="I968" s="48"/>
      <c r="J968" s="49"/>
      <c r="K968" s="1495"/>
      <c r="L968" s="49"/>
      <c r="M968" s="1498"/>
      <c r="N968" s="49"/>
      <c r="O968" s="644"/>
      <c r="P968" s="644"/>
      <c r="Q968" s="644"/>
      <c r="R968" s="644"/>
      <c r="S968" s="48"/>
      <c r="T968" s="1035"/>
    </row>
    <row r="969" spans="7:20">
      <c r="G969" s="48"/>
      <c r="H969" s="48"/>
      <c r="I969" s="48"/>
      <c r="J969" s="49"/>
      <c r="K969" s="1498"/>
      <c r="L969" s="49"/>
      <c r="M969" s="1498"/>
      <c r="N969" s="49"/>
      <c r="O969" s="644"/>
      <c r="P969" s="644"/>
      <c r="Q969" s="644"/>
      <c r="R969" s="644"/>
      <c r="S969" s="48"/>
      <c r="T969" s="1035"/>
    </row>
    <row r="970" spans="7:20">
      <c r="G970" s="48"/>
      <c r="H970" s="48"/>
      <c r="I970" s="48"/>
      <c r="J970" s="49"/>
      <c r="K970" s="49"/>
      <c r="L970" s="49"/>
      <c r="M970" s="1498"/>
      <c r="N970" s="49"/>
      <c r="O970" s="644"/>
      <c r="P970" s="644"/>
      <c r="Q970" s="644"/>
      <c r="R970" s="644"/>
      <c r="S970" s="48"/>
      <c r="T970" s="1035"/>
    </row>
    <row r="971" spans="7:20">
      <c r="G971" s="48"/>
      <c r="H971" s="48"/>
      <c r="I971" s="48"/>
      <c r="J971" s="954">
        <f>SUM(J960:J968)</f>
        <v>30690000</v>
      </c>
      <c r="K971" s="954"/>
      <c r="L971" s="954">
        <f>SUM(L960:L970)</f>
        <v>27550000</v>
      </c>
      <c r="M971" s="1498"/>
      <c r="N971" s="954">
        <f>SUM(N960:N970)</f>
        <v>127675000</v>
      </c>
      <c r="O971" s="644"/>
      <c r="P971" s="969">
        <f>SUM(P960:P966)</f>
        <v>0</v>
      </c>
      <c r="Q971" s="969"/>
      <c r="R971" s="969">
        <f>SUM(R960:R966)</f>
        <v>3675000</v>
      </c>
      <c r="S971" s="48"/>
      <c r="T971" s="1035">
        <f>SUM(T960:T970)</f>
        <v>4000</v>
      </c>
    </row>
    <row r="972" spans="7:20">
      <c r="T972" s="1034"/>
    </row>
    <row r="973" spans="7:20">
      <c r="T973" s="1034"/>
    </row>
    <row r="974" spans="7:20">
      <c r="T974" s="1034"/>
    </row>
    <row r="975" spans="7:20">
      <c r="T975" s="1034"/>
    </row>
    <row r="976" spans="7:20">
      <c r="T976" s="1034"/>
    </row>
    <row r="977" spans="7:20">
      <c r="M977" s="1533" t="s">
        <v>3699</v>
      </c>
      <c r="O977" s="1534" t="s">
        <v>3741</v>
      </c>
      <c r="P977" s="939">
        <f>P971-R971</f>
        <v>-3675000</v>
      </c>
      <c r="S977" s="946" t="s">
        <v>3848</v>
      </c>
      <c r="T977" s="1034">
        <f>T971</f>
        <v>4000</v>
      </c>
    </row>
    <row r="978" spans="7:20">
      <c r="G978" s="1574" t="s">
        <v>3530</v>
      </c>
      <c r="H978" s="1574"/>
      <c r="I978" s="1574"/>
      <c r="J978" s="3">
        <f>J971+L971</f>
        <v>58240000</v>
      </c>
      <c r="K978" s="1009"/>
      <c r="L978" s="3"/>
      <c r="M978" s="1533" t="s">
        <v>3664</v>
      </c>
      <c r="N978" s="1527"/>
      <c r="P978" s="1512"/>
      <c r="T978" s="1034"/>
    </row>
    <row r="979" spans="7:20">
      <c r="G979" s="1574" t="s">
        <v>3512</v>
      </c>
      <c r="H979" s="1574"/>
      <c r="I979" s="1574"/>
      <c r="J979" s="3">
        <f>N971-J978</f>
        <v>69435000</v>
      </c>
      <c r="K979" s="1009"/>
      <c r="L979" s="3"/>
      <c r="Q979" s="661"/>
      <c r="T979" s="1034"/>
    </row>
    <row r="980" spans="7:20">
      <c r="G980" s="1574" t="s">
        <v>3531</v>
      </c>
      <c r="H980" s="1574"/>
      <c r="I980" s="1574"/>
      <c r="J980" s="3">
        <f>T977</f>
        <v>4000</v>
      </c>
      <c r="Q980" s="3"/>
      <c r="T980" s="1034"/>
    </row>
    <row r="994" spans="7:22">
      <c r="G994" s="1008">
        <v>45952</v>
      </c>
      <c r="H994" s="1169"/>
      <c r="I994" s="1575" t="s">
        <v>3510</v>
      </c>
      <c r="J994" s="1576"/>
      <c r="K994" s="1575" t="s">
        <v>3509</v>
      </c>
      <c r="L994" s="1576"/>
      <c r="M994" s="1575" t="s">
        <v>3541</v>
      </c>
      <c r="N994" s="1576"/>
      <c r="O994" s="1577" t="s">
        <v>3598</v>
      </c>
      <c r="P994" s="1578"/>
      <c r="Q994" s="1579" t="s">
        <v>3599</v>
      </c>
      <c r="R994" s="1580"/>
      <c r="S994" s="1588" t="s">
        <v>3366</v>
      </c>
      <c r="T994" s="1588"/>
      <c r="U994" s="1588" t="s">
        <v>3366</v>
      </c>
      <c r="V994" s="1588"/>
    </row>
    <row r="995" spans="7:22">
      <c r="G995" s="1000"/>
      <c r="H995" s="1000"/>
      <c r="I995" s="1040" t="s">
        <v>3853</v>
      </c>
      <c r="J995" s="990">
        <v>20000000</v>
      </c>
      <c r="K995" s="1532" t="s">
        <v>3854</v>
      </c>
      <c r="L995" s="49">
        <v>7900000</v>
      </c>
      <c r="M995" s="1495" t="s">
        <v>3852</v>
      </c>
      <c r="N995" s="49">
        <v>69435000</v>
      </c>
      <c r="O995" s="1383" t="s">
        <v>3850</v>
      </c>
      <c r="P995" s="644">
        <v>581000</v>
      </c>
      <c r="Q995" s="1057"/>
      <c r="R995" s="644"/>
      <c r="S995" s="1041" t="s">
        <v>3831</v>
      </c>
      <c r="T995" s="1035">
        <v>4000</v>
      </c>
      <c r="U995" s="1055" t="s">
        <v>3856</v>
      </c>
      <c r="V995" s="48">
        <v>3500</v>
      </c>
    </row>
    <row r="996" spans="7:22">
      <c r="G996" s="1028"/>
      <c r="H996" s="1028"/>
      <c r="I996" s="1044"/>
      <c r="J996" s="990"/>
      <c r="K996" s="1532" t="s">
        <v>3854</v>
      </c>
      <c r="L996" s="1495">
        <v>13000000</v>
      </c>
      <c r="M996" s="1495" t="s">
        <v>3849</v>
      </c>
      <c r="N996" s="49">
        <v>7900000</v>
      </c>
      <c r="O996" s="1383" t="s">
        <v>3851</v>
      </c>
      <c r="P996" s="644">
        <v>1000000</v>
      </c>
      <c r="Q996" s="1054"/>
      <c r="R996" s="644"/>
      <c r="S996" s="48"/>
      <c r="T996" s="1035"/>
      <c r="U996" s="48"/>
      <c r="V996" s="48"/>
    </row>
    <row r="997" spans="7:22">
      <c r="G997" s="48"/>
      <c r="H997" s="267"/>
      <c r="I997" s="1045"/>
      <c r="J997" s="49"/>
      <c r="K997" s="1532" t="s">
        <v>3855</v>
      </c>
      <c r="L997" s="1495">
        <v>4000000</v>
      </c>
      <c r="M997" s="1495"/>
      <c r="N997" s="49"/>
      <c r="O997" s="1383"/>
      <c r="P997" s="644"/>
      <c r="Q997" s="1054"/>
      <c r="R997" s="644"/>
      <c r="S997" s="1055"/>
      <c r="T997" s="1035"/>
      <c r="U997" s="1055"/>
      <c r="V997" s="48"/>
    </row>
    <row r="998" spans="7:22">
      <c r="G998" s="48"/>
      <c r="H998" s="48"/>
      <c r="I998" s="1044"/>
      <c r="J998" s="990"/>
      <c r="K998" s="1495" t="s">
        <v>3856</v>
      </c>
      <c r="L998" s="49"/>
      <c r="M998" s="1495"/>
      <c r="N998" s="49"/>
      <c r="O998" s="644"/>
      <c r="P998" s="644"/>
      <c r="Q998" s="1054"/>
      <c r="R998" s="644"/>
      <c r="S998" s="48"/>
      <c r="T998" s="1035"/>
      <c r="U998" s="48"/>
      <c r="V998" s="48"/>
    </row>
    <row r="999" spans="7:22">
      <c r="G999" s="48"/>
      <c r="H999" s="48"/>
      <c r="I999" s="1044"/>
      <c r="J999" s="990"/>
      <c r="K999" s="1495" t="s">
        <v>3857</v>
      </c>
      <c r="L999" s="49">
        <v>2000000</v>
      </c>
      <c r="M999" s="1495"/>
      <c r="N999" s="49"/>
      <c r="O999" s="644"/>
      <c r="P999" s="644"/>
      <c r="Q999" s="1054"/>
      <c r="R999" s="644"/>
      <c r="S999" s="48"/>
      <c r="T999" s="1035"/>
      <c r="U999" s="48"/>
      <c r="V999" s="48"/>
    </row>
    <row r="1000" spans="7:22">
      <c r="G1000" s="48"/>
      <c r="H1000" s="48"/>
      <c r="I1000" s="1028"/>
      <c r="J1000" s="49"/>
      <c r="K1000" s="1532"/>
      <c r="L1000" s="49"/>
      <c r="M1000" s="1498"/>
      <c r="N1000" s="49"/>
      <c r="O1000" s="644"/>
      <c r="P1000" s="644"/>
      <c r="Q1000" s="1054"/>
      <c r="R1000" s="644"/>
      <c r="S1000" s="48"/>
      <c r="T1000" s="1035"/>
      <c r="U1000" s="48"/>
      <c r="V1000" s="48"/>
    </row>
    <row r="1001" spans="7:22">
      <c r="G1001" s="48"/>
      <c r="H1001" s="48"/>
      <c r="I1001" s="48"/>
      <c r="J1001" s="49"/>
      <c r="K1001" s="1495"/>
      <c r="L1001" s="49"/>
      <c r="M1001" s="1498"/>
      <c r="N1001" s="49"/>
      <c r="O1001" s="644"/>
      <c r="P1001" s="644"/>
      <c r="Q1001" s="644"/>
      <c r="R1001" s="644"/>
      <c r="S1001" s="48"/>
      <c r="T1001" s="1035"/>
      <c r="U1001" s="48"/>
      <c r="V1001" s="48"/>
    </row>
    <row r="1002" spans="7:22">
      <c r="G1002" s="48"/>
      <c r="H1002" s="48"/>
      <c r="I1002" s="48"/>
      <c r="J1002" s="49"/>
      <c r="K1002" s="1532"/>
      <c r="L1002" s="49"/>
      <c r="M1002" s="1498"/>
      <c r="N1002" s="49"/>
      <c r="O1002" s="644"/>
      <c r="P1002" s="644"/>
      <c r="Q1002" s="644"/>
      <c r="R1002" s="644"/>
      <c r="S1002" s="48"/>
      <c r="T1002" s="1035"/>
      <c r="U1002" s="48"/>
      <c r="V1002" s="48"/>
    </row>
    <row r="1003" spans="7:22">
      <c r="G1003" s="48"/>
      <c r="H1003" s="48"/>
      <c r="I1003" s="48"/>
      <c r="J1003" s="49"/>
      <c r="K1003" s="1495"/>
      <c r="L1003" s="49"/>
      <c r="M1003" s="1498"/>
      <c r="N1003" s="49"/>
      <c r="O1003" s="644"/>
      <c r="P1003" s="644"/>
      <c r="Q1003" s="644"/>
      <c r="R1003" s="644"/>
      <c r="S1003" s="48"/>
      <c r="T1003" s="1035"/>
      <c r="U1003" s="48"/>
      <c r="V1003" s="48"/>
    </row>
    <row r="1004" spans="7:22">
      <c r="G1004" s="48"/>
      <c r="H1004" s="48"/>
      <c r="I1004" s="48"/>
      <c r="J1004" s="49"/>
      <c r="K1004" s="1498"/>
      <c r="L1004" s="49"/>
      <c r="M1004" s="1498"/>
      <c r="N1004" s="49"/>
      <c r="O1004" s="644"/>
      <c r="P1004" s="644"/>
      <c r="Q1004" s="644"/>
      <c r="R1004" s="644"/>
      <c r="S1004" s="48"/>
      <c r="T1004" s="1035"/>
      <c r="U1004" s="48"/>
      <c r="V1004" s="48"/>
    </row>
    <row r="1005" spans="7:22">
      <c r="G1005" s="48"/>
      <c r="H1005" s="48"/>
      <c r="I1005" s="48"/>
      <c r="J1005" s="49"/>
      <c r="K1005" s="49"/>
      <c r="L1005" s="49"/>
      <c r="M1005" s="1498"/>
      <c r="N1005" s="49"/>
      <c r="O1005" s="644"/>
      <c r="P1005" s="644"/>
      <c r="Q1005" s="644"/>
      <c r="R1005" s="644"/>
      <c r="S1005" s="48"/>
      <c r="T1005" s="1035"/>
      <c r="U1005" s="48"/>
      <c r="V1005" s="48"/>
    </row>
    <row r="1006" spans="7:22">
      <c r="G1006" s="48"/>
      <c r="H1006" s="48"/>
      <c r="I1006" s="48"/>
      <c r="J1006" s="954">
        <f>SUM(J995:J1003)</f>
        <v>20000000</v>
      </c>
      <c r="K1006" s="954"/>
      <c r="L1006" s="954">
        <f>SUM(L995:L1005)</f>
        <v>26900000</v>
      </c>
      <c r="M1006" s="1498"/>
      <c r="N1006" s="954">
        <f>SUM(N995:N1005)</f>
        <v>77335000</v>
      </c>
      <c r="O1006" s="644"/>
      <c r="P1006" s="969">
        <f>SUM(P995:P1001)</f>
        <v>1581000</v>
      </c>
      <c r="Q1006" s="969"/>
      <c r="R1006" s="969">
        <f>SUM(R995:R1001)</f>
        <v>0</v>
      </c>
      <c r="S1006" s="48"/>
      <c r="T1006" s="1035">
        <f>SUM(T995:T1005)</f>
        <v>4000</v>
      </c>
      <c r="U1006" s="48"/>
      <c r="V1006" s="48">
        <f>V995</f>
        <v>3500</v>
      </c>
    </row>
    <row r="1007" spans="7:22">
      <c r="T1007" s="1034"/>
    </row>
    <row r="1008" spans="7:22">
      <c r="T1008" s="1034"/>
    </row>
    <row r="1009" spans="7:20">
      <c r="T1009" s="1034"/>
    </row>
    <row r="1010" spans="7:20">
      <c r="T1010" s="1034"/>
    </row>
    <row r="1011" spans="7:20">
      <c r="T1011" s="1034"/>
    </row>
    <row r="1012" spans="7:20">
      <c r="I1012" s="946" t="s">
        <v>3858</v>
      </c>
      <c r="M1012" s="1533" t="s">
        <v>3699</v>
      </c>
      <c r="O1012" s="1534" t="s">
        <v>3741</v>
      </c>
      <c r="P1012" s="939">
        <f>P1006-R1006</f>
        <v>1581000</v>
      </c>
      <c r="S1012" s="946" t="s">
        <v>3848</v>
      </c>
      <c r="T1012" s="1034">
        <f>T1006-V1006</f>
        <v>500</v>
      </c>
    </row>
    <row r="1013" spans="7:20">
      <c r="G1013" s="1574" t="s">
        <v>3530</v>
      </c>
      <c r="H1013" s="1574"/>
      <c r="I1013" s="1574"/>
      <c r="J1013" s="3">
        <f>J1006+L1006</f>
        <v>46900000</v>
      </c>
      <c r="K1013" s="1009"/>
      <c r="L1013" s="3"/>
      <c r="M1013" s="1533" t="s">
        <v>3664</v>
      </c>
      <c r="N1013" s="1527"/>
      <c r="P1013" s="1512"/>
      <c r="T1013" s="1034"/>
    </row>
    <row r="1014" spans="7:20">
      <c r="G1014" s="1574" t="s">
        <v>3512</v>
      </c>
      <c r="H1014" s="1574"/>
      <c r="I1014" s="1574"/>
      <c r="J1014" s="3">
        <f>N1006-J1013</f>
        <v>30435000</v>
      </c>
      <c r="K1014" s="1009"/>
      <c r="L1014" s="3"/>
      <c r="Q1014" s="661"/>
      <c r="T1014" s="1034"/>
    </row>
    <row r="1015" spans="7:20">
      <c r="G1015" s="1574" t="s">
        <v>3531</v>
      </c>
      <c r="H1015" s="1574"/>
      <c r="I1015" s="1574"/>
      <c r="J1015" s="3">
        <f>T1012</f>
        <v>500</v>
      </c>
      <c r="Q1015" s="3"/>
      <c r="T1015" s="1034"/>
    </row>
    <row r="1028" spans="7:22">
      <c r="G1028" s="1008">
        <v>45953</v>
      </c>
      <c r="H1028" s="1169"/>
      <c r="I1028" s="1575" t="s">
        <v>3510</v>
      </c>
      <c r="J1028" s="1576"/>
      <c r="K1028" s="1575" t="s">
        <v>3509</v>
      </c>
      <c r="L1028" s="1576"/>
      <c r="M1028" s="1575" t="s">
        <v>3541</v>
      </c>
      <c r="N1028" s="1576"/>
      <c r="O1028" s="1577" t="s">
        <v>3598</v>
      </c>
      <c r="P1028" s="1578"/>
      <c r="Q1028" s="1579" t="s">
        <v>3599</v>
      </c>
      <c r="R1028" s="1580"/>
      <c r="S1028" s="1583" t="s">
        <v>3366</v>
      </c>
      <c r="T1028" s="1583"/>
      <c r="U1028" s="1583" t="s">
        <v>3366</v>
      </c>
      <c r="V1028" s="1583"/>
    </row>
    <row r="1029" spans="7:22">
      <c r="G1029" s="1000"/>
      <c r="H1029" s="1000"/>
      <c r="I1029" s="1060" t="s">
        <v>3860</v>
      </c>
      <c r="J1029" s="990">
        <v>30360000</v>
      </c>
      <c r="K1029" s="1532" t="s">
        <v>3532</v>
      </c>
      <c r="L1029" s="49">
        <v>500000</v>
      </c>
      <c r="M1029" s="1495" t="s">
        <v>3863</v>
      </c>
      <c r="N1029" s="49">
        <v>296000000</v>
      </c>
      <c r="O1029" s="1383" t="s">
        <v>3868</v>
      </c>
      <c r="P1029" s="644">
        <v>630000</v>
      </c>
      <c r="Q1029" s="1063" t="s">
        <v>3869</v>
      </c>
      <c r="R1029" s="644">
        <v>2600000</v>
      </c>
      <c r="S1029" s="1041"/>
      <c r="T1029" s="1037"/>
      <c r="U1029" s="1055"/>
      <c r="V1029" s="48"/>
    </row>
    <row r="1030" spans="7:22">
      <c r="G1030" s="1028"/>
      <c r="H1030" s="1028"/>
      <c r="I1030" s="1061" t="s">
        <v>3866</v>
      </c>
      <c r="J1030" s="990">
        <v>30690000</v>
      </c>
      <c r="K1030" s="1532" t="s">
        <v>3862</v>
      </c>
      <c r="L1030" s="1495">
        <v>12000000</v>
      </c>
      <c r="M1030" s="1495" t="s">
        <v>3567</v>
      </c>
      <c r="N1030" s="49">
        <v>192753000</v>
      </c>
      <c r="O1030" s="1383" t="s">
        <v>3859</v>
      </c>
      <c r="P1030" s="644">
        <v>2000000</v>
      </c>
      <c r="Q1030" s="1054"/>
      <c r="R1030" s="644"/>
      <c r="S1030" s="48"/>
      <c r="T1030" s="1037"/>
      <c r="U1030" s="48"/>
      <c r="V1030" s="48"/>
    </row>
    <row r="1031" spans="7:22">
      <c r="G1031" s="48"/>
      <c r="H1031" s="48"/>
      <c r="I1031" s="48" t="s">
        <v>3867</v>
      </c>
      <c r="J1031" s="990">
        <v>30690000</v>
      </c>
      <c r="K1031" s="1532" t="s">
        <v>3566</v>
      </c>
      <c r="L1031" s="1495">
        <v>15000000</v>
      </c>
      <c r="M1031" s="1495"/>
      <c r="N1031" s="49"/>
      <c r="O1031" s="1383"/>
      <c r="P1031" s="644"/>
      <c r="Q1031" s="1054"/>
      <c r="R1031" s="644"/>
      <c r="S1031" s="1055"/>
      <c r="T1031" s="1037"/>
      <c r="U1031" s="1055"/>
      <c r="V1031" s="48"/>
    </row>
    <row r="1032" spans="7:22">
      <c r="G1032" s="48"/>
      <c r="H1032" s="48"/>
      <c r="I1032" s="1061" t="s">
        <v>3861</v>
      </c>
      <c r="J1032" s="990">
        <v>19530000</v>
      </c>
      <c r="K1032" s="1495" t="s">
        <v>3677</v>
      </c>
      <c r="L1032" s="49">
        <v>253000</v>
      </c>
      <c r="M1032" s="1495"/>
      <c r="N1032" s="49"/>
      <c r="O1032" s="644"/>
      <c r="P1032" s="644"/>
      <c r="Q1032" s="1054"/>
      <c r="R1032" s="644"/>
      <c r="S1032" s="48"/>
      <c r="T1032" s="1037"/>
      <c r="U1032" s="48"/>
      <c r="V1032" s="48"/>
    </row>
    <row r="1033" spans="7:22">
      <c r="G1033" s="48"/>
      <c r="H1033" s="48"/>
      <c r="I1033" s="1061" t="s">
        <v>3864</v>
      </c>
      <c r="J1033" s="990">
        <v>93000000</v>
      </c>
      <c r="K1033" s="1495" t="s">
        <v>3671</v>
      </c>
      <c r="L1033" s="49">
        <v>64000000</v>
      </c>
      <c r="M1033" s="1495"/>
      <c r="N1033" s="49"/>
      <c r="O1033" s="644"/>
      <c r="P1033" s="644"/>
      <c r="Q1033" s="1054"/>
      <c r="R1033" s="644"/>
      <c r="S1033" s="48"/>
      <c r="T1033" s="1037"/>
      <c r="U1033" s="48"/>
      <c r="V1033" s="48"/>
    </row>
    <row r="1034" spans="7:22">
      <c r="G1034" s="48"/>
      <c r="H1034" s="48"/>
      <c r="I1034" s="1061" t="s">
        <v>3865</v>
      </c>
      <c r="J1034" s="49">
        <v>55800000</v>
      </c>
      <c r="K1034" s="1532" t="s">
        <v>3404</v>
      </c>
      <c r="L1034" s="49">
        <v>100000</v>
      </c>
      <c r="M1034" s="1498"/>
      <c r="N1034" s="49"/>
      <c r="O1034" s="644"/>
      <c r="P1034" s="644"/>
      <c r="Q1034" s="1054"/>
      <c r="R1034" s="644"/>
      <c r="S1034" s="48"/>
      <c r="T1034" s="1037"/>
      <c r="U1034" s="48"/>
      <c r="V1034" s="48"/>
    </row>
    <row r="1035" spans="7:22">
      <c r="G1035" s="48"/>
      <c r="H1035" s="48"/>
      <c r="I1035" s="48"/>
      <c r="J1035" s="49"/>
      <c r="K1035" s="1495"/>
      <c r="L1035" s="49"/>
      <c r="M1035" s="1498"/>
      <c r="N1035" s="49"/>
      <c r="O1035" s="644"/>
      <c r="P1035" s="644"/>
      <c r="Q1035" s="644"/>
      <c r="R1035" s="644"/>
      <c r="S1035" s="48"/>
      <c r="T1035" s="1037"/>
      <c r="U1035" s="48"/>
      <c r="V1035" s="48"/>
    </row>
    <row r="1036" spans="7:22">
      <c r="G1036" s="48"/>
      <c r="H1036" s="48"/>
      <c r="I1036" s="48"/>
      <c r="J1036" s="49"/>
      <c r="K1036" s="1532"/>
      <c r="L1036" s="49"/>
      <c r="M1036" s="1498"/>
      <c r="N1036" s="49"/>
      <c r="O1036" s="644"/>
      <c r="P1036" s="644"/>
      <c r="Q1036" s="644"/>
      <c r="R1036" s="644"/>
      <c r="S1036" s="48"/>
      <c r="T1036" s="1037"/>
      <c r="U1036" s="48"/>
      <c r="V1036" s="48"/>
    </row>
    <row r="1037" spans="7:22">
      <c r="G1037" s="48"/>
      <c r="H1037" s="48"/>
      <c r="I1037" s="48"/>
      <c r="J1037" s="49"/>
      <c r="K1037" s="1495"/>
      <c r="L1037" s="49"/>
      <c r="M1037" s="1498"/>
      <c r="N1037" s="49"/>
      <c r="O1037" s="644"/>
      <c r="P1037" s="644"/>
      <c r="Q1037" s="644"/>
      <c r="R1037" s="644"/>
      <c r="S1037" s="48"/>
      <c r="T1037" s="1037"/>
      <c r="U1037" s="48"/>
      <c r="V1037" s="48"/>
    </row>
    <row r="1038" spans="7:22">
      <c r="G1038" s="48"/>
      <c r="H1038" s="48"/>
      <c r="I1038" s="48"/>
      <c r="J1038" s="49"/>
      <c r="K1038" s="1498"/>
      <c r="L1038" s="49"/>
      <c r="M1038" s="1498"/>
      <c r="N1038" s="49"/>
      <c r="O1038" s="644"/>
      <c r="P1038" s="644"/>
      <c r="Q1038" s="644"/>
      <c r="R1038" s="644"/>
      <c r="S1038" s="48"/>
      <c r="T1038" s="1037"/>
      <c r="U1038" s="48"/>
      <c r="V1038" s="48"/>
    </row>
    <row r="1039" spans="7:22">
      <c r="G1039" s="48"/>
      <c r="H1039" s="48"/>
      <c r="I1039" s="48"/>
      <c r="J1039" s="49"/>
      <c r="K1039" s="49"/>
      <c r="L1039" s="49"/>
      <c r="M1039" s="1498"/>
      <c r="N1039" s="49"/>
      <c r="O1039" s="644"/>
      <c r="P1039" s="644"/>
      <c r="Q1039" s="644"/>
      <c r="R1039" s="644"/>
      <c r="S1039" s="48"/>
      <c r="T1039" s="1037"/>
      <c r="U1039" s="48"/>
      <c r="V1039" s="48"/>
    </row>
    <row r="1040" spans="7:22">
      <c r="G1040" s="48"/>
      <c r="H1040" s="48"/>
      <c r="I1040" s="48"/>
      <c r="J1040" s="954">
        <f>SUM(J1029:J1037)</f>
        <v>260070000</v>
      </c>
      <c r="K1040" s="954"/>
      <c r="L1040" s="954">
        <f>SUM(L1029:L1039)</f>
        <v>91853000</v>
      </c>
      <c r="M1040" s="1498"/>
      <c r="N1040" s="954">
        <f>SUM(N1029:N1039)</f>
        <v>488753000</v>
      </c>
      <c r="O1040" s="644"/>
      <c r="P1040" s="969">
        <f>SUM(P1029:P1035)</f>
        <v>2630000</v>
      </c>
      <c r="Q1040" s="969"/>
      <c r="R1040" s="969">
        <f>SUM(R1029:R1035)</f>
        <v>2600000</v>
      </c>
      <c r="S1040" s="48"/>
      <c r="T1040" s="1037">
        <f>SUM(T1029:T1039)</f>
        <v>0</v>
      </c>
      <c r="U1040" s="48"/>
      <c r="V1040" s="48">
        <f>V1029</f>
        <v>0</v>
      </c>
    </row>
    <row r="1041" spans="7:20">
      <c r="T1041" s="1036"/>
    </row>
    <row r="1042" spans="7:20">
      <c r="T1042" s="1036"/>
    </row>
    <row r="1043" spans="7:20">
      <c r="T1043" s="1036"/>
    </row>
    <row r="1044" spans="7:20">
      <c r="T1044" s="1036"/>
    </row>
    <row r="1045" spans="7:20">
      <c r="T1045" s="1036"/>
    </row>
    <row r="1046" spans="7:20">
      <c r="I1046" s="946"/>
      <c r="M1046" s="1533" t="s">
        <v>3699</v>
      </c>
      <c r="O1046" s="1534" t="s">
        <v>3741</v>
      </c>
      <c r="P1046" s="939">
        <f>P1040-R1040</f>
        <v>30000</v>
      </c>
      <c r="S1046" s="946" t="s">
        <v>3848</v>
      </c>
      <c r="T1046" s="1036">
        <f>T1040-V1040</f>
        <v>0</v>
      </c>
    </row>
    <row r="1047" spans="7:20">
      <c r="G1047" s="1574" t="s">
        <v>3530</v>
      </c>
      <c r="H1047" s="1574"/>
      <c r="I1047" s="1574"/>
      <c r="J1047" s="3">
        <f>J1040+L1040</f>
        <v>351923000</v>
      </c>
      <c r="K1047" s="1009"/>
      <c r="L1047" s="3"/>
      <c r="M1047" s="1533" t="s">
        <v>3664</v>
      </c>
      <c r="N1047" s="1527"/>
      <c r="P1047" s="1512"/>
      <c r="T1047" s="1036"/>
    </row>
    <row r="1048" spans="7:20">
      <c r="G1048" s="1574" t="s">
        <v>3512</v>
      </c>
      <c r="H1048" s="1574"/>
      <c r="I1048" s="1574"/>
      <c r="J1048" s="3">
        <f>N1040-J1047</f>
        <v>136830000</v>
      </c>
      <c r="K1048" s="1009"/>
      <c r="L1048" s="3"/>
      <c r="Q1048" s="661"/>
      <c r="T1048" s="1036"/>
    </row>
    <row r="1049" spans="7:20">
      <c r="G1049" s="1574" t="s">
        <v>3531</v>
      </c>
      <c r="H1049" s="1574"/>
      <c r="I1049" s="1574"/>
      <c r="J1049" s="3">
        <f>T1046</f>
        <v>0</v>
      </c>
      <c r="Q1049" s="3"/>
      <c r="T1049" s="1036"/>
    </row>
    <row r="1064" spans="7:22">
      <c r="G1064" s="1008">
        <v>45954</v>
      </c>
      <c r="H1064" s="1169"/>
      <c r="I1064" s="1575" t="s">
        <v>3510</v>
      </c>
      <c r="J1064" s="1576"/>
      <c r="K1064" s="1575" t="s">
        <v>3509</v>
      </c>
      <c r="L1064" s="1576"/>
      <c r="M1064" s="1575" t="s">
        <v>3541</v>
      </c>
      <c r="N1064" s="1576"/>
      <c r="O1064" s="1577" t="s">
        <v>3598</v>
      </c>
      <c r="P1064" s="1578"/>
      <c r="Q1064" s="1579" t="s">
        <v>3599</v>
      </c>
      <c r="R1064" s="1580"/>
      <c r="S1064" s="1583" t="s">
        <v>3366</v>
      </c>
      <c r="T1064" s="1583"/>
      <c r="U1064" s="1583" t="s">
        <v>3366</v>
      </c>
      <c r="V1064" s="1583"/>
    </row>
    <row r="1065" spans="7:22">
      <c r="G1065" s="1000"/>
      <c r="H1065" s="1000"/>
      <c r="I1065" s="1060" t="s">
        <v>3871</v>
      </c>
      <c r="J1065" s="990">
        <v>60800000</v>
      </c>
      <c r="K1065" s="1532" t="s">
        <v>3874</v>
      </c>
      <c r="L1065" s="49">
        <v>1000000</v>
      </c>
      <c r="M1065" s="1495" t="s">
        <v>3870</v>
      </c>
      <c r="N1065" s="49">
        <v>136830000</v>
      </c>
      <c r="O1065" s="1383"/>
      <c r="P1065" s="644"/>
      <c r="Q1065" s="1063"/>
      <c r="R1065" s="644"/>
      <c r="S1065" s="1041"/>
      <c r="T1065" s="1037"/>
      <c r="U1065" s="1055"/>
      <c r="V1065" s="48"/>
    </row>
    <row r="1066" spans="7:22">
      <c r="G1066" s="1028"/>
      <c r="H1066" s="1028"/>
      <c r="I1066" s="1061" t="s">
        <v>3872</v>
      </c>
      <c r="J1066" s="990">
        <v>27300000</v>
      </c>
      <c r="K1066" s="1532" t="s">
        <v>3876</v>
      </c>
      <c r="L1066" s="1495">
        <v>3000000</v>
      </c>
      <c r="M1066" s="1495" t="s">
        <v>3875</v>
      </c>
      <c r="N1066" s="49">
        <v>64000000</v>
      </c>
      <c r="O1066" s="1383"/>
      <c r="P1066" s="644"/>
      <c r="Q1066" s="1054"/>
      <c r="R1066" s="644"/>
      <c r="S1066" s="48"/>
      <c r="T1066" s="1037"/>
      <c r="U1066" s="48"/>
      <c r="V1066" s="48"/>
    </row>
    <row r="1067" spans="7:22">
      <c r="G1067" s="48"/>
      <c r="H1067" s="48"/>
      <c r="I1067" s="48" t="s">
        <v>3873</v>
      </c>
      <c r="J1067" s="990">
        <v>30360000</v>
      </c>
      <c r="K1067" s="1532" t="s">
        <v>3403</v>
      </c>
      <c r="L1067" s="1495">
        <v>400000</v>
      </c>
      <c r="M1067" s="1495" t="s">
        <v>3877</v>
      </c>
      <c r="N1067" s="49">
        <v>24000000</v>
      </c>
      <c r="O1067" s="1383"/>
      <c r="P1067" s="644"/>
      <c r="Q1067" s="1054"/>
      <c r="R1067" s="644"/>
      <c r="S1067" s="1055"/>
      <c r="T1067" s="1037"/>
      <c r="U1067" s="1055"/>
      <c r="V1067" s="48"/>
    </row>
    <row r="1068" spans="7:22">
      <c r="G1068" s="48"/>
      <c r="H1068" s="48"/>
      <c r="I1068" s="1061" t="s">
        <v>3878</v>
      </c>
      <c r="J1068" s="990">
        <v>30000000</v>
      </c>
      <c r="K1068" s="1495" t="s">
        <v>3659</v>
      </c>
      <c r="L1068" s="49">
        <v>10000000</v>
      </c>
      <c r="M1068" s="1495" t="s">
        <v>3883</v>
      </c>
      <c r="N1068" s="49">
        <v>63000000</v>
      </c>
      <c r="O1068" s="644"/>
      <c r="P1068" s="644"/>
      <c r="Q1068" s="1054"/>
      <c r="R1068" s="644"/>
      <c r="S1068" s="48"/>
      <c r="T1068" s="1037"/>
      <c r="U1068" s="48"/>
      <c r="V1068" s="48"/>
    </row>
    <row r="1069" spans="7:22">
      <c r="G1069" s="48"/>
      <c r="H1069" s="48"/>
      <c r="I1069" s="1061" t="s">
        <v>3879</v>
      </c>
      <c r="J1069" s="990">
        <v>18400000</v>
      </c>
      <c r="K1069" s="1495" t="s">
        <v>3881</v>
      </c>
      <c r="L1069" s="49">
        <v>1800000</v>
      </c>
      <c r="M1069" s="1495"/>
      <c r="N1069" s="49"/>
      <c r="O1069" s="644"/>
      <c r="P1069" s="644"/>
      <c r="Q1069" s="1054"/>
      <c r="R1069" s="644"/>
      <c r="S1069" s="48"/>
      <c r="T1069" s="1037"/>
      <c r="U1069" s="48"/>
      <c r="V1069" s="48"/>
    </row>
    <row r="1070" spans="7:22">
      <c r="G1070" s="48"/>
      <c r="H1070" s="48"/>
      <c r="I1070" s="1061" t="s">
        <v>3880</v>
      </c>
      <c r="J1070" s="49">
        <v>30300000</v>
      </c>
      <c r="K1070" s="1532" t="s">
        <v>3532</v>
      </c>
      <c r="L1070" s="49">
        <v>1700000</v>
      </c>
      <c r="M1070" s="1498"/>
      <c r="N1070" s="49"/>
      <c r="O1070" s="644"/>
      <c r="P1070" s="644"/>
      <c r="Q1070" s="1054"/>
      <c r="R1070" s="644"/>
      <c r="S1070" s="48"/>
      <c r="T1070" s="1037"/>
      <c r="U1070" s="48"/>
      <c r="V1070" s="48"/>
    </row>
    <row r="1071" spans="7:22">
      <c r="G1071" s="48"/>
      <c r="H1071" s="48"/>
      <c r="I1071" s="48"/>
      <c r="J1071" s="49"/>
      <c r="K1071" s="1495" t="s">
        <v>3882</v>
      </c>
      <c r="L1071" s="49">
        <v>300000</v>
      </c>
      <c r="M1071" s="1498"/>
      <c r="N1071" s="49"/>
      <c r="O1071" s="644"/>
      <c r="P1071" s="644"/>
      <c r="Q1071" s="644"/>
      <c r="R1071" s="644"/>
      <c r="S1071" s="48"/>
      <c r="T1071" s="1037"/>
      <c r="U1071" s="48"/>
      <c r="V1071" s="48"/>
    </row>
    <row r="1072" spans="7:22">
      <c r="G1072" s="48"/>
      <c r="H1072" s="48"/>
      <c r="I1072" s="48"/>
      <c r="J1072" s="49"/>
      <c r="K1072" s="1532" t="s">
        <v>3404</v>
      </c>
      <c r="L1072" s="49">
        <v>1500000</v>
      </c>
      <c r="M1072" s="1498"/>
      <c r="N1072" s="49"/>
      <c r="O1072" s="644"/>
      <c r="P1072" s="644"/>
      <c r="Q1072" s="644"/>
      <c r="R1072" s="644"/>
      <c r="S1072" s="48"/>
      <c r="T1072" s="1037"/>
      <c r="U1072" s="48"/>
      <c r="V1072" s="48"/>
    </row>
    <row r="1073" spans="7:22">
      <c r="G1073" s="48"/>
      <c r="H1073" s="48"/>
      <c r="I1073" s="48"/>
      <c r="J1073" s="49"/>
      <c r="K1073" s="1495"/>
      <c r="L1073" s="49"/>
      <c r="M1073" s="1498"/>
      <c r="N1073" s="49"/>
      <c r="O1073" s="644"/>
      <c r="P1073" s="644"/>
      <c r="Q1073" s="644"/>
      <c r="R1073" s="644"/>
      <c r="S1073" s="48"/>
      <c r="T1073" s="1037"/>
      <c r="U1073" s="48"/>
      <c r="V1073" s="48"/>
    </row>
    <row r="1074" spans="7:22">
      <c r="G1074" s="48"/>
      <c r="H1074" s="48"/>
      <c r="I1074" s="48"/>
      <c r="J1074" s="49"/>
      <c r="K1074" s="1498"/>
      <c r="L1074" s="49"/>
      <c r="M1074" s="1498"/>
      <c r="N1074" s="49"/>
      <c r="O1074" s="644"/>
      <c r="P1074" s="644"/>
      <c r="Q1074" s="644"/>
      <c r="R1074" s="644"/>
      <c r="S1074" s="48"/>
      <c r="T1074" s="1037"/>
      <c r="U1074" s="48"/>
      <c r="V1074" s="48"/>
    </row>
    <row r="1075" spans="7:22">
      <c r="G1075" s="48"/>
      <c r="H1075" s="48"/>
      <c r="I1075" s="48"/>
      <c r="J1075" s="49"/>
      <c r="K1075" s="49"/>
      <c r="L1075" s="49"/>
      <c r="M1075" s="1498"/>
      <c r="N1075" s="49"/>
      <c r="O1075" s="644"/>
      <c r="P1075" s="644"/>
      <c r="Q1075" s="644"/>
      <c r="R1075" s="644"/>
      <c r="S1075" s="48"/>
      <c r="T1075" s="1037"/>
      <c r="U1075" s="48"/>
      <c r="V1075" s="48"/>
    </row>
    <row r="1076" spans="7:22">
      <c r="G1076" s="48"/>
      <c r="H1076" s="48"/>
      <c r="I1076" s="48"/>
      <c r="J1076" s="954">
        <f>SUM(J1065:J1073)</f>
        <v>197160000</v>
      </c>
      <c r="K1076" s="954"/>
      <c r="L1076" s="954">
        <f>SUM(L1065:L1075)</f>
        <v>19700000</v>
      </c>
      <c r="M1076" s="1498"/>
      <c r="N1076" s="954">
        <f>SUM(N1065:N1075)</f>
        <v>287830000</v>
      </c>
      <c r="O1076" s="644"/>
      <c r="P1076" s="969">
        <f>SUM(P1065:P1071)</f>
        <v>0</v>
      </c>
      <c r="Q1076" s="969"/>
      <c r="R1076" s="969">
        <f>SUM(R1065:R1071)</f>
        <v>0</v>
      </c>
      <c r="S1076" s="48"/>
      <c r="T1076" s="1037">
        <f>SUM(T1065:T1075)</f>
        <v>0</v>
      </c>
      <c r="U1076" s="48"/>
      <c r="V1076" s="48">
        <f>V1065</f>
        <v>0</v>
      </c>
    </row>
    <row r="1077" spans="7:22">
      <c r="T1077" s="1036"/>
    </row>
    <row r="1078" spans="7:22">
      <c r="T1078" s="1036"/>
    </row>
    <row r="1079" spans="7:22">
      <c r="T1079" s="1036"/>
    </row>
    <row r="1080" spans="7:22">
      <c r="T1080" s="1036"/>
    </row>
    <row r="1081" spans="7:22">
      <c r="T1081" s="1036"/>
    </row>
    <row r="1082" spans="7:22">
      <c r="I1082" s="946"/>
      <c r="M1082" s="1533" t="s">
        <v>3699</v>
      </c>
      <c r="O1082" s="1534" t="s">
        <v>3741</v>
      </c>
      <c r="P1082" s="939">
        <f>P1076-R1076</f>
        <v>0</v>
      </c>
      <c r="S1082" s="946" t="s">
        <v>3848</v>
      </c>
      <c r="T1082" s="1036">
        <f>T1076-V1076</f>
        <v>0</v>
      </c>
    </row>
    <row r="1083" spans="7:22">
      <c r="G1083" s="1574" t="s">
        <v>3530</v>
      </c>
      <c r="H1083" s="1574"/>
      <c r="I1083" s="1574"/>
      <c r="J1083" s="3">
        <f>J1076+L1076</f>
        <v>216860000</v>
      </c>
      <c r="K1083" s="1009"/>
      <c r="L1083" s="3"/>
      <c r="M1083" s="1533" t="s">
        <v>3664</v>
      </c>
      <c r="N1083" s="1527"/>
      <c r="P1083" s="1512"/>
      <c r="T1083" s="1036"/>
    </row>
    <row r="1084" spans="7:22">
      <c r="G1084" s="1574" t="s">
        <v>3512</v>
      </c>
      <c r="H1084" s="1574"/>
      <c r="I1084" s="1574"/>
      <c r="J1084" s="3">
        <f>N1076-J1083</f>
        <v>70970000</v>
      </c>
      <c r="K1084" s="1009"/>
      <c r="L1084" s="3"/>
      <c r="Q1084" s="661"/>
      <c r="T1084" s="1036"/>
    </row>
    <row r="1085" spans="7:22">
      <c r="G1085" s="1574" t="s">
        <v>3531</v>
      </c>
      <c r="H1085" s="1574"/>
      <c r="I1085" s="1574"/>
      <c r="J1085" s="3">
        <f>T1082</f>
        <v>0</v>
      </c>
      <c r="Q1085" s="3"/>
      <c r="T1085" s="1036"/>
    </row>
    <row r="1098" spans="7:22">
      <c r="G1098" s="1008">
        <v>45955</v>
      </c>
      <c r="H1098" s="1169"/>
      <c r="I1098" s="1575" t="s">
        <v>3510</v>
      </c>
      <c r="J1098" s="1576"/>
      <c r="K1098" s="1575" t="s">
        <v>3509</v>
      </c>
      <c r="L1098" s="1576"/>
      <c r="M1098" s="1575" t="s">
        <v>3541</v>
      </c>
      <c r="N1098" s="1576"/>
      <c r="O1098" s="1577" t="s">
        <v>3598</v>
      </c>
      <c r="P1098" s="1578"/>
      <c r="Q1098" s="1579" t="s">
        <v>3599</v>
      </c>
      <c r="R1098" s="1580"/>
      <c r="S1098" s="1583" t="s">
        <v>3366</v>
      </c>
      <c r="T1098" s="1583"/>
      <c r="U1098" s="1583" t="s">
        <v>3366</v>
      </c>
      <c r="V1098" s="1583"/>
    </row>
    <row r="1099" spans="7:22">
      <c r="G1099" s="1000"/>
      <c r="H1099" s="1000"/>
      <c r="I1099" s="1060"/>
      <c r="J1099" s="990"/>
      <c r="K1099" s="1532" t="s">
        <v>3640</v>
      </c>
      <c r="L1099" s="49">
        <v>1900000</v>
      </c>
      <c r="M1099" s="1495" t="s">
        <v>3886</v>
      </c>
      <c r="N1099" s="49">
        <v>70000000</v>
      </c>
      <c r="O1099" s="1383" t="s">
        <v>3889</v>
      </c>
      <c r="P1099" s="644">
        <v>500000</v>
      </c>
      <c r="Q1099" s="1063" t="s">
        <v>3607</v>
      </c>
      <c r="R1099" s="644">
        <v>2000000</v>
      </c>
      <c r="S1099" s="1041"/>
      <c r="T1099" s="1037"/>
      <c r="U1099" s="1055"/>
      <c r="V1099" s="48"/>
    </row>
    <row r="1100" spans="7:22">
      <c r="G1100" s="1028"/>
      <c r="H1100" s="1028"/>
      <c r="I1100" s="1061"/>
      <c r="J1100" s="990"/>
      <c r="K1100" s="1532" t="s">
        <v>3885</v>
      </c>
      <c r="L1100" s="1495">
        <v>13000000</v>
      </c>
      <c r="M1100" s="1495" t="s">
        <v>3794</v>
      </c>
      <c r="N1100" s="49">
        <v>6000000</v>
      </c>
      <c r="O1100" s="1383" t="s">
        <v>3888</v>
      </c>
      <c r="P1100" s="644">
        <v>1000000</v>
      </c>
      <c r="Q1100" s="1054"/>
      <c r="R1100" s="644"/>
      <c r="S1100" s="48"/>
      <c r="T1100" s="1037"/>
      <c r="U1100" s="48"/>
      <c r="V1100" s="48"/>
    </row>
    <row r="1101" spans="7:22">
      <c r="G1101" s="48"/>
      <c r="H1101" s="48"/>
      <c r="I1101" s="48"/>
      <c r="J1101" s="990"/>
      <c r="K1101" s="1532" t="s">
        <v>3884</v>
      </c>
      <c r="L1101" s="1495">
        <v>11000000</v>
      </c>
      <c r="M1101" s="1495" t="s">
        <v>3887</v>
      </c>
      <c r="N1101" s="49">
        <v>2000000</v>
      </c>
      <c r="O1101" s="1383" t="s">
        <v>3890</v>
      </c>
      <c r="P1101" s="644">
        <v>760000</v>
      </c>
      <c r="Q1101" s="1054"/>
      <c r="R1101" s="644"/>
      <c r="S1101" s="1055"/>
      <c r="T1101" s="1037"/>
      <c r="U1101" s="1055"/>
      <c r="V1101" s="48"/>
    </row>
    <row r="1102" spans="7:22">
      <c r="G1102" s="48"/>
      <c r="H1102" s="48"/>
      <c r="I1102" s="1061"/>
      <c r="J1102" s="990"/>
      <c r="K1102" s="1495" t="s">
        <v>3607</v>
      </c>
      <c r="L1102" s="49">
        <v>4000000</v>
      </c>
      <c r="M1102" s="1495"/>
      <c r="N1102" s="49"/>
      <c r="O1102" s="644"/>
      <c r="P1102" s="644"/>
      <c r="Q1102" s="1054"/>
      <c r="R1102" s="644"/>
      <c r="S1102" s="48"/>
      <c r="T1102" s="1037"/>
      <c r="U1102" s="48"/>
      <c r="V1102" s="48"/>
    </row>
    <row r="1103" spans="7:22">
      <c r="G1103" s="48"/>
      <c r="H1103" s="48"/>
      <c r="I1103" s="1061"/>
      <c r="J1103" s="990"/>
      <c r="K1103" s="1495" t="s">
        <v>3808</v>
      </c>
      <c r="L1103" s="49">
        <v>5000000</v>
      </c>
      <c r="M1103" s="1495"/>
      <c r="N1103" s="49"/>
      <c r="O1103" s="644"/>
      <c r="P1103" s="644"/>
      <c r="Q1103" s="1054"/>
      <c r="R1103" s="644"/>
      <c r="S1103" s="48"/>
      <c r="T1103" s="1037"/>
      <c r="U1103" s="48"/>
      <c r="V1103" s="48"/>
    </row>
    <row r="1104" spans="7:22">
      <c r="G1104" s="48"/>
      <c r="H1104" s="48"/>
      <c r="I1104" s="1061"/>
      <c r="J1104" s="49"/>
      <c r="K1104" s="1532"/>
      <c r="L1104" s="49"/>
      <c r="M1104" s="1498"/>
      <c r="N1104" s="49"/>
      <c r="O1104" s="644"/>
      <c r="P1104" s="644"/>
      <c r="Q1104" s="1054"/>
      <c r="R1104" s="644"/>
      <c r="S1104" s="48"/>
      <c r="T1104" s="1037"/>
      <c r="U1104" s="48"/>
      <c r="V1104" s="48"/>
    </row>
    <row r="1105" spans="7:22">
      <c r="G1105" s="48"/>
      <c r="H1105" s="48"/>
      <c r="I1105" s="48"/>
      <c r="J1105" s="49"/>
      <c r="K1105" s="1495"/>
      <c r="L1105" s="49"/>
      <c r="M1105" s="1498"/>
      <c r="N1105" s="49"/>
      <c r="O1105" s="644"/>
      <c r="P1105" s="644"/>
      <c r="Q1105" s="644"/>
      <c r="R1105" s="644"/>
      <c r="S1105" s="48"/>
      <c r="T1105" s="1037"/>
      <c r="U1105" s="48"/>
      <c r="V1105" s="48"/>
    </row>
    <row r="1106" spans="7:22">
      <c r="G1106" s="48"/>
      <c r="H1106" s="48"/>
      <c r="I1106" s="48"/>
      <c r="J1106" s="49"/>
      <c r="K1106" s="1532"/>
      <c r="L1106" s="49"/>
      <c r="M1106" s="1498"/>
      <c r="N1106" s="49"/>
      <c r="O1106" s="644"/>
      <c r="P1106" s="644"/>
      <c r="Q1106" s="644"/>
      <c r="R1106" s="644"/>
      <c r="S1106" s="48"/>
      <c r="T1106" s="1037"/>
      <c r="U1106" s="48"/>
      <c r="V1106" s="48"/>
    </row>
    <row r="1107" spans="7:22">
      <c r="G1107" s="48"/>
      <c r="H1107" s="48"/>
      <c r="I1107" s="48"/>
      <c r="J1107" s="49"/>
      <c r="K1107" s="1495"/>
      <c r="L1107" s="49"/>
      <c r="M1107" s="1498"/>
      <c r="N1107" s="49"/>
      <c r="O1107" s="644"/>
      <c r="P1107" s="644"/>
      <c r="Q1107" s="644"/>
      <c r="R1107" s="644"/>
      <c r="S1107" s="48"/>
      <c r="T1107" s="1037"/>
      <c r="U1107" s="48"/>
      <c r="V1107" s="48"/>
    </row>
    <row r="1108" spans="7:22">
      <c r="G1108" s="48"/>
      <c r="H1108" s="48"/>
      <c r="I1108" s="48"/>
      <c r="J1108" s="49"/>
      <c r="K1108" s="1498"/>
      <c r="L1108" s="49"/>
      <c r="M1108" s="1498"/>
      <c r="N1108" s="49"/>
      <c r="O1108" s="644"/>
      <c r="P1108" s="644"/>
      <c r="Q1108" s="644"/>
      <c r="R1108" s="644"/>
      <c r="S1108" s="48"/>
      <c r="T1108" s="1037"/>
      <c r="U1108" s="48"/>
      <c r="V1108" s="48"/>
    </row>
    <row r="1109" spans="7:22">
      <c r="G1109" s="48"/>
      <c r="H1109" s="48"/>
      <c r="I1109" s="48"/>
      <c r="J1109" s="49"/>
      <c r="K1109" s="49"/>
      <c r="L1109" s="49"/>
      <c r="M1109" s="1498"/>
      <c r="N1109" s="49"/>
      <c r="O1109" s="644"/>
      <c r="P1109" s="644"/>
      <c r="Q1109" s="644"/>
      <c r="R1109" s="644"/>
      <c r="S1109" s="48"/>
      <c r="T1109" s="1037"/>
      <c r="U1109" s="48"/>
      <c r="V1109" s="48"/>
    </row>
    <row r="1110" spans="7:22">
      <c r="G1110" s="48"/>
      <c r="H1110" s="48"/>
      <c r="I1110" s="48"/>
      <c r="J1110" s="954">
        <f>SUM(J1099:J1107)</f>
        <v>0</v>
      </c>
      <c r="K1110" s="954"/>
      <c r="L1110" s="954">
        <f>SUM(L1099:L1109)</f>
        <v>34900000</v>
      </c>
      <c r="M1110" s="1498"/>
      <c r="N1110" s="954">
        <f>SUM(N1099:N1109)</f>
        <v>78000000</v>
      </c>
      <c r="O1110" s="644"/>
      <c r="P1110" s="969">
        <f>SUM(P1099:P1105)</f>
        <v>2260000</v>
      </c>
      <c r="Q1110" s="969"/>
      <c r="R1110" s="969">
        <f>SUM(R1099:R1105)</f>
        <v>2000000</v>
      </c>
      <c r="S1110" s="48"/>
      <c r="T1110" s="1037">
        <f>SUM(T1099:T1109)</f>
        <v>0</v>
      </c>
      <c r="U1110" s="48"/>
      <c r="V1110" s="48">
        <f>V1099</f>
        <v>0</v>
      </c>
    </row>
    <row r="1111" spans="7:22">
      <c r="T1111" s="1036"/>
    </row>
    <row r="1112" spans="7:22">
      <c r="T1112" s="1036"/>
    </row>
    <row r="1113" spans="7:22">
      <c r="T1113" s="1036"/>
    </row>
    <row r="1114" spans="7:22">
      <c r="T1114" s="1036"/>
    </row>
    <row r="1115" spans="7:22">
      <c r="T1115" s="1036"/>
    </row>
    <row r="1116" spans="7:22">
      <c r="I1116" s="946"/>
      <c r="M1116" s="1533" t="s">
        <v>3699</v>
      </c>
      <c r="O1116" s="1534" t="s">
        <v>3741</v>
      </c>
      <c r="P1116" s="939">
        <f>P1110-R1110</f>
        <v>260000</v>
      </c>
      <c r="S1116" s="946" t="s">
        <v>3848</v>
      </c>
      <c r="T1116" s="1036">
        <f>T1110-V1110</f>
        <v>0</v>
      </c>
    </row>
    <row r="1117" spans="7:22">
      <c r="G1117" s="1574" t="s">
        <v>3530</v>
      </c>
      <c r="H1117" s="1574"/>
      <c r="I1117" s="1574"/>
      <c r="J1117" s="3">
        <f>J1110+L1110</f>
        <v>34900000</v>
      </c>
      <c r="K1117" s="1009"/>
      <c r="L1117" s="3"/>
      <c r="M1117" s="1533" t="s">
        <v>3664</v>
      </c>
      <c r="N1117" s="1527"/>
      <c r="P1117" s="1512"/>
      <c r="T1117" s="1036"/>
    </row>
    <row r="1118" spans="7:22">
      <c r="G1118" s="1574" t="s">
        <v>3512</v>
      </c>
      <c r="H1118" s="1574"/>
      <c r="I1118" s="1574"/>
      <c r="J1118" s="3">
        <f>N1110-J1117</f>
        <v>43100000</v>
      </c>
      <c r="K1118" s="1009"/>
      <c r="L1118" s="3"/>
      <c r="Q1118" s="661"/>
      <c r="T1118" s="1036"/>
    </row>
    <row r="1119" spans="7:22">
      <c r="G1119" s="1574" t="s">
        <v>3531</v>
      </c>
      <c r="H1119" s="1574"/>
      <c r="I1119" s="1574"/>
      <c r="J1119" s="3">
        <f>T1116</f>
        <v>0</v>
      </c>
      <c r="Q1119" s="3"/>
      <c r="T1119" s="1036"/>
    </row>
    <row r="1120" spans="7:22">
      <c r="G1120" s="1586" t="s">
        <v>3891</v>
      </c>
      <c r="H1120" s="1586"/>
      <c r="I1120" s="1586"/>
      <c r="J1120" s="922">
        <v>600000</v>
      </c>
    </row>
    <row r="1135" spans="7:22">
      <c r="G1135" s="1008">
        <v>45957</v>
      </c>
      <c r="H1135" s="1169"/>
      <c r="I1135" s="1575" t="s">
        <v>3510</v>
      </c>
      <c r="J1135" s="1576"/>
      <c r="K1135" s="1575" t="s">
        <v>3509</v>
      </c>
      <c r="L1135" s="1576"/>
      <c r="M1135" s="1575" t="s">
        <v>3541</v>
      </c>
      <c r="N1135" s="1576"/>
      <c r="O1135" s="1577" t="s">
        <v>3598</v>
      </c>
      <c r="P1135" s="1578"/>
      <c r="Q1135" s="1579" t="s">
        <v>3599</v>
      </c>
      <c r="R1135" s="1580"/>
      <c r="S1135" s="1583" t="s">
        <v>3366</v>
      </c>
      <c r="T1135" s="1583"/>
      <c r="U1135" s="1583" t="s">
        <v>3366</v>
      </c>
      <c r="V1135" s="1583"/>
    </row>
    <row r="1136" spans="7:22">
      <c r="G1136" s="1000"/>
      <c r="H1136" s="1000"/>
      <c r="I1136" s="1060" t="s">
        <v>3898</v>
      </c>
      <c r="J1136" s="990">
        <v>9024000</v>
      </c>
      <c r="K1136" s="1532" t="s">
        <v>3892</v>
      </c>
      <c r="L1136" s="49">
        <v>14500000</v>
      </c>
      <c r="M1136" s="1495" t="s">
        <v>3512</v>
      </c>
      <c r="N1136" s="49">
        <v>30000000</v>
      </c>
      <c r="O1136" s="1383" t="s">
        <v>3512</v>
      </c>
      <c r="P1136" s="644">
        <v>3200000</v>
      </c>
      <c r="Q1136" s="1063" t="s">
        <v>3895</v>
      </c>
      <c r="R1136" s="644">
        <v>3000000</v>
      </c>
      <c r="S1136" s="1041"/>
      <c r="T1136" s="1037"/>
      <c r="U1136" s="1055"/>
      <c r="V1136" s="48"/>
    </row>
    <row r="1137" spans="7:22">
      <c r="G1137" s="1028"/>
      <c r="H1137" s="1028"/>
      <c r="I1137" s="1061"/>
      <c r="J1137" s="990"/>
      <c r="K1137" s="1532" t="s">
        <v>3808</v>
      </c>
      <c r="L1137" s="1495">
        <v>6500000</v>
      </c>
      <c r="M1137" s="1495" t="s">
        <v>3893</v>
      </c>
      <c r="N1137" s="49">
        <v>5000000</v>
      </c>
      <c r="O1137" s="1383" t="s">
        <v>3899</v>
      </c>
      <c r="P1137" s="644">
        <v>4000000</v>
      </c>
      <c r="Q1137" s="1063" t="s">
        <v>3895</v>
      </c>
      <c r="R1137" s="644">
        <v>4000000</v>
      </c>
      <c r="S1137" s="48"/>
      <c r="T1137" s="1037"/>
      <c r="U1137" s="48"/>
      <c r="V1137" s="48"/>
    </row>
    <row r="1138" spans="7:22">
      <c r="G1138" s="48"/>
      <c r="H1138" s="48"/>
      <c r="I1138" s="48"/>
      <c r="J1138" s="990"/>
      <c r="K1138" s="1532" t="s">
        <v>3594</v>
      </c>
      <c r="L1138" s="1495">
        <v>3200000</v>
      </c>
      <c r="M1138" s="1495" t="s">
        <v>3894</v>
      </c>
      <c r="N1138" s="49">
        <v>24000000</v>
      </c>
      <c r="O1138" s="1383"/>
      <c r="P1138" s="644"/>
      <c r="Q1138" s="1064" t="s">
        <v>3900</v>
      </c>
      <c r="R1138" s="644">
        <v>60000</v>
      </c>
      <c r="S1138" s="1055"/>
      <c r="T1138" s="1037"/>
      <c r="U1138" s="1055"/>
      <c r="V1138" s="48"/>
    </row>
    <row r="1139" spans="7:22">
      <c r="G1139" s="48"/>
      <c r="H1139" s="48"/>
      <c r="I1139" s="1061"/>
      <c r="J1139" s="990"/>
      <c r="K1139" s="1495" t="s">
        <v>3895</v>
      </c>
      <c r="L1139" s="49">
        <v>3400000</v>
      </c>
      <c r="M1139" s="1495" t="s">
        <v>3896</v>
      </c>
      <c r="N1139" s="49">
        <v>1200000</v>
      </c>
      <c r="O1139" s="644"/>
      <c r="P1139" s="644"/>
      <c r="Q1139" s="1064" t="s">
        <v>3901</v>
      </c>
      <c r="R1139" s="644">
        <v>42000</v>
      </c>
      <c r="S1139" s="48"/>
      <c r="T1139" s="1037"/>
      <c r="U1139" s="48"/>
      <c r="V1139" s="48"/>
    </row>
    <row r="1140" spans="7:22">
      <c r="G1140" s="48"/>
      <c r="H1140" s="48"/>
      <c r="I1140" s="1061"/>
      <c r="J1140" s="990"/>
      <c r="K1140" s="1495" t="s">
        <v>3677</v>
      </c>
      <c r="L1140" s="49">
        <v>233000</v>
      </c>
      <c r="M1140" s="1495"/>
      <c r="N1140" s="49">
        <v>14000000</v>
      </c>
      <c r="O1140" s="644"/>
      <c r="P1140" s="644"/>
      <c r="Q1140" s="1064" t="s">
        <v>3901</v>
      </c>
      <c r="R1140" s="644">
        <v>42000</v>
      </c>
      <c r="S1140" s="48"/>
      <c r="T1140" s="1037"/>
      <c r="U1140" s="48"/>
      <c r="V1140" s="48"/>
    </row>
    <row r="1141" spans="7:22">
      <c r="G1141" s="48"/>
      <c r="H1141" s="48"/>
      <c r="I1141" s="1061"/>
      <c r="J1141" s="49"/>
      <c r="K1141" s="1532"/>
      <c r="L1141" s="49"/>
      <c r="M1141" s="1498" t="s">
        <v>3897</v>
      </c>
      <c r="N1141" s="49">
        <v>194500000</v>
      </c>
      <c r="O1141" s="644"/>
      <c r="P1141" s="644"/>
      <c r="Q1141" s="1054"/>
      <c r="R1141" s="644"/>
      <c r="S1141" s="48"/>
      <c r="T1141" s="1037"/>
      <c r="U1141" s="48"/>
      <c r="V1141" s="48"/>
    </row>
    <row r="1142" spans="7:22">
      <c r="G1142" s="48"/>
      <c r="H1142" s="48"/>
      <c r="I1142" s="48"/>
      <c r="J1142" s="49"/>
      <c r="K1142" s="1495"/>
      <c r="L1142" s="49"/>
      <c r="M1142" s="1498"/>
      <c r="N1142" s="49"/>
      <c r="O1142" s="644"/>
      <c r="P1142" s="644"/>
      <c r="Q1142" s="644"/>
      <c r="R1142" s="644"/>
      <c r="S1142" s="48"/>
      <c r="T1142" s="1037"/>
      <c r="U1142" s="48"/>
      <c r="V1142" s="48"/>
    </row>
    <row r="1143" spans="7:22">
      <c r="G1143" s="48"/>
      <c r="H1143" s="48"/>
      <c r="I1143" s="48"/>
      <c r="J1143" s="49"/>
      <c r="K1143" s="1532"/>
      <c r="L1143" s="49"/>
      <c r="M1143" s="1498"/>
      <c r="N1143" s="49"/>
      <c r="O1143" s="644"/>
      <c r="P1143" s="644"/>
      <c r="Q1143" s="644"/>
      <c r="R1143" s="644"/>
      <c r="S1143" s="48"/>
      <c r="T1143" s="1037"/>
      <c r="U1143" s="48"/>
      <c r="V1143" s="48"/>
    </row>
    <row r="1144" spans="7:22">
      <c r="G1144" s="48"/>
      <c r="H1144" s="48"/>
      <c r="I1144" s="48"/>
      <c r="J1144" s="49"/>
      <c r="K1144" s="1495"/>
      <c r="L1144" s="49"/>
      <c r="M1144" s="1498"/>
      <c r="N1144" s="49"/>
      <c r="O1144" s="644"/>
      <c r="P1144" s="644"/>
      <c r="Q1144" s="644"/>
      <c r="R1144" s="644"/>
      <c r="S1144" s="48"/>
      <c r="T1144" s="1037"/>
      <c r="U1144" s="48"/>
      <c r="V1144" s="48"/>
    </row>
    <row r="1145" spans="7:22">
      <c r="G1145" s="48"/>
      <c r="H1145" s="48"/>
      <c r="I1145" s="48"/>
      <c r="J1145" s="49"/>
      <c r="K1145" s="1498"/>
      <c r="L1145" s="49"/>
      <c r="M1145" s="1498"/>
      <c r="N1145" s="49"/>
      <c r="O1145" s="644"/>
      <c r="P1145" s="644"/>
      <c r="Q1145" s="644"/>
      <c r="R1145" s="644"/>
      <c r="S1145" s="48"/>
      <c r="T1145" s="1037"/>
      <c r="U1145" s="48"/>
      <c r="V1145" s="48"/>
    </row>
    <row r="1146" spans="7:22">
      <c r="G1146" s="48"/>
      <c r="H1146" s="48"/>
      <c r="I1146" s="48"/>
      <c r="J1146" s="49"/>
      <c r="K1146" s="49"/>
      <c r="L1146" s="49"/>
      <c r="M1146" s="1498"/>
      <c r="N1146" s="49"/>
      <c r="O1146" s="644"/>
      <c r="P1146" s="644"/>
      <c r="Q1146" s="644"/>
      <c r="R1146" s="644"/>
      <c r="S1146" s="48"/>
      <c r="T1146" s="1037"/>
      <c r="U1146" s="48"/>
      <c r="V1146" s="48"/>
    </row>
    <row r="1147" spans="7:22">
      <c r="G1147" s="48"/>
      <c r="H1147" s="48"/>
      <c r="I1147" s="48"/>
      <c r="J1147" s="954">
        <f>SUM(J1136:J1144)</f>
        <v>9024000</v>
      </c>
      <c r="K1147" s="954"/>
      <c r="L1147" s="954">
        <f>SUM(L1136:L1146)</f>
        <v>27833000</v>
      </c>
      <c r="M1147" s="1498"/>
      <c r="N1147" s="954">
        <f>SUM(N1136:N1146)</f>
        <v>268700000</v>
      </c>
      <c r="O1147" s="644"/>
      <c r="P1147" s="969">
        <f>SUM(P1136:P1142)</f>
        <v>7200000</v>
      </c>
      <c r="Q1147" s="969"/>
      <c r="R1147" s="969">
        <f>SUM(R1136:R1142)</f>
        <v>7144000</v>
      </c>
      <c r="S1147" s="48"/>
      <c r="T1147" s="1037">
        <f>SUM(T1136:T1146)</f>
        <v>0</v>
      </c>
      <c r="U1147" s="48"/>
      <c r="V1147" s="48">
        <f>V1136</f>
        <v>0</v>
      </c>
    </row>
    <row r="1148" spans="7:22">
      <c r="T1148" s="1036"/>
    </row>
    <row r="1149" spans="7:22">
      <c r="T1149" s="1036"/>
    </row>
    <row r="1150" spans="7:22">
      <c r="T1150" s="1036"/>
    </row>
    <row r="1151" spans="7:22">
      <c r="T1151" s="1036"/>
    </row>
    <row r="1152" spans="7:22">
      <c r="T1152" s="1036"/>
    </row>
    <row r="1153" spans="7:20">
      <c r="I1153" s="946"/>
      <c r="M1153" s="1533" t="s">
        <v>3699</v>
      </c>
      <c r="N1153" s="3">
        <v>196700000</v>
      </c>
      <c r="O1153" s="1534" t="s">
        <v>3741</v>
      </c>
      <c r="P1153" s="939">
        <f>P1147-R1147</f>
        <v>56000</v>
      </c>
      <c r="S1153" s="1068" t="s">
        <v>3848</v>
      </c>
      <c r="T1153" s="1036">
        <f>T1147-V1147</f>
        <v>0</v>
      </c>
    </row>
    <row r="1154" spans="7:20">
      <c r="G1154" s="1574" t="s">
        <v>3530</v>
      </c>
      <c r="H1154" s="1574"/>
      <c r="I1154" s="1574"/>
      <c r="J1154" s="3">
        <f>J1147+L1147</f>
        <v>36857000</v>
      </c>
      <c r="K1154" s="1009"/>
      <c r="L1154" s="3"/>
      <c r="M1154" s="1533" t="s">
        <v>3664</v>
      </c>
      <c r="N1154" s="1527">
        <f>N1153*0.99</f>
        <v>194733000</v>
      </c>
      <c r="P1154" s="1512"/>
      <c r="T1154" s="1036"/>
    </row>
    <row r="1155" spans="7:20">
      <c r="G1155" s="1574" t="s">
        <v>3512</v>
      </c>
      <c r="H1155" s="1574"/>
      <c r="I1155" s="1574"/>
      <c r="J1155" s="3">
        <f>N1147-J1154</f>
        <v>231843000</v>
      </c>
      <c r="K1155" s="1009"/>
      <c r="L1155" s="3"/>
      <c r="M1155" s="1528" t="s">
        <v>3677</v>
      </c>
      <c r="N1155" s="3">
        <v>233000</v>
      </c>
      <c r="Q1155" s="661"/>
      <c r="T1155" s="1036"/>
    </row>
    <row r="1156" spans="7:20">
      <c r="G1156" s="1574" t="s">
        <v>3531</v>
      </c>
      <c r="H1156" s="1574"/>
      <c r="I1156" s="1574"/>
      <c r="J1156" s="3">
        <f>T1153</f>
        <v>0</v>
      </c>
      <c r="N1156" s="3">
        <f>N1154-N1155</f>
        <v>194500000</v>
      </c>
      <c r="Q1156" s="3"/>
      <c r="T1156" s="1036"/>
    </row>
    <row r="1157" spans="7:20">
      <c r="G1157" s="1586" t="s">
        <v>3891</v>
      </c>
      <c r="H1157" s="1586"/>
      <c r="I1157" s="1586"/>
      <c r="J1157" s="922"/>
      <c r="T1157" s="1036"/>
    </row>
    <row r="1158" spans="7:20">
      <c r="N1158" s="922"/>
    </row>
    <row r="1170" spans="7:22">
      <c r="G1170" s="1008">
        <v>45958</v>
      </c>
      <c r="H1170" s="1169"/>
      <c r="I1170" s="1575" t="s">
        <v>3510</v>
      </c>
      <c r="J1170" s="1576"/>
      <c r="K1170" s="1575" t="s">
        <v>3509</v>
      </c>
      <c r="L1170" s="1576"/>
      <c r="M1170" s="1575" t="s">
        <v>3541</v>
      </c>
      <c r="N1170" s="1576"/>
      <c r="O1170" s="1577" t="s">
        <v>3598</v>
      </c>
      <c r="P1170" s="1578"/>
      <c r="Q1170" s="1579" t="s">
        <v>3599</v>
      </c>
      <c r="R1170" s="1580"/>
      <c r="S1170" s="1583" t="s">
        <v>3366</v>
      </c>
      <c r="T1170" s="1583"/>
      <c r="U1170" s="1583" t="s">
        <v>3366</v>
      </c>
      <c r="V1170" s="1583"/>
    </row>
    <row r="1171" spans="7:22">
      <c r="G1171" s="1000"/>
      <c r="H1171" s="1000"/>
      <c r="I1171" s="1073" t="s">
        <v>3910</v>
      </c>
      <c r="J1171" s="990">
        <v>30360000</v>
      </c>
      <c r="K1171" s="1532" t="s">
        <v>3903</v>
      </c>
      <c r="L1171" s="49">
        <v>500000</v>
      </c>
      <c r="M1171" s="1495" t="s">
        <v>3902</v>
      </c>
      <c r="N1171" s="49">
        <v>231843000</v>
      </c>
      <c r="O1171" s="1383" t="s">
        <v>3904</v>
      </c>
      <c r="P1171" s="644">
        <v>8300000</v>
      </c>
      <c r="Q1171" s="1063"/>
      <c r="R1171" s="644"/>
      <c r="S1171" s="1041"/>
      <c r="T1171" s="1037"/>
      <c r="U1171" s="1055"/>
      <c r="V1171" s="48"/>
    </row>
    <row r="1172" spans="7:22">
      <c r="G1172" s="1028"/>
      <c r="H1172" s="1028"/>
      <c r="I1172" s="1074" t="s">
        <v>3911</v>
      </c>
      <c r="J1172" s="990">
        <v>93000000</v>
      </c>
      <c r="K1172" s="1532" t="s">
        <v>3363</v>
      </c>
      <c r="L1172" s="1495">
        <v>3000000</v>
      </c>
      <c r="M1172" s="1493" t="s">
        <v>3904</v>
      </c>
      <c r="N1172" s="49">
        <v>200000</v>
      </c>
      <c r="O1172" s="1383"/>
      <c r="P1172" s="644"/>
      <c r="Q1172" s="1063"/>
      <c r="R1172" s="644"/>
      <c r="S1172" s="48"/>
      <c r="T1172" s="1037"/>
      <c r="U1172" s="48"/>
      <c r="V1172" s="48"/>
    </row>
    <row r="1173" spans="7:22">
      <c r="G1173" s="48"/>
      <c r="H1173" s="48"/>
      <c r="I1173" s="48" t="s">
        <v>3912</v>
      </c>
      <c r="J1173" s="990">
        <v>95000000</v>
      </c>
      <c r="K1173" s="1532" t="s">
        <v>3607</v>
      </c>
      <c r="L1173" s="1495">
        <v>3000000</v>
      </c>
      <c r="M1173" s="1495" t="s">
        <v>3909</v>
      </c>
      <c r="N1173" s="49">
        <v>6050000</v>
      </c>
      <c r="O1173" s="1383"/>
      <c r="P1173" s="644"/>
      <c r="Q1173" s="1064"/>
      <c r="R1173" s="644"/>
      <c r="S1173" s="1055"/>
      <c r="T1173" s="1037"/>
      <c r="U1173" s="1055"/>
      <c r="V1173" s="48"/>
    </row>
    <row r="1174" spans="7:22">
      <c r="G1174" s="48"/>
      <c r="H1174" s="48"/>
      <c r="I1174" s="1074" t="s">
        <v>3913</v>
      </c>
      <c r="J1174" s="990">
        <v>30360000</v>
      </c>
      <c r="K1174" s="1495" t="s">
        <v>3906</v>
      </c>
      <c r="L1174" s="49">
        <v>1000000</v>
      </c>
      <c r="M1174" s="1495" t="s">
        <v>3532</v>
      </c>
      <c r="N1174" s="49">
        <v>579150000</v>
      </c>
      <c r="O1174" s="644"/>
      <c r="P1174" s="644"/>
      <c r="Q1174" s="1064"/>
      <c r="R1174" s="644"/>
      <c r="S1174" s="48"/>
      <c r="T1174" s="1037"/>
      <c r="U1174" s="48"/>
      <c r="V1174" s="48"/>
    </row>
    <row r="1175" spans="7:22">
      <c r="G1175" s="48"/>
      <c r="H1175" s="48"/>
      <c r="I1175" s="1061"/>
      <c r="J1175" s="990"/>
      <c r="K1175" s="1495" t="s">
        <v>3907</v>
      </c>
      <c r="L1175" s="49">
        <v>1000000</v>
      </c>
      <c r="M1175" s="1495"/>
      <c r="N1175" s="49"/>
      <c r="O1175" s="644"/>
      <c r="P1175" s="644"/>
      <c r="Q1175" s="1064"/>
      <c r="R1175" s="644"/>
      <c r="S1175" s="48"/>
      <c r="T1175" s="1037"/>
      <c r="U1175" s="48"/>
      <c r="V1175" s="48"/>
    </row>
    <row r="1176" spans="7:22">
      <c r="G1176" s="48"/>
      <c r="H1176" s="48"/>
      <c r="I1176" s="1061"/>
      <c r="J1176" s="49"/>
      <c r="K1176" s="1532" t="s">
        <v>3908</v>
      </c>
      <c r="L1176" s="49">
        <v>15000000</v>
      </c>
      <c r="M1176" s="1498"/>
      <c r="N1176" s="49"/>
      <c r="O1176" s="644"/>
      <c r="P1176" s="644"/>
      <c r="Q1176" s="1054"/>
      <c r="R1176" s="644"/>
      <c r="S1176" s="48"/>
      <c r="T1176" s="1037"/>
      <c r="U1176" s="48"/>
      <c r="V1176" s="48"/>
    </row>
    <row r="1177" spans="7:22">
      <c r="G1177" s="48"/>
      <c r="H1177" s="48"/>
      <c r="I1177" s="48"/>
      <c r="J1177" s="49"/>
      <c r="K1177" s="1495" t="s">
        <v>3532</v>
      </c>
      <c r="L1177" s="49">
        <v>150000</v>
      </c>
      <c r="M1177" s="1498"/>
      <c r="N1177" s="49"/>
      <c r="O1177" s="644"/>
      <c r="P1177" s="644"/>
      <c r="Q1177" s="644"/>
      <c r="R1177" s="644"/>
      <c r="S1177" s="48"/>
      <c r="T1177" s="1037"/>
      <c r="U1177" s="48"/>
      <c r="V1177" s="48"/>
    </row>
    <row r="1178" spans="7:22">
      <c r="G1178" s="48"/>
      <c r="H1178" s="48"/>
      <c r="I1178" s="48"/>
      <c r="J1178" s="49"/>
      <c r="K1178" s="1532"/>
      <c r="L1178" s="49"/>
      <c r="M1178" s="1498"/>
      <c r="N1178" s="49"/>
      <c r="O1178" s="644"/>
      <c r="P1178" s="644"/>
      <c r="Q1178" s="644"/>
      <c r="R1178" s="644"/>
      <c r="S1178" s="48"/>
      <c r="T1178" s="1037"/>
      <c r="U1178" s="48"/>
      <c r="V1178" s="48"/>
    </row>
    <row r="1179" spans="7:22">
      <c r="G1179" s="48"/>
      <c r="H1179" s="48"/>
      <c r="I1179" s="48"/>
      <c r="J1179" s="49"/>
      <c r="K1179" s="1495"/>
      <c r="L1179" s="49"/>
      <c r="M1179" s="1498"/>
      <c r="N1179" s="49"/>
      <c r="O1179" s="644"/>
      <c r="P1179" s="644"/>
      <c r="Q1179" s="644"/>
      <c r="R1179" s="644"/>
      <c r="S1179" s="48"/>
      <c r="T1179" s="1037"/>
      <c r="U1179" s="48"/>
      <c r="V1179" s="48"/>
    </row>
    <row r="1180" spans="7:22">
      <c r="G1180" s="48"/>
      <c r="H1180" s="48"/>
      <c r="I1180" s="48"/>
      <c r="J1180" s="49"/>
      <c r="K1180" s="1498"/>
      <c r="L1180" s="49"/>
      <c r="M1180" s="1498"/>
      <c r="N1180" s="49"/>
      <c r="O1180" s="644"/>
      <c r="P1180" s="644"/>
      <c r="Q1180" s="644"/>
      <c r="R1180" s="644"/>
      <c r="S1180" s="48"/>
      <c r="T1180" s="1037"/>
      <c r="U1180" s="48"/>
      <c r="V1180" s="48"/>
    </row>
    <row r="1181" spans="7:22">
      <c r="G1181" s="48"/>
      <c r="H1181" s="48"/>
      <c r="I1181" s="48"/>
      <c r="J1181" s="49"/>
      <c r="K1181" s="49"/>
      <c r="L1181" s="49"/>
      <c r="M1181" s="1498"/>
      <c r="N1181" s="49"/>
      <c r="O1181" s="644"/>
      <c r="P1181" s="644"/>
      <c r="Q1181" s="644"/>
      <c r="R1181" s="644"/>
      <c r="S1181" s="48"/>
      <c r="T1181" s="1037"/>
      <c r="U1181" s="48"/>
      <c r="V1181" s="48"/>
    </row>
    <row r="1182" spans="7:22">
      <c r="G1182" s="48"/>
      <c r="H1182" s="48"/>
      <c r="I1182" s="48"/>
      <c r="J1182" s="954">
        <f>SUM(J1171:J1179)</f>
        <v>248720000</v>
      </c>
      <c r="K1182" s="954"/>
      <c r="L1182" s="954">
        <f>SUM(L1171:L1181)</f>
        <v>23650000</v>
      </c>
      <c r="M1182" s="1498"/>
      <c r="N1182" s="954">
        <f>SUM(N1171:N1181)</f>
        <v>817243000</v>
      </c>
      <c r="O1182" s="644"/>
      <c r="P1182" s="969">
        <f>SUM(P1171:P1177)</f>
        <v>8300000</v>
      </c>
      <c r="Q1182" s="969"/>
      <c r="R1182" s="969">
        <f>SUM(R1171:R1177)</f>
        <v>0</v>
      </c>
      <c r="S1182" s="48"/>
      <c r="T1182" s="1037">
        <f>SUM(T1171:T1181)</f>
        <v>0</v>
      </c>
      <c r="U1182" s="48"/>
      <c r="V1182" s="48">
        <f>V1171</f>
        <v>0</v>
      </c>
    </row>
    <row r="1183" spans="7:22">
      <c r="T1183" s="1036"/>
    </row>
    <row r="1184" spans="7:22">
      <c r="T1184" s="1036"/>
    </row>
    <row r="1185" spans="7:22">
      <c r="T1185" s="1036"/>
    </row>
    <row r="1186" spans="7:22">
      <c r="T1186" s="1036"/>
    </row>
    <row r="1187" spans="7:22">
      <c r="T1187" s="1036"/>
    </row>
    <row r="1188" spans="7:22">
      <c r="I1188" s="946"/>
      <c r="M1188" s="1533" t="s">
        <v>3699</v>
      </c>
      <c r="N1188" s="3">
        <v>585000000</v>
      </c>
      <c r="O1188" s="1534" t="s">
        <v>3741</v>
      </c>
      <c r="P1188" s="939">
        <f>P1182-R1182</f>
        <v>8300000</v>
      </c>
      <c r="S1188" s="1068" t="s">
        <v>3848</v>
      </c>
      <c r="T1188" s="1036">
        <f>T1182-V1182</f>
        <v>0</v>
      </c>
    </row>
    <row r="1189" spans="7:22">
      <c r="G1189" s="1574" t="s">
        <v>3530</v>
      </c>
      <c r="H1189" s="1574"/>
      <c r="I1189" s="1574"/>
      <c r="J1189" s="3">
        <f>J1182+L1182</f>
        <v>272370000</v>
      </c>
      <c r="K1189" s="1009"/>
      <c r="L1189" s="3"/>
      <c r="M1189" s="1533" t="s">
        <v>3664</v>
      </c>
      <c r="N1189" s="1527">
        <f>N1188*0.99</f>
        <v>579150000</v>
      </c>
      <c r="P1189" s="1512"/>
      <c r="T1189" s="1036"/>
    </row>
    <row r="1190" spans="7:22">
      <c r="G1190" s="1574" t="s">
        <v>3512</v>
      </c>
      <c r="H1190" s="1574"/>
      <c r="I1190" s="1574"/>
      <c r="J1190" s="3">
        <f>N1182-J1189</f>
        <v>544873000</v>
      </c>
      <c r="K1190" s="1009"/>
      <c r="L1190" s="3"/>
      <c r="M1190" s="1528"/>
      <c r="Q1190" s="661"/>
      <c r="T1190" s="1036"/>
    </row>
    <row r="1191" spans="7:22">
      <c r="G1191" s="1574" t="s">
        <v>3531</v>
      </c>
      <c r="H1191" s="1574"/>
      <c r="I1191" s="1574"/>
      <c r="J1191" s="3">
        <f>T1188</f>
        <v>0</v>
      </c>
      <c r="Q1191" s="3"/>
      <c r="T1191" s="1036"/>
    </row>
    <row r="1192" spans="7:22">
      <c r="G1192" s="1586" t="s">
        <v>3891</v>
      </c>
      <c r="H1192" s="1586"/>
      <c r="I1192" s="1586"/>
      <c r="J1192" s="922"/>
      <c r="T1192" s="1036"/>
    </row>
    <row r="1200" spans="7:22">
      <c r="G1200" s="1008">
        <v>45959</v>
      </c>
      <c r="H1200" s="1169"/>
      <c r="I1200" s="1575" t="s">
        <v>3510</v>
      </c>
      <c r="J1200" s="1576"/>
      <c r="K1200" s="1575" t="s">
        <v>3509</v>
      </c>
      <c r="L1200" s="1576"/>
      <c r="M1200" s="1575" t="s">
        <v>3541</v>
      </c>
      <c r="N1200" s="1576"/>
      <c r="O1200" s="1577" t="s">
        <v>3598</v>
      </c>
      <c r="P1200" s="1578"/>
      <c r="Q1200" s="1579" t="s">
        <v>3599</v>
      </c>
      <c r="R1200" s="1580"/>
      <c r="S1200" s="1583" t="s">
        <v>3366</v>
      </c>
      <c r="T1200" s="1583"/>
      <c r="U1200" s="1583" t="s">
        <v>3366</v>
      </c>
      <c r="V1200" s="1583"/>
    </row>
    <row r="1201" spans="7:22">
      <c r="G1201" s="1000"/>
      <c r="H1201" s="1000"/>
      <c r="I1201" s="1073" t="s">
        <v>3914</v>
      </c>
      <c r="J1201" s="990">
        <v>92000000</v>
      </c>
      <c r="K1201" s="1532" t="s">
        <v>3636</v>
      </c>
      <c r="L1201" s="49">
        <v>130000</v>
      </c>
      <c r="M1201" s="1495" t="s">
        <v>3915</v>
      </c>
      <c r="N1201" s="49">
        <v>144873000</v>
      </c>
      <c r="O1201" s="1383" t="s">
        <v>3918</v>
      </c>
      <c r="P1201" s="644">
        <v>8300000</v>
      </c>
      <c r="Q1201" s="1075" t="s">
        <v>3916</v>
      </c>
      <c r="R1201" s="644">
        <v>800000</v>
      </c>
      <c r="S1201" s="1041"/>
      <c r="T1201" s="1059"/>
      <c r="U1201" s="1071" t="s">
        <v>3921</v>
      </c>
      <c r="V1201" s="49">
        <v>3000</v>
      </c>
    </row>
    <row r="1202" spans="7:22">
      <c r="G1202" s="1028"/>
      <c r="H1202" s="1028"/>
      <c r="I1202" s="1074" t="s">
        <v>3926</v>
      </c>
      <c r="J1202" s="990">
        <v>45300000</v>
      </c>
      <c r="K1202" s="1532" t="s">
        <v>3920</v>
      </c>
      <c r="L1202" s="1495">
        <v>2000000</v>
      </c>
      <c r="M1202" s="1493" t="s">
        <v>3532</v>
      </c>
      <c r="N1202" s="49">
        <v>215000000</v>
      </c>
      <c r="O1202" s="1383" t="s">
        <v>3927</v>
      </c>
      <c r="P1202" s="644">
        <v>3000000</v>
      </c>
      <c r="Q1202" s="1075" t="s">
        <v>3917</v>
      </c>
      <c r="R1202" s="644">
        <v>1000000</v>
      </c>
      <c r="S1202" s="48"/>
      <c r="T1202" s="1059"/>
      <c r="U1202" s="48"/>
      <c r="V1202" s="48"/>
    </row>
    <row r="1203" spans="7:22">
      <c r="G1203" s="48"/>
      <c r="H1203" s="48"/>
      <c r="I1203" s="48" t="s">
        <v>3923</v>
      </c>
      <c r="J1203" s="990">
        <v>30690000</v>
      </c>
      <c r="K1203" s="1532" t="s">
        <v>3921</v>
      </c>
      <c r="L1203" s="1495">
        <f>19600000+12100000</f>
        <v>31700000</v>
      </c>
      <c r="M1203" s="1495" t="s">
        <v>3700</v>
      </c>
      <c r="N1203" s="49">
        <v>19000000</v>
      </c>
      <c r="O1203" s="1383"/>
      <c r="P1203" s="644"/>
      <c r="Q1203" s="1076" t="s">
        <v>3404</v>
      </c>
      <c r="R1203" s="644">
        <v>300000</v>
      </c>
      <c r="S1203" s="1055"/>
      <c r="T1203" s="1059"/>
      <c r="U1203" s="1055"/>
      <c r="V1203" s="48"/>
    </row>
    <row r="1204" spans="7:22">
      <c r="G1204" s="48"/>
      <c r="H1204" s="48"/>
      <c r="I1204" s="1074" t="s">
        <v>3924</v>
      </c>
      <c r="J1204" s="990">
        <v>46500000</v>
      </c>
      <c r="K1204" s="1495" t="s">
        <v>3922</v>
      </c>
      <c r="L1204" s="49">
        <v>1500000</v>
      </c>
      <c r="M1204" s="1495" t="s">
        <v>3321</v>
      </c>
      <c r="N1204" s="49">
        <v>7000000</v>
      </c>
      <c r="O1204" s="644"/>
      <c r="P1204" s="644"/>
      <c r="Q1204" s="1076" t="s">
        <v>3919</v>
      </c>
      <c r="R1204" s="644">
        <v>7500000</v>
      </c>
      <c r="S1204" s="48"/>
      <c r="T1204" s="1059"/>
      <c r="U1204" s="48"/>
      <c r="V1204" s="48"/>
    </row>
    <row r="1205" spans="7:22">
      <c r="G1205" s="48"/>
      <c r="H1205" s="48"/>
      <c r="I1205" s="1074" t="s">
        <v>3925</v>
      </c>
      <c r="J1205" s="990">
        <v>30360000</v>
      </c>
      <c r="K1205" s="1495"/>
      <c r="L1205" s="49"/>
      <c r="M1205" s="1495"/>
      <c r="N1205" s="49"/>
      <c r="O1205" s="644"/>
      <c r="P1205" s="644"/>
      <c r="Q1205" s="1076" t="s">
        <v>3532</v>
      </c>
      <c r="R1205" s="644">
        <v>300000</v>
      </c>
      <c r="S1205" s="48"/>
      <c r="T1205" s="1059"/>
      <c r="U1205" s="48"/>
      <c r="V1205" s="48"/>
    </row>
    <row r="1206" spans="7:22">
      <c r="G1206" s="48"/>
      <c r="H1206" s="48"/>
      <c r="I1206" s="1061"/>
      <c r="J1206" s="49"/>
      <c r="K1206" s="1532"/>
      <c r="L1206" s="49"/>
      <c r="M1206" s="1498"/>
      <c r="N1206" s="49"/>
      <c r="O1206" s="644"/>
      <c r="P1206" s="644"/>
      <c r="Q1206" s="1076"/>
      <c r="R1206" s="644"/>
      <c r="S1206" s="48"/>
      <c r="T1206" s="1059"/>
      <c r="U1206" s="48"/>
      <c r="V1206" s="48"/>
    </row>
    <row r="1207" spans="7:22">
      <c r="G1207" s="48"/>
      <c r="H1207" s="48"/>
      <c r="I1207" s="48"/>
      <c r="J1207" s="49"/>
      <c r="K1207" s="1495"/>
      <c r="L1207" s="49"/>
      <c r="M1207" s="1498"/>
      <c r="N1207" s="49"/>
      <c r="O1207" s="644"/>
      <c r="P1207" s="644"/>
      <c r="Q1207" s="644"/>
      <c r="R1207" s="644"/>
      <c r="S1207" s="48"/>
      <c r="T1207" s="1059"/>
      <c r="U1207" s="48"/>
      <c r="V1207" s="48"/>
    </row>
    <row r="1208" spans="7:22">
      <c r="G1208" s="48"/>
      <c r="H1208" s="48"/>
      <c r="I1208" s="48"/>
      <c r="J1208" s="49"/>
      <c r="K1208" s="1532"/>
      <c r="L1208" s="49"/>
      <c r="M1208" s="1498"/>
      <c r="N1208" s="49"/>
      <c r="O1208" s="644"/>
      <c r="P1208" s="644"/>
      <c r="Q1208" s="644"/>
      <c r="R1208" s="644"/>
      <c r="S1208" s="48"/>
      <c r="T1208" s="1059"/>
      <c r="U1208" s="48"/>
      <c r="V1208" s="48"/>
    </row>
    <row r="1209" spans="7:22">
      <c r="G1209" s="48"/>
      <c r="H1209" s="48"/>
      <c r="I1209" s="48"/>
      <c r="J1209" s="49"/>
      <c r="K1209" s="1495"/>
      <c r="L1209" s="49"/>
      <c r="M1209" s="1498"/>
      <c r="N1209" s="49"/>
      <c r="O1209" s="644"/>
      <c r="P1209" s="644"/>
      <c r="Q1209" s="644"/>
      <c r="R1209" s="644"/>
      <c r="S1209" s="48"/>
      <c r="T1209" s="1059"/>
      <c r="U1209" s="48"/>
      <c r="V1209" s="48"/>
    </row>
    <row r="1210" spans="7:22">
      <c r="G1210" s="48"/>
      <c r="H1210" s="48"/>
      <c r="I1210" s="48"/>
      <c r="J1210" s="49"/>
      <c r="K1210" s="1498"/>
      <c r="L1210" s="49"/>
      <c r="M1210" s="1498"/>
      <c r="N1210" s="49"/>
      <c r="O1210" s="644"/>
      <c r="P1210" s="644"/>
      <c r="Q1210" s="644"/>
      <c r="R1210" s="644"/>
      <c r="S1210" s="48"/>
      <c r="T1210" s="1059"/>
      <c r="U1210" s="48"/>
      <c r="V1210" s="48"/>
    </row>
    <row r="1211" spans="7:22">
      <c r="G1211" s="48"/>
      <c r="H1211" s="48"/>
      <c r="I1211" s="48"/>
      <c r="J1211" s="49"/>
      <c r="K1211" s="49"/>
      <c r="L1211" s="49"/>
      <c r="M1211" s="1498"/>
      <c r="N1211" s="49"/>
      <c r="O1211" s="644"/>
      <c r="P1211" s="644"/>
      <c r="Q1211" s="644"/>
      <c r="R1211" s="644"/>
      <c r="S1211" s="48"/>
      <c r="T1211" s="1059"/>
      <c r="U1211" s="48"/>
      <c r="V1211" s="48"/>
    </row>
    <row r="1212" spans="7:22">
      <c r="G1212" s="48"/>
      <c r="H1212" s="48"/>
      <c r="I1212" s="48"/>
      <c r="J1212" s="954">
        <f>SUM(J1201:J1209)</f>
        <v>244850000</v>
      </c>
      <c r="K1212" s="954"/>
      <c r="L1212" s="954">
        <f>SUM(L1201:L1211)</f>
        <v>35330000</v>
      </c>
      <c r="M1212" s="1498"/>
      <c r="N1212" s="954">
        <f>SUM(N1201:N1211)</f>
        <v>385873000</v>
      </c>
      <c r="O1212" s="644"/>
      <c r="P1212" s="969">
        <f>SUM(P1201:P1207)</f>
        <v>11300000</v>
      </c>
      <c r="Q1212" s="969"/>
      <c r="R1212" s="969">
        <f>SUM(R1201:R1207)</f>
        <v>9900000</v>
      </c>
      <c r="S1212" s="48"/>
      <c r="T1212" s="1059">
        <f>SUM(T1201:T1211)</f>
        <v>0</v>
      </c>
      <c r="U1212" s="48"/>
      <c r="V1212" s="48">
        <f>V1201</f>
        <v>3000</v>
      </c>
    </row>
    <row r="1213" spans="7:22">
      <c r="T1213" s="1058"/>
    </row>
    <row r="1214" spans="7:22">
      <c r="T1214" s="1058"/>
    </row>
    <row r="1215" spans="7:22">
      <c r="R1215" s="661"/>
      <c r="T1215" s="1058"/>
    </row>
    <row r="1216" spans="7:22">
      <c r="T1216" s="1058"/>
    </row>
    <row r="1217" spans="7:22">
      <c r="T1217" s="1058"/>
    </row>
    <row r="1218" spans="7:22">
      <c r="I1218" s="946"/>
      <c r="M1218" s="1533" t="s">
        <v>3699</v>
      </c>
      <c r="O1218" s="1535" t="s">
        <v>3741</v>
      </c>
      <c r="P1218" s="939">
        <f>P1212-R1212</f>
        <v>1400000</v>
      </c>
      <c r="S1218" s="1068" t="s">
        <v>3848</v>
      </c>
      <c r="T1218" s="1058">
        <f>T1212-V1212</f>
        <v>-3000</v>
      </c>
    </row>
    <row r="1219" spans="7:22">
      <c r="G1219" s="1574" t="s">
        <v>3530</v>
      </c>
      <c r="H1219" s="1574"/>
      <c r="I1219" s="1574"/>
      <c r="J1219" s="3">
        <f>J1212+L1212</f>
        <v>280180000</v>
      </c>
      <c r="K1219" s="1009"/>
      <c r="L1219" s="3"/>
      <c r="M1219" s="1533" t="s">
        <v>3664</v>
      </c>
      <c r="N1219" s="1527"/>
      <c r="P1219" s="1512"/>
      <c r="T1219" s="1058"/>
    </row>
    <row r="1220" spans="7:22">
      <c r="G1220" s="1574" t="s">
        <v>3512</v>
      </c>
      <c r="H1220" s="1574"/>
      <c r="I1220" s="1574"/>
      <c r="J1220" s="3">
        <f>N1212-J1219</f>
        <v>105693000</v>
      </c>
      <c r="K1220" s="1009"/>
      <c r="L1220" s="3"/>
      <c r="M1220" s="1528"/>
      <c r="Q1220" s="661"/>
      <c r="T1220" s="1058"/>
    </row>
    <row r="1221" spans="7:22">
      <c r="G1221" s="1574" t="s">
        <v>3531</v>
      </c>
      <c r="H1221" s="1574"/>
      <c r="I1221" s="1574"/>
      <c r="J1221" s="3">
        <f>T1218</f>
        <v>-3000</v>
      </c>
      <c r="Q1221" s="3"/>
      <c r="T1221" s="1058"/>
    </row>
    <row r="1222" spans="7:22">
      <c r="G1222" s="1586" t="s">
        <v>3891</v>
      </c>
      <c r="H1222" s="1586"/>
      <c r="I1222" s="1586"/>
      <c r="J1222" s="922"/>
      <c r="T1222" s="1058"/>
    </row>
    <row r="1223" spans="7:22">
      <c r="K1223" s="3">
        <v>106000000</v>
      </c>
    </row>
    <row r="1224" spans="7:22">
      <c r="K1224" s="3">
        <f>K1223-J1220</f>
        <v>307000</v>
      </c>
    </row>
    <row r="1232" spans="7:22">
      <c r="G1232" s="1008">
        <v>45960</v>
      </c>
      <c r="H1232" s="1169"/>
      <c r="I1232" s="1575" t="s">
        <v>3510</v>
      </c>
      <c r="J1232" s="1576"/>
      <c r="K1232" s="1575" t="s">
        <v>3509</v>
      </c>
      <c r="L1232" s="1576"/>
      <c r="M1232" s="1575" t="s">
        <v>3541</v>
      </c>
      <c r="N1232" s="1576"/>
      <c r="O1232" s="1577" t="s">
        <v>3598</v>
      </c>
      <c r="P1232" s="1578"/>
      <c r="Q1232" s="1579" t="s">
        <v>3599</v>
      </c>
      <c r="R1232" s="1580"/>
      <c r="S1232" s="1583" t="s">
        <v>3366</v>
      </c>
      <c r="T1232" s="1583"/>
      <c r="U1232" s="1583" t="s">
        <v>3366</v>
      </c>
      <c r="V1232" s="1583"/>
    </row>
    <row r="1233" spans="7:22">
      <c r="G1233" s="1000"/>
      <c r="H1233" s="1000"/>
      <c r="I1233" s="1073"/>
      <c r="J1233" s="990"/>
      <c r="K1233" s="1532" t="s">
        <v>3933</v>
      </c>
      <c r="L1233" s="49">
        <v>3500000</v>
      </c>
      <c r="M1233" s="1495" t="s">
        <v>3930</v>
      </c>
      <c r="N1233" s="49">
        <v>106000000</v>
      </c>
      <c r="O1233" s="1383" t="s">
        <v>3928</v>
      </c>
      <c r="P1233" s="644">
        <v>1400000</v>
      </c>
      <c r="Q1233" s="1075" t="s">
        <v>3929</v>
      </c>
      <c r="R1233" s="644">
        <v>123600</v>
      </c>
      <c r="S1233" s="1041"/>
      <c r="T1233" s="1059"/>
      <c r="U1233" s="1071"/>
      <c r="V1233" s="49">
        <v>0</v>
      </c>
    </row>
    <row r="1234" spans="7:22">
      <c r="G1234" s="1028"/>
      <c r="H1234" s="1028"/>
      <c r="I1234" s="1074"/>
      <c r="J1234" s="990"/>
      <c r="K1234" s="1532" t="s">
        <v>3363</v>
      </c>
      <c r="L1234" s="1495">
        <v>400000</v>
      </c>
      <c r="M1234" s="1493" t="s">
        <v>3931</v>
      </c>
      <c r="N1234" s="49">
        <v>3000000</v>
      </c>
      <c r="O1234" s="1383" t="s">
        <v>3809</v>
      </c>
      <c r="P1234" s="644">
        <v>2550000</v>
      </c>
      <c r="Q1234" s="1075" t="s">
        <v>3937</v>
      </c>
      <c r="R1234" s="644">
        <v>120000</v>
      </c>
      <c r="S1234" s="48"/>
      <c r="T1234" s="1059"/>
      <c r="U1234" s="48"/>
      <c r="V1234" s="48"/>
    </row>
    <row r="1235" spans="7:22">
      <c r="G1235" s="48"/>
      <c r="H1235" s="48"/>
      <c r="I1235" s="48"/>
      <c r="J1235" s="990"/>
      <c r="K1235" s="1532" t="s">
        <v>3403</v>
      </c>
      <c r="L1235" s="1495">
        <v>4500000</v>
      </c>
      <c r="M1235" s="1495" t="s">
        <v>3567</v>
      </c>
      <c r="N1235" s="49">
        <v>66100000</v>
      </c>
      <c r="O1235" s="1383" t="s">
        <v>3363</v>
      </c>
      <c r="P1235" s="644">
        <v>300000</v>
      </c>
      <c r="Q1235" s="1076" t="s">
        <v>3917</v>
      </c>
      <c r="R1235" s="644">
        <v>1000000</v>
      </c>
      <c r="S1235" s="1055"/>
      <c r="T1235" s="1059"/>
      <c r="U1235" s="1055"/>
      <c r="V1235" s="48"/>
    </row>
    <row r="1236" spans="7:22">
      <c r="G1236" s="48"/>
      <c r="H1236" s="48"/>
      <c r="I1236" s="1074"/>
      <c r="J1236" s="990"/>
      <c r="K1236" s="1495" t="s">
        <v>3934</v>
      </c>
      <c r="L1236" s="49">
        <v>1500000</v>
      </c>
      <c r="M1236" s="1495" t="s">
        <v>3935</v>
      </c>
      <c r="N1236" s="49">
        <v>4500000</v>
      </c>
      <c r="O1236" s="644"/>
      <c r="P1236" s="644"/>
      <c r="Q1236" s="1076" t="s">
        <v>3729</v>
      </c>
      <c r="R1236" s="644">
        <v>50000</v>
      </c>
      <c r="S1236" s="48"/>
      <c r="T1236" s="1059"/>
      <c r="U1236" s="48"/>
      <c r="V1236" s="48"/>
    </row>
    <row r="1237" spans="7:22">
      <c r="G1237" s="48"/>
      <c r="H1237" s="48"/>
      <c r="I1237" s="1074"/>
      <c r="J1237" s="990"/>
      <c r="K1237" s="1495" t="s">
        <v>3532</v>
      </c>
      <c r="L1237" s="49">
        <v>2000000</v>
      </c>
      <c r="M1237" s="1495"/>
      <c r="N1237" s="49"/>
      <c r="O1237" s="644"/>
      <c r="P1237" s="644"/>
      <c r="Q1237" s="1076"/>
      <c r="R1237" s="644"/>
      <c r="S1237" s="48"/>
      <c r="T1237" s="1059"/>
      <c r="U1237" s="48"/>
      <c r="V1237" s="48"/>
    </row>
    <row r="1238" spans="7:22">
      <c r="G1238" s="48"/>
      <c r="H1238" s="48"/>
      <c r="I1238" s="1061"/>
      <c r="J1238" s="49"/>
      <c r="K1238" s="1532" t="s">
        <v>3455</v>
      </c>
      <c r="L1238" s="49">
        <v>500000</v>
      </c>
      <c r="M1238" s="1498"/>
      <c r="N1238" s="49"/>
      <c r="O1238" s="644"/>
      <c r="P1238" s="644"/>
      <c r="Q1238" s="1076"/>
      <c r="R1238" s="644"/>
      <c r="S1238" s="48"/>
      <c r="T1238" s="1059"/>
      <c r="U1238" s="48"/>
      <c r="V1238" s="48"/>
    </row>
    <row r="1239" spans="7:22">
      <c r="G1239" s="48"/>
      <c r="H1239" s="48"/>
      <c r="I1239" s="48"/>
      <c r="J1239" s="49"/>
      <c r="K1239" s="1495" t="s">
        <v>3747</v>
      </c>
      <c r="L1239" s="49">
        <v>3000000</v>
      </c>
      <c r="M1239" s="1498"/>
      <c r="N1239" s="49"/>
      <c r="O1239" s="644"/>
      <c r="P1239" s="644"/>
      <c r="Q1239" s="644"/>
      <c r="R1239" s="644"/>
      <c r="S1239" s="48"/>
      <c r="T1239" s="1059"/>
      <c r="U1239" s="48"/>
      <c r="V1239" s="48"/>
    </row>
    <row r="1240" spans="7:22">
      <c r="G1240" s="48"/>
      <c r="H1240" s="48"/>
      <c r="I1240" s="48"/>
      <c r="J1240" s="49"/>
      <c r="K1240" s="1532"/>
      <c r="L1240" s="49"/>
      <c r="M1240" s="1498"/>
      <c r="N1240" s="49"/>
      <c r="O1240" s="644"/>
      <c r="P1240" s="644"/>
      <c r="Q1240" s="644"/>
      <c r="R1240" s="644"/>
      <c r="S1240" s="48"/>
      <c r="T1240" s="1059"/>
      <c r="U1240" s="48"/>
      <c r="V1240" s="48"/>
    </row>
    <row r="1241" spans="7:22">
      <c r="G1241" s="48"/>
      <c r="H1241" s="48"/>
      <c r="I1241" s="48"/>
      <c r="J1241" s="49"/>
      <c r="K1241" s="1495"/>
      <c r="L1241" s="49"/>
      <c r="M1241" s="1498"/>
      <c r="N1241" s="49"/>
      <c r="O1241" s="644"/>
      <c r="P1241" s="644"/>
      <c r="Q1241" s="644"/>
      <c r="R1241" s="644"/>
      <c r="S1241" s="48"/>
      <c r="T1241" s="1059"/>
      <c r="U1241" s="48"/>
      <c r="V1241" s="48"/>
    </row>
    <row r="1242" spans="7:22">
      <c r="G1242" s="48"/>
      <c r="H1242" s="48"/>
      <c r="I1242" s="48"/>
      <c r="J1242" s="49"/>
      <c r="K1242" s="1498"/>
      <c r="L1242" s="49"/>
      <c r="M1242" s="1498"/>
      <c r="N1242" s="49"/>
      <c r="O1242" s="644"/>
      <c r="P1242" s="644"/>
      <c r="Q1242" s="644"/>
      <c r="R1242" s="644"/>
      <c r="S1242" s="48"/>
      <c r="T1242" s="1059"/>
      <c r="U1242" s="48"/>
      <c r="V1242" s="48"/>
    </row>
    <row r="1243" spans="7:22">
      <c r="G1243" s="48"/>
      <c r="H1243" s="48"/>
      <c r="I1243" s="48"/>
      <c r="J1243" s="49"/>
      <c r="K1243" s="49"/>
      <c r="L1243" s="49"/>
      <c r="M1243" s="1498"/>
      <c r="N1243" s="49"/>
      <c r="O1243" s="644"/>
      <c r="P1243" s="644"/>
      <c r="Q1243" s="644"/>
      <c r="R1243" s="644"/>
      <c r="S1243" s="48"/>
      <c r="T1243" s="1059"/>
      <c r="U1243" s="48"/>
      <c r="V1243" s="48"/>
    </row>
    <row r="1244" spans="7:22">
      <c r="G1244" s="48"/>
      <c r="H1244" s="48"/>
      <c r="I1244" s="48"/>
      <c r="J1244" s="954">
        <f>SUM(J1233:J1241)</f>
        <v>0</v>
      </c>
      <c r="K1244" s="954"/>
      <c r="L1244" s="954">
        <f>SUM(L1233:L1243)</f>
        <v>15400000</v>
      </c>
      <c r="M1244" s="1498"/>
      <c r="N1244" s="954">
        <f>SUM(N1233:N1243)</f>
        <v>179600000</v>
      </c>
      <c r="O1244" s="644"/>
      <c r="P1244" s="969">
        <f>SUM(P1233:P1239)</f>
        <v>4250000</v>
      </c>
      <c r="Q1244" s="969"/>
      <c r="R1244" s="969">
        <f>SUM(R1233:R1239)</f>
        <v>1293600</v>
      </c>
      <c r="S1244" s="48"/>
      <c r="T1244" s="1059">
        <f>SUM(T1233:T1243)</f>
        <v>0</v>
      </c>
      <c r="U1244" s="48"/>
      <c r="V1244" s="48">
        <f>V1233</f>
        <v>0</v>
      </c>
    </row>
    <row r="1245" spans="7:22">
      <c r="T1245" s="1058"/>
    </row>
    <row r="1246" spans="7:22">
      <c r="T1246" s="1058"/>
    </row>
    <row r="1247" spans="7:22">
      <c r="R1247" s="661"/>
      <c r="T1247" s="1058"/>
    </row>
    <row r="1248" spans="7:22">
      <c r="T1248" s="1058"/>
    </row>
    <row r="1249" spans="7:20">
      <c r="T1249" s="1058"/>
    </row>
    <row r="1250" spans="7:20">
      <c r="I1250" s="946"/>
      <c r="M1250" s="1533" t="s">
        <v>3699</v>
      </c>
      <c r="O1250" s="1535" t="s">
        <v>3741</v>
      </c>
      <c r="P1250" s="939">
        <f>P1244-R1244</f>
        <v>2956400</v>
      </c>
      <c r="S1250" s="1068" t="s">
        <v>3848</v>
      </c>
      <c r="T1250" s="1058">
        <f>T1244-V1244</f>
        <v>0</v>
      </c>
    </row>
    <row r="1251" spans="7:20">
      <c r="G1251" s="1574" t="s">
        <v>3530</v>
      </c>
      <c r="H1251" s="1574"/>
      <c r="I1251" s="1574"/>
      <c r="J1251" s="3">
        <f>J1244+L1244</f>
        <v>15400000</v>
      </c>
      <c r="K1251" s="1009"/>
      <c r="L1251" s="3"/>
      <c r="M1251" s="1533" t="s">
        <v>3664</v>
      </c>
      <c r="N1251" s="1527"/>
      <c r="P1251" s="1512"/>
      <c r="T1251" s="1058"/>
    </row>
    <row r="1252" spans="7:20">
      <c r="G1252" s="1574" t="s">
        <v>3512</v>
      </c>
      <c r="H1252" s="1574"/>
      <c r="I1252" s="1574"/>
      <c r="J1252" s="3">
        <f>N1244-J1251</f>
        <v>164200000</v>
      </c>
      <c r="K1252" s="1009"/>
      <c r="L1252" s="3"/>
      <c r="M1252" s="1528"/>
      <c r="Q1252" s="661"/>
      <c r="T1252" s="1058"/>
    </row>
    <row r="1253" spans="7:20">
      <c r="G1253" s="1574" t="s">
        <v>3531</v>
      </c>
      <c r="H1253" s="1574"/>
      <c r="I1253" s="1574"/>
      <c r="J1253" s="3">
        <f>T1250</f>
        <v>0</v>
      </c>
      <c r="Q1253" s="3"/>
      <c r="T1253" s="1058"/>
    </row>
    <row r="1254" spans="7:20">
      <c r="G1254" s="1586" t="s">
        <v>3891</v>
      </c>
      <c r="H1254" s="1586"/>
      <c r="I1254" s="1586"/>
      <c r="J1254" s="922"/>
      <c r="T1254" s="1058"/>
    </row>
    <row r="1261" spans="7:20">
      <c r="O1261" s="3"/>
    </row>
    <row r="1264" spans="7:20">
      <c r="O1264" s="3"/>
    </row>
    <row r="1269" spans="7:22">
      <c r="G1269" s="1008">
        <v>45961</v>
      </c>
      <c r="H1269" s="1169"/>
      <c r="I1269" s="1575" t="s">
        <v>3510</v>
      </c>
      <c r="J1269" s="1576"/>
      <c r="K1269" s="1575" t="s">
        <v>3509</v>
      </c>
      <c r="L1269" s="1576"/>
      <c r="M1269" s="1575" t="s">
        <v>3541</v>
      </c>
      <c r="N1269" s="1576"/>
      <c r="O1269" s="1577" t="s">
        <v>3598</v>
      </c>
      <c r="P1269" s="1578"/>
      <c r="Q1269" s="1579" t="s">
        <v>3599</v>
      </c>
      <c r="R1269" s="1580"/>
      <c r="S1269" s="1583" t="s">
        <v>3953</v>
      </c>
      <c r="T1269" s="1583"/>
      <c r="U1269" s="1583" t="s">
        <v>3954</v>
      </c>
      <c r="V1269" s="1583"/>
    </row>
    <row r="1270" spans="7:22">
      <c r="G1270" s="1000"/>
      <c r="H1270" s="1000"/>
      <c r="I1270" s="1073" t="s">
        <v>3951</v>
      </c>
      <c r="J1270" s="990">
        <v>13890000</v>
      </c>
      <c r="K1270" s="1532" t="s">
        <v>3942</v>
      </c>
      <c r="L1270" s="49">
        <v>4920000</v>
      </c>
      <c r="M1270" s="1495" t="s">
        <v>3938</v>
      </c>
      <c r="N1270" s="49">
        <v>164000000</v>
      </c>
      <c r="O1270" s="1383" t="s">
        <v>3938</v>
      </c>
      <c r="P1270" s="644">
        <v>2956000</v>
      </c>
      <c r="Q1270" s="1075" t="s">
        <v>3939</v>
      </c>
      <c r="R1270" s="644">
        <v>1700000</v>
      </c>
      <c r="S1270" s="1072" t="s">
        <v>3955</v>
      </c>
      <c r="T1270" s="1059">
        <v>12500</v>
      </c>
      <c r="U1270" s="1071" t="s">
        <v>3363</v>
      </c>
      <c r="V1270" s="49">
        <v>100</v>
      </c>
    </row>
    <row r="1271" spans="7:22">
      <c r="G1271" s="1028"/>
      <c r="H1271" s="1028"/>
      <c r="I1271" s="1074"/>
      <c r="J1271" s="990"/>
      <c r="K1271" s="1532" t="s">
        <v>3942</v>
      </c>
      <c r="L1271" s="1495">
        <v>12000000</v>
      </c>
      <c r="M1271" s="1493" t="s">
        <v>3941</v>
      </c>
      <c r="N1271" s="49">
        <v>1200000</v>
      </c>
      <c r="O1271" s="1383"/>
      <c r="P1271" s="644"/>
      <c r="Q1271" s="1075" t="s">
        <v>3940</v>
      </c>
      <c r="R1271" s="644">
        <v>1200000</v>
      </c>
      <c r="S1271" s="48"/>
      <c r="T1271" s="1059"/>
      <c r="U1271" s="48" t="s">
        <v>3403</v>
      </c>
      <c r="V1271" s="49">
        <v>100</v>
      </c>
    </row>
    <row r="1272" spans="7:22">
      <c r="G1272" s="48"/>
      <c r="H1272" s="48"/>
      <c r="I1272" s="48"/>
      <c r="J1272" s="990"/>
      <c r="K1272" s="1532" t="s">
        <v>3943</v>
      </c>
      <c r="L1272" s="1495">
        <v>3680000</v>
      </c>
      <c r="M1272" s="1495"/>
      <c r="N1272" s="49"/>
      <c r="O1272" s="1383"/>
      <c r="P1272" s="644"/>
      <c r="Q1272" s="1076"/>
      <c r="R1272" s="644"/>
      <c r="S1272" s="1055"/>
      <c r="T1272" s="1059"/>
      <c r="U1272" s="1078" t="s">
        <v>3948</v>
      </c>
      <c r="V1272" s="49">
        <v>10000</v>
      </c>
    </row>
    <row r="1273" spans="7:22">
      <c r="G1273" s="48"/>
      <c r="H1273" s="48"/>
      <c r="I1273" s="1074"/>
      <c r="J1273" s="990"/>
      <c r="K1273" s="1495" t="s">
        <v>3944</v>
      </c>
      <c r="L1273" s="49">
        <v>1000000</v>
      </c>
      <c r="M1273" s="1495"/>
      <c r="N1273" s="49"/>
      <c r="O1273" s="644"/>
      <c r="P1273" s="644"/>
      <c r="Q1273" s="1076"/>
      <c r="R1273" s="644"/>
      <c r="S1273" s="48"/>
      <c r="T1273" s="1059"/>
      <c r="U1273" s="48"/>
      <c r="V1273" s="49"/>
    </row>
    <row r="1274" spans="7:22">
      <c r="G1274" s="48"/>
      <c r="H1274" s="48"/>
      <c r="I1274" s="1074"/>
      <c r="J1274" s="990"/>
      <c r="K1274" s="1495" t="s">
        <v>3945</v>
      </c>
      <c r="L1274" s="49">
        <v>2300000</v>
      </c>
      <c r="M1274" s="1495"/>
      <c r="N1274" s="49"/>
      <c r="O1274" s="644"/>
      <c r="P1274" s="644"/>
      <c r="Q1274" s="1076"/>
      <c r="R1274" s="644"/>
      <c r="S1274" s="48"/>
      <c r="T1274" s="1059"/>
      <c r="U1274" s="48"/>
      <c r="V1274" s="49"/>
    </row>
    <row r="1275" spans="7:22">
      <c r="G1275" s="48"/>
      <c r="H1275" s="48"/>
      <c r="I1275" s="1061"/>
      <c r="J1275" s="49"/>
      <c r="K1275" s="1532" t="s">
        <v>3946</v>
      </c>
      <c r="L1275" s="49">
        <v>2000000</v>
      </c>
      <c r="M1275" s="1498"/>
      <c r="N1275" s="49"/>
      <c r="O1275" s="644"/>
      <c r="P1275" s="644"/>
      <c r="Q1275" s="1076"/>
      <c r="R1275" s="644"/>
      <c r="S1275" s="48"/>
      <c r="T1275" s="1059"/>
      <c r="U1275" s="48"/>
      <c r="V1275" s="49"/>
    </row>
    <row r="1276" spans="7:22">
      <c r="G1276" s="48"/>
      <c r="H1276" s="48"/>
      <c r="I1276" s="48"/>
      <c r="J1276" s="49"/>
      <c r="K1276" s="1495" t="s">
        <v>3947</v>
      </c>
      <c r="L1276" s="49">
        <v>3000000</v>
      </c>
      <c r="M1276" s="1498"/>
      <c r="N1276" s="49"/>
      <c r="O1276" s="644"/>
      <c r="P1276" s="644"/>
      <c r="Q1276" s="644"/>
      <c r="R1276" s="644"/>
      <c r="S1276" s="48"/>
      <c r="T1276" s="1059"/>
      <c r="U1276" s="48"/>
      <c r="V1276" s="49"/>
    </row>
    <row r="1277" spans="7:22">
      <c r="G1277" s="48"/>
      <c r="H1277" s="48"/>
      <c r="I1277" s="48"/>
      <c r="J1277" s="49"/>
      <c r="K1277" s="1532" t="s">
        <v>3688</v>
      </c>
      <c r="L1277" s="49">
        <v>3000000</v>
      </c>
      <c r="M1277" s="1498"/>
      <c r="N1277" s="49"/>
      <c r="O1277" s="644"/>
      <c r="P1277" s="644"/>
      <c r="Q1277" s="644"/>
      <c r="R1277" s="644"/>
      <c r="S1277" s="48"/>
      <c r="T1277" s="1059"/>
      <c r="U1277" s="48"/>
      <c r="V1277" s="49"/>
    </row>
    <row r="1278" spans="7:22">
      <c r="G1278" s="48"/>
      <c r="H1278" s="48"/>
      <c r="I1278" s="48"/>
      <c r="J1278" s="49"/>
      <c r="K1278" s="1495" t="s">
        <v>3363</v>
      </c>
      <c r="L1278" s="49">
        <v>300000</v>
      </c>
      <c r="M1278" s="1498"/>
      <c r="N1278" s="49"/>
      <c r="O1278" s="644"/>
      <c r="P1278" s="644"/>
      <c r="Q1278" s="644"/>
      <c r="R1278" s="644"/>
      <c r="S1278" s="48"/>
      <c r="T1278" s="1059"/>
      <c r="U1278" s="48"/>
      <c r="V1278" s="49"/>
    </row>
    <row r="1279" spans="7:22">
      <c r="G1279" s="48"/>
      <c r="H1279" s="48"/>
      <c r="I1279" s="48"/>
      <c r="J1279" s="49"/>
      <c r="K1279" s="1498" t="s">
        <v>3949</v>
      </c>
      <c r="L1279" s="49">
        <v>11000000</v>
      </c>
      <c r="M1279" s="1498"/>
      <c r="N1279" s="49"/>
      <c r="O1279" s="644"/>
      <c r="P1279" s="644"/>
      <c r="Q1279" s="644"/>
      <c r="R1279" s="644"/>
      <c r="S1279" s="48"/>
      <c r="T1279" s="1059"/>
      <c r="U1279" s="48"/>
      <c r="V1279" s="49"/>
    </row>
    <row r="1280" spans="7:22">
      <c r="G1280" s="48"/>
      <c r="H1280" s="48"/>
      <c r="I1280" s="48"/>
      <c r="J1280" s="49"/>
      <c r="K1280" s="1498" t="s">
        <v>3952</v>
      </c>
      <c r="L1280" s="49">
        <v>12000000</v>
      </c>
      <c r="M1280" s="1498"/>
      <c r="N1280" s="49"/>
      <c r="O1280" s="644"/>
      <c r="P1280" s="644"/>
      <c r="Q1280" s="644"/>
      <c r="R1280" s="644"/>
      <c r="S1280" s="48"/>
      <c r="T1280" s="1059"/>
      <c r="U1280" s="48"/>
      <c r="V1280" s="48"/>
    </row>
    <row r="1281" spans="7:22">
      <c r="G1281" s="48"/>
      <c r="H1281" s="48"/>
      <c r="I1281" s="48"/>
      <c r="J1281" s="49"/>
      <c r="K1281" s="49" t="s">
        <v>3950</v>
      </c>
      <c r="L1281" s="49">
        <v>1000000</v>
      </c>
      <c r="M1281" s="1498"/>
      <c r="N1281" s="49"/>
      <c r="O1281" s="644"/>
      <c r="P1281" s="644"/>
      <c r="Q1281" s="644"/>
      <c r="R1281" s="644"/>
      <c r="S1281" s="48"/>
      <c r="T1281" s="1059"/>
      <c r="U1281" s="48"/>
      <c r="V1281" s="48"/>
    </row>
    <row r="1282" spans="7:22">
      <c r="G1282" s="48"/>
      <c r="H1282" s="48"/>
      <c r="I1282" s="48"/>
      <c r="J1282" s="954">
        <f>SUM(J1270:J1278)</f>
        <v>13890000</v>
      </c>
      <c r="K1282" s="954"/>
      <c r="L1282" s="954">
        <f>SUM(L1270:L1281)</f>
        <v>56200000</v>
      </c>
      <c r="M1282" s="1498"/>
      <c r="N1282" s="954">
        <f>SUM(N1270:N1281)</f>
        <v>165200000</v>
      </c>
      <c r="O1282" s="644"/>
      <c r="P1282" s="969">
        <f>SUM(P1270:P1276)</f>
        <v>2956000</v>
      </c>
      <c r="Q1282" s="969"/>
      <c r="R1282" s="969">
        <f>SUM(R1270:R1276)</f>
        <v>2900000</v>
      </c>
      <c r="S1282" s="48"/>
      <c r="T1282" s="1059">
        <f>SUM(T1270:T1281)</f>
        <v>12500</v>
      </c>
      <c r="U1282" s="48"/>
      <c r="V1282" s="878">
        <f>SUM(V1270:V1281)</f>
        <v>10200</v>
      </c>
    </row>
    <row r="1283" spans="7:22">
      <c r="T1283" s="1058"/>
    </row>
    <row r="1284" spans="7:22">
      <c r="T1284" s="1058"/>
    </row>
    <row r="1285" spans="7:22">
      <c r="R1285" s="661"/>
      <c r="T1285" s="1058"/>
    </row>
    <row r="1286" spans="7:22">
      <c r="T1286" s="1058"/>
    </row>
    <row r="1287" spans="7:22">
      <c r="T1287" s="1058"/>
    </row>
    <row r="1288" spans="7:22">
      <c r="I1288" s="946"/>
      <c r="M1288" s="1533" t="s">
        <v>3699</v>
      </c>
      <c r="O1288" s="1535" t="s">
        <v>3741</v>
      </c>
      <c r="P1288" s="939">
        <f>P1282-R1282</f>
        <v>56000</v>
      </c>
      <c r="S1288" s="1068" t="s">
        <v>3848</v>
      </c>
      <c r="T1288" s="1058">
        <f>T1282-V1282</f>
        <v>2300</v>
      </c>
    </row>
    <row r="1289" spans="7:22">
      <c r="G1289" s="1574" t="s">
        <v>3530</v>
      </c>
      <c r="H1289" s="1574"/>
      <c r="I1289" s="1574"/>
      <c r="J1289" s="3">
        <f>J1282+L1282</f>
        <v>70090000</v>
      </c>
      <c r="K1289" s="1009"/>
      <c r="L1289" s="3"/>
      <c r="M1289" s="1533" t="s">
        <v>3664</v>
      </c>
      <c r="N1289" s="1527"/>
      <c r="P1289" s="1512"/>
      <c r="T1289" s="1058"/>
    </row>
    <row r="1290" spans="7:22">
      <c r="G1290" s="1574" t="s">
        <v>3512</v>
      </c>
      <c r="H1290" s="1574"/>
      <c r="I1290" s="1574"/>
      <c r="J1290" s="3">
        <f>N1282-J1289</f>
        <v>95110000</v>
      </c>
      <c r="K1290" s="1009"/>
      <c r="L1290" s="3"/>
      <c r="M1290" s="1528"/>
      <c r="Q1290" s="661"/>
      <c r="T1290" s="1058"/>
    </row>
    <row r="1291" spans="7:22">
      <c r="G1291" s="1574" t="s">
        <v>3531</v>
      </c>
      <c r="H1291" s="1574"/>
      <c r="I1291" s="1574"/>
      <c r="J1291" s="3">
        <f>T1288</f>
        <v>2300</v>
      </c>
      <c r="Q1291" s="3"/>
      <c r="T1291" s="1058"/>
    </row>
    <row r="1292" spans="7:22">
      <c r="G1292" s="1586" t="s">
        <v>3891</v>
      </c>
      <c r="H1292" s="1586"/>
      <c r="I1292" s="1586"/>
      <c r="J1292" s="922"/>
      <c r="T1292" s="1058"/>
    </row>
    <row r="1306" spans="7:22">
      <c r="G1306" s="1008">
        <v>45962</v>
      </c>
      <c r="H1306" s="1169"/>
      <c r="I1306" s="1575" t="s">
        <v>3510</v>
      </c>
      <c r="J1306" s="1576"/>
      <c r="K1306" s="1575" t="s">
        <v>3509</v>
      </c>
      <c r="L1306" s="1576"/>
      <c r="M1306" s="1575" t="s">
        <v>3541</v>
      </c>
      <c r="N1306" s="1576"/>
      <c r="O1306" s="1577" t="s">
        <v>3598</v>
      </c>
      <c r="P1306" s="1578"/>
      <c r="Q1306" s="1579" t="s">
        <v>3599</v>
      </c>
      <c r="R1306" s="1580"/>
      <c r="S1306" s="1583" t="s">
        <v>3953</v>
      </c>
      <c r="T1306" s="1583"/>
      <c r="U1306" s="1583" t="s">
        <v>3954</v>
      </c>
      <c r="V1306" s="1583"/>
    </row>
    <row r="1307" spans="7:22">
      <c r="G1307" s="1000"/>
      <c r="H1307" s="1000"/>
      <c r="I1307" s="1073" t="s">
        <v>3958</v>
      </c>
      <c r="J1307" s="990">
        <v>50000000</v>
      </c>
      <c r="K1307" s="1532" t="s">
        <v>3957</v>
      </c>
      <c r="L1307" s="49">
        <v>3700000</v>
      </c>
      <c r="M1307" s="1495" t="s">
        <v>3956</v>
      </c>
      <c r="N1307" s="49">
        <v>95110000</v>
      </c>
      <c r="O1307" s="1383"/>
      <c r="P1307" s="644"/>
      <c r="Q1307" s="1075"/>
      <c r="R1307" s="644"/>
      <c r="S1307" s="1072"/>
      <c r="T1307" s="1059"/>
      <c r="U1307" s="1071"/>
      <c r="V1307" s="49"/>
    </row>
    <row r="1308" spans="7:22">
      <c r="G1308" s="1028"/>
      <c r="H1308" s="1028"/>
      <c r="I1308" s="1074"/>
      <c r="J1308" s="990"/>
      <c r="K1308" s="1532" t="s">
        <v>3532</v>
      </c>
      <c r="L1308" s="1495">
        <v>1000000</v>
      </c>
      <c r="M1308" s="1493"/>
      <c r="N1308" s="49"/>
      <c r="O1308" s="1383"/>
      <c r="P1308" s="644"/>
      <c r="Q1308" s="1075"/>
      <c r="R1308" s="644"/>
      <c r="S1308" s="48"/>
      <c r="T1308" s="1059"/>
      <c r="U1308" s="48"/>
      <c r="V1308" s="49"/>
    </row>
    <row r="1309" spans="7:22">
      <c r="G1309" s="48"/>
      <c r="H1309" s="48"/>
      <c r="I1309" s="48"/>
      <c r="J1309" s="990"/>
      <c r="K1309" s="1532" t="s">
        <v>3659</v>
      </c>
      <c r="L1309" s="1495">
        <v>1000000</v>
      </c>
      <c r="M1309" s="1495"/>
      <c r="N1309" s="49"/>
      <c r="O1309" s="1383"/>
      <c r="P1309" s="644"/>
      <c r="Q1309" s="1076"/>
      <c r="R1309" s="644"/>
      <c r="S1309" s="1055"/>
      <c r="T1309" s="1059"/>
      <c r="U1309" s="1078"/>
      <c r="V1309" s="49"/>
    </row>
    <row r="1310" spans="7:22">
      <c r="G1310" s="48"/>
      <c r="H1310" s="48"/>
      <c r="I1310" s="1074"/>
      <c r="J1310" s="990"/>
      <c r="K1310" s="1495" t="s">
        <v>3363</v>
      </c>
      <c r="L1310" s="49">
        <v>400000</v>
      </c>
      <c r="M1310" s="1495"/>
      <c r="N1310" s="49"/>
      <c r="O1310" s="644"/>
      <c r="P1310" s="644"/>
      <c r="Q1310" s="1076"/>
      <c r="R1310" s="644"/>
      <c r="S1310" s="48"/>
      <c r="T1310" s="1059"/>
      <c r="U1310" s="48"/>
      <c r="V1310" s="49"/>
    </row>
    <row r="1311" spans="7:22">
      <c r="G1311" s="48"/>
      <c r="H1311" s="48"/>
      <c r="I1311" s="1074"/>
      <c r="J1311" s="990"/>
      <c r="K1311" s="1495"/>
      <c r="L1311" s="49"/>
      <c r="M1311" s="1495"/>
      <c r="N1311" s="49"/>
      <c r="O1311" s="644"/>
      <c r="P1311" s="644"/>
      <c r="Q1311" s="1076"/>
      <c r="R1311" s="644"/>
      <c r="S1311" s="48"/>
      <c r="T1311" s="1059"/>
      <c r="U1311" s="48"/>
      <c r="V1311" s="49"/>
    </row>
    <row r="1312" spans="7:22">
      <c r="G1312" s="48"/>
      <c r="H1312" s="48"/>
      <c r="I1312" s="1061"/>
      <c r="J1312" s="49"/>
      <c r="K1312" s="1532"/>
      <c r="L1312" s="49"/>
      <c r="M1312" s="1498"/>
      <c r="N1312" s="49"/>
      <c r="O1312" s="644"/>
      <c r="P1312" s="644"/>
      <c r="Q1312" s="1076"/>
      <c r="R1312" s="644"/>
      <c r="S1312" s="48"/>
      <c r="T1312" s="1059"/>
      <c r="U1312" s="48"/>
      <c r="V1312" s="49"/>
    </row>
    <row r="1313" spans="7:22">
      <c r="G1313" s="48"/>
      <c r="H1313" s="48"/>
      <c r="I1313" s="48"/>
      <c r="J1313" s="49"/>
      <c r="K1313" s="1495"/>
      <c r="L1313" s="49"/>
      <c r="M1313" s="1498"/>
      <c r="N1313" s="49"/>
      <c r="O1313" s="644"/>
      <c r="P1313" s="644"/>
      <c r="Q1313" s="644"/>
      <c r="R1313" s="644"/>
      <c r="S1313" s="48"/>
      <c r="T1313" s="1059"/>
      <c r="U1313" s="48"/>
      <c r="V1313" s="49"/>
    </row>
    <row r="1314" spans="7:22">
      <c r="G1314" s="48"/>
      <c r="H1314" s="48"/>
      <c r="I1314" s="48"/>
      <c r="J1314" s="49"/>
      <c r="K1314" s="1532"/>
      <c r="L1314" s="49"/>
      <c r="M1314" s="1498"/>
      <c r="N1314" s="49"/>
      <c r="O1314" s="644"/>
      <c r="P1314" s="644"/>
      <c r="Q1314" s="644"/>
      <c r="R1314" s="644"/>
      <c r="S1314" s="48"/>
      <c r="T1314" s="1059"/>
      <c r="U1314" s="48"/>
      <c r="V1314" s="49"/>
    </row>
    <row r="1315" spans="7:22">
      <c r="G1315" s="48"/>
      <c r="H1315" s="48"/>
      <c r="I1315" s="48"/>
      <c r="J1315" s="49"/>
      <c r="K1315" s="1495"/>
      <c r="L1315" s="49"/>
      <c r="M1315" s="1498"/>
      <c r="N1315" s="49"/>
      <c r="O1315" s="644"/>
      <c r="P1315" s="644"/>
      <c r="Q1315" s="644"/>
      <c r="R1315" s="644"/>
      <c r="S1315" s="48"/>
      <c r="T1315" s="1059"/>
      <c r="U1315" s="48"/>
      <c r="V1315" s="49"/>
    </row>
    <row r="1316" spans="7:22">
      <c r="G1316" s="48"/>
      <c r="H1316" s="48"/>
      <c r="I1316" s="48"/>
      <c r="J1316" s="49"/>
      <c r="K1316" s="1498"/>
      <c r="L1316" s="49"/>
      <c r="M1316" s="1498"/>
      <c r="N1316" s="49"/>
      <c r="O1316" s="644"/>
      <c r="P1316" s="644"/>
      <c r="Q1316" s="644"/>
      <c r="R1316" s="644"/>
      <c r="S1316" s="48"/>
      <c r="T1316" s="1059"/>
      <c r="U1316" s="48"/>
      <c r="V1316" s="49"/>
    </row>
    <row r="1317" spans="7:22">
      <c r="G1317" s="48"/>
      <c r="H1317" s="48"/>
      <c r="I1317" s="48"/>
      <c r="J1317" s="49"/>
      <c r="K1317" s="1498"/>
      <c r="L1317" s="49"/>
      <c r="M1317" s="1498"/>
      <c r="N1317" s="49"/>
      <c r="O1317" s="644"/>
      <c r="P1317" s="644"/>
      <c r="Q1317" s="644"/>
      <c r="R1317" s="644"/>
      <c r="S1317" s="48"/>
      <c r="T1317" s="1059"/>
      <c r="U1317" s="48"/>
      <c r="V1317" s="48"/>
    </row>
    <row r="1318" spans="7:22">
      <c r="G1318" s="48"/>
      <c r="H1318" s="48"/>
      <c r="I1318" s="48"/>
      <c r="J1318" s="49"/>
      <c r="K1318" s="49"/>
      <c r="L1318" s="49"/>
      <c r="M1318" s="1498"/>
      <c r="N1318" s="49"/>
      <c r="O1318" s="644"/>
      <c r="P1318" s="644"/>
      <c r="Q1318" s="644"/>
      <c r="R1318" s="644"/>
      <c r="S1318" s="48"/>
      <c r="T1318" s="1059"/>
      <c r="U1318" s="48"/>
      <c r="V1318" s="48"/>
    </row>
    <row r="1319" spans="7:22">
      <c r="G1319" s="48"/>
      <c r="H1319" s="48"/>
      <c r="I1319" s="48"/>
      <c r="J1319" s="954">
        <f>SUM(J1307:J1315)</f>
        <v>50000000</v>
      </c>
      <c r="K1319" s="954"/>
      <c r="L1319" s="954">
        <f>SUM(L1307:L1318)</f>
        <v>6100000</v>
      </c>
      <c r="M1319" s="1498"/>
      <c r="N1319" s="954">
        <f>SUM(N1307:N1318)</f>
        <v>95110000</v>
      </c>
      <c r="O1319" s="644"/>
      <c r="P1319" s="969">
        <f>SUM(P1307:P1313)</f>
        <v>0</v>
      </c>
      <c r="Q1319" s="969"/>
      <c r="R1319" s="969">
        <f>SUM(R1307:R1313)</f>
        <v>0</v>
      </c>
      <c r="S1319" s="48"/>
      <c r="T1319" s="1059">
        <f>SUM(T1307:T1318)</f>
        <v>0</v>
      </c>
      <c r="U1319" s="48"/>
      <c r="V1319" s="878">
        <f>SUM(V1307:V1318)</f>
        <v>0</v>
      </c>
    </row>
    <row r="1320" spans="7:22">
      <c r="T1320" s="1058"/>
    </row>
    <row r="1321" spans="7:22">
      <c r="T1321" s="1058"/>
    </row>
    <row r="1322" spans="7:22">
      <c r="R1322" s="661"/>
      <c r="T1322" s="1058"/>
    </row>
    <row r="1323" spans="7:22">
      <c r="T1323" s="1058"/>
    </row>
    <row r="1324" spans="7:22">
      <c r="T1324" s="1058"/>
    </row>
    <row r="1325" spans="7:22">
      <c r="I1325" s="946"/>
      <c r="M1325" s="1533" t="s">
        <v>3699</v>
      </c>
      <c r="O1325" s="1535" t="s">
        <v>3741</v>
      </c>
      <c r="P1325" s="939">
        <f>P1319-R1319</f>
        <v>0</v>
      </c>
      <c r="S1325" s="1068" t="s">
        <v>3848</v>
      </c>
      <c r="T1325" s="1058">
        <f>T1319-V1319</f>
        <v>0</v>
      </c>
    </row>
    <row r="1326" spans="7:22">
      <c r="G1326" s="1574" t="s">
        <v>3530</v>
      </c>
      <c r="H1326" s="1574"/>
      <c r="I1326" s="1574"/>
      <c r="J1326" s="3">
        <f>J1319+L1319</f>
        <v>56100000</v>
      </c>
      <c r="K1326" s="1009"/>
      <c r="L1326" s="3"/>
      <c r="M1326" s="1533" t="s">
        <v>3664</v>
      </c>
      <c r="N1326" s="1527"/>
      <c r="P1326" s="1512"/>
      <c r="T1326" s="1058"/>
    </row>
    <row r="1327" spans="7:22">
      <c r="G1327" s="1574" t="s">
        <v>3512</v>
      </c>
      <c r="H1327" s="1574"/>
      <c r="I1327" s="1574"/>
      <c r="J1327" s="3">
        <f>N1319-J1326</f>
        <v>39010000</v>
      </c>
      <c r="K1327" s="1009"/>
      <c r="L1327" s="3"/>
      <c r="M1327" s="1528"/>
      <c r="Q1327" s="661"/>
      <c r="T1327" s="1058"/>
    </row>
    <row r="1328" spans="7:22">
      <c r="G1328" s="1574" t="s">
        <v>3531</v>
      </c>
      <c r="H1328" s="1574"/>
      <c r="I1328" s="1574"/>
      <c r="J1328" s="3">
        <f>T1325</f>
        <v>0</v>
      </c>
      <c r="Q1328" s="3"/>
      <c r="T1328" s="1058"/>
    </row>
    <row r="1329" spans="7:20">
      <c r="G1329" s="1586" t="s">
        <v>3891</v>
      </c>
      <c r="H1329" s="1586"/>
      <c r="I1329" s="1586"/>
      <c r="J1329" s="922"/>
      <c r="T1329" s="1058"/>
    </row>
    <row r="1349" spans="7:22">
      <c r="G1349" s="1008">
        <v>45964</v>
      </c>
      <c r="H1349" s="1169"/>
      <c r="I1349" s="1575" t="s">
        <v>3510</v>
      </c>
      <c r="J1349" s="1576"/>
      <c r="K1349" s="1575" t="s">
        <v>3509</v>
      </c>
      <c r="L1349" s="1576"/>
      <c r="M1349" s="1575" t="s">
        <v>3541</v>
      </c>
      <c r="N1349" s="1576"/>
      <c r="O1349" s="1577" t="s">
        <v>3598</v>
      </c>
      <c r="P1349" s="1578"/>
      <c r="Q1349" s="1579" t="s">
        <v>3599</v>
      </c>
      <c r="R1349" s="1580"/>
      <c r="S1349" s="1583" t="s">
        <v>3953</v>
      </c>
      <c r="T1349" s="1583"/>
      <c r="U1349" s="1583" t="s">
        <v>3954</v>
      </c>
      <c r="V1349" s="1583"/>
    </row>
    <row r="1350" spans="7:22">
      <c r="G1350" s="1000"/>
      <c r="H1350" s="1000"/>
      <c r="I1350" s="1073" t="s">
        <v>3968</v>
      </c>
      <c r="J1350" s="990">
        <v>94000000</v>
      </c>
      <c r="K1350" s="1532" t="s">
        <v>3363</v>
      </c>
      <c r="L1350" s="49">
        <v>450000</v>
      </c>
      <c r="M1350" s="1495" t="s">
        <v>3512</v>
      </c>
      <c r="N1350" s="49">
        <v>39000000</v>
      </c>
      <c r="O1350" s="1383" t="s">
        <v>3960</v>
      </c>
      <c r="P1350" s="644">
        <v>250000</v>
      </c>
      <c r="Q1350" s="1075" t="s">
        <v>3961</v>
      </c>
      <c r="R1350" s="644">
        <v>225000</v>
      </c>
      <c r="S1350" s="1072"/>
      <c r="T1350" s="1059"/>
      <c r="U1350" s="1071"/>
      <c r="V1350" s="49"/>
    </row>
    <row r="1351" spans="7:22">
      <c r="G1351" s="1028"/>
      <c r="H1351" s="1028"/>
      <c r="I1351" s="1074"/>
      <c r="J1351" s="990"/>
      <c r="K1351" s="1532" t="s">
        <v>3965</v>
      </c>
      <c r="L1351" s="1495">
        <v>500000</v>
      </c>
      <c r="M1351" s="1493" t="s">
        <v>3967</v>
      </c>
      <c r="N1351" s="49">
        <v>60000000</v>
      </c>
      <c r="O1351" s="1383" t="s">
        <v>3962</v>
      </c>
      <c r="P1351" s="644">
        <v>1000000</v>
      </c>
      <c r="Q1351" s="1075" t="s">
        <v>3969</v>
      </c>
      <c r="R1351" s="644">
        <v>40000</v>
      </c>
      <c r="S1351" s="48"/>
      <c r="T1351" s="1059"/>
      <c r="U1351" s="48"/>
      <c r="V1351" s="49"/>
    </row>
    <row r="1352" spans="7:22">
      <c r="G1352" s="48"/>
      <c r="H1352" s="48"/>
      <c r="I1352" s="48"/>
      <c r="J1352" s="990"/>
      <c r="K1352" s="1532" t="s">
        <v>3966</v>
      </c>
      <c r="L1352" s="1495">
        <v>2000000</v>
      </c>
      <c r="M1352" s="1495"/>
      <c r="N1352" s="49"/>
      <c r="O1352" s="1383" t="s">
        <v>3403</v>
      </c>
      <c r="P1352" s="644">
        <v>400000</v>
      </c>
      <c r="Q1352" s="1076"/>
      <c r="R1352" s="644"/>
      <c r="S1352" s="1055"/>
      <c r="T1352" s="1059"/>
      <c r="U1352" s="1078"/>
      <c r="V1352" s="49"/>
    </row>
    <row r="1353" spans="7:22">
      <c r="G1353" s="48"/>
      <c r="H1353" s="48"/>
      <c r="I1353" s="1074"/>
      <c r="J1353" s="990"/>
      <c r="K1353" s="1495"/>
      <c r="L1353" s="49"/>
      <c r="M1353" s="1495"/>
      <c r="N1353" s="49"/>
      <c r="O1353" s="644"/>
      <c r="P1353" s="644">
        <v>940000</v>
      </c>
      <c r="Q1353" s="1076"/>
      <c r="R1353" s="644"/>
      <c r="S1353" s="48"/>
      <c r="T1353" s="1059"/>
      <c r="U1353" s="48"/>
      <c r="V1353" s="49"/>
    </row>
    <row r="1354" spans="7:22">
      <c r="G1354" s="48"/>
      <c r="H1354" s="48"/>
      <c r="I1354" s="1074"/>
      <c r="J1354" s="990"/>
      <c r="K1354" s="1495"/>
      <c r="L1354" s="49"/>
      <c r="M1354" s="1495"/>
      <c r="N1354" s="49"/>
      <c r="O1354" s="644" t="s">
        <v>3963</v>
      </c>
      <c r="P1354" s="644">
        <v>400000</v>
      </c>
      <c r="Q1354" s="1076"/>
      <c r="R1354" s="644"/>
      <c r="S1354" s="48"/>
      <c r="T1354" s="1059"/>
      <c r="U1354" s="48"/>
      <c r="V1354" s="49"/>
    </row>
    <row r="1355" spans="7:22">
      <c r="G1355" s="48"/>
      <c r="H1355" s="48"/>
      <c r="I1355" s="1061"/>
      <c r="J1355" s="49"/>
      <c r="K1355" s="1532"/>
      <c r="L1355" s="49"/>
      <c r="M1355" s="1498"/>
      <c r="N1355" s="49"/>
      <c r="O1355" s="644"/>
      <c r="P1355" s="644"/>
      <c r="Q1355" s="1076"/>
      <c r="R1355" s="644"/>
      <c r="S1355" s="48"/>
      <c r="T1355" s="1059"/>
      <c r="U1355" s="48"/>
      <c r="V1355" s="49"/>
    </row>
    <row r="1356" spans="7:22">
      <c r="G1356" s="48"/>
      <c r="H1356" s="48"/>
      <c r="I1356" s="48"/>
      <c r="J1356" s="49"/>
      <c r="K1356" s="1495"/>
      <c r="L1356" s="49"/>
      <c r="M1356" s="1498"/>
      <c r="N1356" s="49"/>
      <c r="O1356" s="644"/>
      <c r="P1356" s="644"/>
      <c r="Q1356" s="644"/>
      <c r="R1356" s="644"/>
      <c r="S1356" s="48"/>
      <c r="T1356" s="1059"/>
      <c r="U1356" s="48"/>
      <c r="V1356" s="49"/>
    </row>
    <row r="1357" spans="7:22">
      <c r="G1357" s="48"/>
      <c r="H1357" s="48"/>
      <c r="I1357" s="48"/>
      <c r="J1357" s="49"/>
      <c r="K1357" s="1532"/>
      <c r="L1357" s="49"/>
      <c r="M1357" s="1498"/>
      <c r="N1357" s="49"/>
      <c r="O1357" s="644"/>
      <c r="P1357" s="644"/>
      <c r="Q1357" s="644"/>
      <c r="R1357" s="644"/>
      <c r="S1357" s="48"/>
      <c r="T1357" s="1059"/>
      <c r="U1357" s="48"/>
      <c r="V1357" s="49"/>
    </row>
    <row r="1358" spans="7:22">
      <c r="G1358" s="48"/>
      <c r="H1358" s="48"/>
      <c r="I1358" s="48"/>
      <c r="J1358" s="49"/>
      <c r="K1358" s="1495"/>
      <c r="L1358" s="49"/>
      <c r="M1358" s="1498"/>
      <c r="N1358" s="49"/>
      <c r="O1358" s="644"/>
      <c r="P1358" s="644"/>
      <c r="Q1358" s="644"/>
      <c r="R1358" s="644"/>
      <c r="S1358" s="48"/>
      <c r="T1358" s="1059"/>
      <c r="U1358" s="48"/>
      <c r="V1358" s="49"/>
    </row>
    <row r="1359" spans="7:22">
      <c r="G1359" s="48"/>
      <c r="H1359" s="48"/>
      <c r="I1359" s="48"/>
      <c r="J1359" s="49"/>
      <c r="K1359" s="1498"/>
      <c r="L1359" s="49"/>
      <c r="M1359" s="1498"/>
      <c r="N1359" s="49"/>
      <c r="O1359" s="644"/>
      <c r="P1359" s="644"/>
      <c r="Q1359" s="644"/>
      <c r="R1359" s="644"/>
      <c r="S1359" s="48"/>
      <c r="T1359" s="1059"/>
      <c r="U1359" s="48"/>
      <c r="V1359" s="49"/>
    </row>
    <row r="1360" spans="7:22">
      <c r="G1360" s="48"/>
      <c r="H1360" s="48"/>
      <c r="I1360" s="48"/>
      <c r="J1360" s="49"/>
      <c r="K1360" s="1498"/>
      <c r="L1360" s="49"/>
      <c r="M1360" s="1498"/>
      <c r="N1360" s="49"/>
      <c r="O1360" s="644"/>
      <c r="P1360" s="644"/>
      <c r="Q1360" s="644"/>
      <c r="R1360" s="644"/>
      <c r="S1360" s="48"/>
      <c r="T1360" s="1059"/>
      <c r="U1360" s="48"/>
      <c r="V1360" s="48"/>
    </row>
    <row r="1361" spans="7:22">
      <c r="G1361" s="48"/>
      <c r="H1361" s="48"/>
      <c r="I1361" s="48"/>
      <c r="J1361" s="49"/>
      <c r="K1361" s="49"/>
      <c r="L1361" s="49"/>
      <c r="M1361" s="1498"/>
      <c r="N1361" s="49"/>
      <c r="O1361" s="644"/>
      <c r="P1361" s="644"/>
      <c r="Q1361" s="644"/>
      <c r="R1361" s="644"/>
      <c r="S1361" s="48"/>
      <c r="T1361" s="1059"/>
      <c r="U1361" s="48"/>
      <c r="V1361" s="48"/>
    </row>
    <row r="1362" spans="7:22">
      <c r="G1362" s="48"/>
      <c r="H1362" s="48"/>
      <c r="I1362" s="48"/>
      <c r="J1362" s="954">
        <f>SUM(J1350:J1358)</f>
        <v>94000000</v>
      </c>
      <c r="K1362" s="954"/>
      <c r="L1362" s="954">
        <f>SUM(L1350:L1361)</f>
        <v>2950000</v>
      </c>
      <c r="M1362" s="1498"/>
      <c r="N1362" s="954">
        <f>SUM(N1350:N1361)</f>
        <v>99000000</v>
      </c>
      <c r="O1362" s="644"/>
      <c r="P1362" s="969">
        <f>SUM(P1350:P1356)</f>
        <v>2990000</v>
      </c>
      <c r="Q1362" s="969"/>
      <c r="R1362" s="969">
        <f>SUM(R1350:R1356)</f>
        <v>265000</v>
      </c>
      <c r="S1362" s="48"/>
      <c r="T1362" s="1059">
        <f>SUM(T1350:T1361)</f>
        <v>0</v>
      </c>
      <c r="U1362" s="48"/>
      <c r="V1362" s="878">
        <f>SUM(V1350:V1361)</f>
        <v>0</v>
      </c>
    </row>
    <row r="1363" spans="7:22">
      <c r="T1363" s="1058"/>
    </row>
    <row r="1364" spans="7:22">
      <c r="T1364" s="1058"/>
    </row>
    <row r="1365" spans="7:22">
      <c r="R1365" s="661"/>
      <c r="T1365" s="1058"/>
    </row>
    <row r="1366" spans="7:22">
      <c r="T1366" s="1058"/>
    </row>
    <row r="1367" spans="7:22">
      <c r="T1367" s="1058"/>
    </row>
    <row r="1368" spans="7:22">
      <c r="I1368" s="946"/>
      <c r="M1368" s="1533" t="s">
        <v>3699</v>
      </c>
      <c r="O1368" s="1535" t="s">
        <v>3741</v>
      </c>
      <c r="P1368" s="939">
        <f>P1362-R1362</f>
        <v>2725000</v>
      </c>
      <c r="S1368" s="1068" t="s">
        <v>3848</v>
      </c>
      <c r="T1368" s="1058">
        <f>T1362-V1362</f>
        <v>0</v>
      </c>
    </row>
    <row r="1369" spans="7:22">
      <c r="G1369" s="1574" t="s">
        <v>3530</v>
      </c>
      <c r="H1369" s="1574"/>
      <c r="I1369" s="1574"/>
      <c r="J1369" s="3">
        <f>J1362+L1362</f>
        <v>96950000</v>
      </c>
      <c r="K1369" s="1009"/>
      <c r="L1369" s="3"/>
      <c r="M1369" s="1533" t="s">
        <v>3664</v>
      </c>
      <c r="N1369" s="1527"/>
      <c r="P1369" s="1512"/>
      <c r="T1369" s="1058"/>
    </row>
    <row r="1370" spans="7:22">
      <c r="G1370" s="1574" t="s">
        <v>3512</v>
      </c>
      <c r="H1370" s="1574"/>
      <c r="I1370" s="1574"/>
      <c r="J1370" s="3">
        <f>N1362-J1369</f>
        <v>2050000</v>
      </c>
      <c r="K1370" s="1009"/>
      <c r="L1370" s="3"/>
      <c r="M1370" s="1528"/>
      <c r="Q1370" s="661"/>
      <c r="T1370" s="1058"/>
    </row>
    <row r="1371" spans="7:22">
      <c r="G1371" s="1574" t="s">
        <v>3531</v>
      </c>
      <c r="H1371" s="1574"/>
      <c r="I1371" s="1574"/>
      <c r="J1371" s="3">
        <f>T1368</f>
        <v>0</v>
      </c>
      <c r="Q1371" s="3"/>
      <c r="T1371" s="1058"/>
    </row>
    <row r="1372" spans="7:22">
      <c r="G1372" s="1586" t="s">
        <v>3891</v>
      </c>
      <c r="H1372" s="1586"/>
      <c r="I1372" s="1586"/>
      <c r="J1372" s="922"/>
      <c r="T1372" s="1058"/>
    </row>
    <row r="1382" spans="7:22">
      <c r="G1382" s="1008">
        <v>45965</v>
      </c>
      <c r="H1382" s="1169"/>
      <c r="I1382" s="1575" t="s">
        <v>3510</v>
      </c>
      <c r="J1382" s="1576"/>
      <c r="K1382" s="1575" t="s">
        <v>3509</v>
      </c>
      <c r="L1382" s="1576"/>
      <c r="M1382" s="1575" t="s">
        <v>3541</v>
      </c>
      <c r="N1382" s="1576"/>
      <c r="O1382" s="1577" t="s">
        <v>3598</v>
      </c>
      <c r="P1382" s="1578"/>
      <c r="Q1382" s="1579" t="s">
        <v>3599</v>
      </c>
      <c r="R1382" s="1580"/>
      <c r="S1382" s="1583" t="s">
        <v>3953</v>
      </c>
      <c r="T1382" s="1583"/>
      <c r="U1382" s="1583" t="s">
        <v>3954</v>
      </c>
      <c r="V1382" s="1583"/>
    </row>
    <row r="1383" spans="7:22">
      <c r="G1383" s="1000"/>
      <c r="H1383" s="1000"/>
      <c r="I1383" s="1073"/>
      <c r="J1383" s="990"/>
      <c r="K1383" s="1532" t="s">
        <v>3532</v>
      </c>
      <c r="L1383" s="49">
        <v>270000</v>
      </c>
      <c r="M1383" s="1495" t="s">
        <v>3897</v>
      </c>
      <c r="N1383" s="49">
        <v>418572000</v>
      </c>
      <c r="O1383" s="1383" t="s">
        <v>3960</v>
      </c>
      <c r="P1383" s="644">
        <v>2725000</v>
      </c>
      <c r="Q1383" s="1075" t="s">
        <v>3970</v>
      </c>
      <c r="R1383" s="644">
        <v>200000</v>
      </c>
      <c r="S1383" s="1072"/>
      <c r="T1383" s="1059"/>
      <c r="U1383" s="1071"/>
      <c r="V1383" s="49"/>
    </row>
    <row r="1384" spans="7:22">
      <c r="G1384" s="1028"/>
      <c r="H1384" s="1028"/>
      <c r="I1384" s="1074" t="s">
        <v>3975</v>
      </c>
      <c r="J1384" s="990">
        <v>21390000</v>
      </c>
      <c r="K1384" s="1383" t="s">
        <v>3974</v>
      </c>
      <c r="L1384" s="644">
        <v>800000</v>
      </c>
      <c r="M1384" s="1493" t="s">
        <v>3973</v>
      </c>
      <c r="N1384" s="49">
        <v>23500000</v>
      </c>
      <c r="O1384" s="1383" t="s">
        <v>3982</v>
      </c>
      <c r="P1384" s="644">
        <v>2500000</v>
      </c>
      <c r="Q1384" s="1075" t="s">
        <v>3971</v>
      </c>
      <c r="R1384" s="644">
        <v>100000</v>
      </c>
      <c r="S1384" s="48"/>
      <c r="T1384" s="1059"/>
      <c r="U1384" s="48"/>
      <c r="V1384" s="49"/>
    </row>
    <row r="1385" spans="7:22">
      <c r="G1385" s="48"/>
      <c r="H1385" s="48"/>
      <c r="I1385" s="1074" t="s">
        <v>3976</v>
      </c>
      <c r="J1385" s="990">
        <v>20900000</v>
      </c>
      <c r="K1385" s="1532"/>
      <c r="L1385" s="1495">
        <v>100000</v>
      </c>
      <c r="M1385" s="1495" t="s">
        <v>3455</v>
      </c>
      <c r="N1385" s="49">
        <v>3450000</v>
      </c>
      <c r="O1385" s="1383" t="s">
        <v>3983</v>
      </c>
      <c r="P1385" s="1383">
        <v>500000</v>
      </c>
      <c r="Q1385" s="1076" t="s">
        <v>3312</v>
      </c>
      <c r="R1385" s="644">
        <v>500000</v>
      </c>
      <c r="S1385" s="1055"/>
      <c r="T1385" s="1059"/>
      <c r="U1385" s="1078"/>
      <c r="V1385" s="49"/>
    </row>
    <row r="1386" spans="7:22">
      <c r="G1386" s="48"/>
      <c r="H1386" s="48"/>
      <c r="I1386" s="1074" t="s">
        <v>3977</v>
      </c>
      <c r="J1386" s="990">
        <v>15810000</v>
      </c>
      <c r="K1386" s="1495"/>
      <c r="L1386" s="49">
        <v>100000</v>
      </c>
      <c r="M1386" s="1495"/>
      <c r="N1386" s="49"/>
      <c r="O1386" s="644"/>
      <c r="P1386" s="644"/>
      <c r="Q1386" s="1076" t="s">
        <v>3972</v>
      </c>
      <c r="R1386" s="644">
        <v>41200</v>
      </c>
      <c r="S1386" s="48"/>
      <c r="T1386" s="1059"/>
      <c r="U1386" s="48"/>
      <c r="V1386" s="49"/>
    </row>
    <row r="1387" spans="7:22">
      <c r="G1387" s="48"/>
      <c r="H1387" s="48"/>
      <c r="I1387" s="1074" t="s">
        <v>3978</v>
      </c>
      <c r="J1387" s="990">
        <v>30690000</v>
      </c>
      <c r="K1387" s="1495"/>
      <c r="L1387" s="49"/>
      <c r="M1387" s="1495"/>
      <c r="N1387" s="49"/>
      <c r="O1387" s="644"/>
      <c r="P1387" s="644"/>
      <c r="Q1387" s="1076"/>
      <c r="R1387" s="644">
        <v>25000</v>
      </c>
      <c r="S1387" s="48"/>
      <c r="T1387" s="1059"/>
      <c r="U1387" s="48"/>
      <c r="V1387" s="49"/>
    </row>
    <row r="1388" spans="7:22">
      <c r="G1388" s="48"/>
      <c r="H1388" s="48"/>
      <c r="I1388" s="1074" t="s">
        <v>3979</v>
      </c>
      <c r="J1388" s="49">
        <v>30360000</v>
      </c>
      <c r="K1388" s="1532"/>
      <c r="L1388" s="49"/>
      <c r="M1388" s="1498"/>
      <c r="N1388" s="49"/>
      <c r="O1388" s="644"/>
      <c r="P1388" s="644"/>
      <c r="Q1388" s="1076"/>
      <c r="R1388" s="644">
        <v>259000</v>
      </c>
      <c r="S1388" s="48"/>
      <c r="T1388" s="1059"/>
      <c r="U1388" s="48"/>
      <c r="V1388" s="49"/>
    </row>
    <row r="1389" spans="7:22">
      <c r="G1389" s="48"/>
      <c r="H1389" s="48"/>
      <c r="I1389" s="1074" t="s">
        <v>3980</v>
      </c>
      <c r="J1389" s="49">
        <v>29440000</v>
      </c>
      <c r="K1389" s="1495"/>
      <c r="L1389" s="49"/>
      <c r="M1389" s="1498"/>
      <c r="N1389" s="49"/>
      <c r="O1389" s="644"/>
      <c r="P1389" s="644"/>
      <c r="Q1389" s="1076"/>
      <c r="R1389" s="644"/>
      <c r="S1389" s="48"/>
      <c r="T1389" s="1059"/>
      <c r="U1389" s="48"/>
      <c r="V1389" s="49"/>
    </row>
    <row r="1390" spans="7:22">
      <c r="G1390" s="48"/>
      <c r="H1390" s="48"/>
      <c r="I1390" s="1074" t="s">
        <v>3981</v>
      </c>
      <c r="J1390" s="49">
        <v>15000000</v>
      </c>
      <c r="K1390" s="1532"/>
      <c r="L1390" s="49"/>
      <c r="M1390" s="1498"/>
      <c r="N1390" s="49"/>
      <c r="O1390" s="644"/>
      <c r="P1390" s="644"/>
      <c r="Q1390" s="644"/>
      <c r="R1390" s="644"/>
      <c r="S1390" s="48"/>
      <c r="T1390" s="1059"/>
      <c r="U1390" s="48"/>
      <c r="V1390" s="49"/>
    </row>
    <row r="1391" spans="7:22">
      <c r="G1391" s="48"/>
      <c r="H1391" s="48"/>
      <c r="I1391" s="48"/>
      <c r="J1391" s="49"/>
      <c r="K1391" s="1495"/>
      <c r="L1391" s="49"/>
      <c r="M1391" s="1498"/>
      <c r="N1391" s="49"/>
      <c r="O1391" s="644"/>
      <c r="P1391" s="644"/>
      <c r="Q1391" s="644"/>
      <c r="R1391" s="644"/>
      <c r="S1391" s="48"/>
      <c r="T1391" s="1059"/>
      <c r="U1391" s="48"/>
      <c r="V1391" s="49"/>
    </row>
    <row r="1392" spans="7:22">
      <c r="G1392" s="48"/>
      <c r="H1392" s="48"/>
      <c r="I1392" s="48"/>
      <c r="J1392" s="49"/>
      <c r="K1392" s="1498"/>
      <c r="L1392" s="49"/>
      <c r="M1392" s="1498"/>
      <c r="N1392" s="49"/>
      <c r="O1392" s="644"/>
      <c r="P1392" s="644"/>
      <c r="Q1392" s="644"/>
      <c r="R1392" s="644"/>
      <c r="S1392" s="48"/>
      <c r="T1392" s="1059"/>
      <c r="U1392" s="48"/>
      <c r="V1392" s="49"/>
    </row>
    <row r="1393" spans="7:22">
      <c r="G1393" s="48"/>
      <c r="H1393" s="48"/>
      <c r="I1393" s="48"/>
      <c r="J1393" s="49"/>
      <c r="K1393" s="1498"/>
      <c r="L1393" s="49"/>
      <c r="M1393" s="1498"/>
      <c r="N1393" s="49"/>
      <c r="O1393" s="644"/>
      <c r="P1393" s="644"/>
      <c r="Q1393" s="644"/>
      <c r="R1393" s="644"/>
      <c r="S1393" s="48"/>
      <c r="T1393" s="1059"/>
      <c r="U1393" s="48"/>
      <c r="V1393" s="48"/>
    </row>
    <row r="1394" spans="7:22">
      <c r="G1394" s="48"/>
      <c r="H1394" s="48"/>
      <c r="I1394" s="48"/>
      <c r="J1394" s="49"/>
      <c r="K1394" s="49"/>
      <c r="L1394" s="49"/>
      <c r="M1394" s="1498"/>
      <c r="N1394" s="49"/>
      <c r="O1394" s="644"/>
      <c r="P1394" s="644"/>
      <c r="Q1394" s="644"/>
      <c r="R1394" s="644"/>
      <c r="S1394" s="48"/>
      <c r="T1394" s="1059"/>
      <c r="U1394" s="48"/>
      <c r="V1394" s="48"/>
    </row>
    <row r="1395" spans="7:22">
      <c r="G1395" s="48"/>
      <c r="H1395" s="48"/>
      <c r="I1395" s="48"/>
      <c r="J1395" s="954">
        <f>SUM(J1383:J1391)</f>
        <v>163590000</v>
      </c>
      <c r="K1395" s="954"/>
      <c r="L1395" s="954">
        <f>SUM(L1383:L1394)</f>
        <v>1270000</v>
      </c>
      <c r="M1395" s="1498"/>
      <c r="N1395" s="954">
        <f>SUM(N1383:N1394)</f>
        <v>445522000</v>
      </c>
      <c r="O1395" s="644"/>
      <c r="P1395" s="969">
        <f>SUM(P1383:P1389)</f>
        <v>5725000</v>
      </c>
      <c r="Q1395" s="969"/>
      <c r="R1395" s="969">
        <f>SUM(R1383:R1389)</f>
        <v>1125200</v>
      </c>
      <c r="S1395" s="48"/>
      <c r="T1395" s="1059">
        <f>SUM(T1383:T1394)</f>
        <v>0</v>
      </c>
      <c r="U1395" s="48"/>
      <c r="V1395" s="878">
        <f>SUM(V1383:V1394)</f>
        <v>0</v>
      </c>
    </row>
    <row r="1396" spans="7:22">
      <c r="T1396" s="1058"/>
    </row>
    <row r="1397" spans="7:22">
      <c r="T1397" s="1058"/>
    </row>
    <row r="1398" spans="7:22">
      <c r="R1398" s="661"/>
      <c r="T1398" s="1058"/>
    </row>
    <row r="1399" spans="7:22">
      <c r="T1399" s="1058"/>
    </row>
    <row r="1400" spans="7:22">
      <c r="T1400" s="1058"/>
    </row>
    <row r="1401" spans="7:22">
      <c r="I1401" s="946"/>
      <c r="M1401" s="1533" t="s">
        <v>3699</v>
      </c>
      <c r="N1401" s="3">
        <v>422800000</v>
      </c>
      <c r="O1401" s="1535" t="s">
        <v>3741</v>
      </c>
      <c r="P1401" s="939">
        <f>P1395-R1395</f>
        <v>4599800</v>
      </c>
      <c r="S1401" s="1068" t="s">
        <v>3848</v>
      </c>
      <c r="T1401" s="1058">
        <f>T1395-V1395</f>
        <v>0</v>
      </c>
    </row>
    <row r="1402" spans="7:22">
      <c r="G1402" s="1574" t="s">
        <v>3530</v>
      </c>
      <c r="H1402" s="1574"/>
      <c r="I1402" s="1574"/>
      <c r="J1402" s="3">
        <f>J1395+L1395</f>
        <v>164860000</v>
      </c>
      <c r="K1402" s="1009"/>
      <c r="L1402" s="3"/>
      <c r="M1402" s="1533" t="s">
        <v>3664</v>
      </c>
      <c r="N1402" s="1527">
        <f>N1401*0.99</f>
        <v>418572000</v>
      </c>
      <c r="P1402" s="1512"/>
      <c r="T1402" s="1058"/>
    </row>
    <row r="1403" spans="7:22">
      <c r="G1403" s="1574" t="s">
        <v>3512</v>
      </c>
      <c r="H1403" s="1574"/>
      <c r="I1403" s="1574"/>
      <c r="J1403" s="3">
        <f>N1395-J1402+2000000</f>
        <v>282662000</v>
      </c>
      <c r="K1403" s="1009"/>
      <c r="L1403" s="3"/>
      <c r="M1403" s="1528"/>
      <c r="Q1403" s="661"/>
      <c r="T1403" s="1058"/>
    </row>
    <row r="1404" spans="7:22">
      <c r="G1404" s="1574" t="s">
        <v>3531</v>
      </c>
      <c r="H1404" s="1574"/>
      <c r="I1404" s="1574"/>
      <c r="J1404" s="3">
        <f>T1401</f>
        <v>0</v>
      </c>
      <c r="Q1404" s="3"/>
      <c r="T1404" s="1058"/>
    </row>
    <row r="1405" spans="7:22">
      <c r="G1405" s="1586" t="s">
        <v>3891</v>
      </c>
      <c r="H1405" s="1586"/>
      <c r="I1405" s="1586"/>
      <c r="J1405" s="922"/>
      <c r="P1405" s="1527">
        <v>4474000</v>
      </c>
      <c r="T1405" s="1058"/>
    </row>
    <row r="1406" spans="7:22">
      <c r="J1406" s="3">
        <f>281200000-J1403</f>
        <v>-1462000</v>
      </c>
      <c r="P1406" s="1527">
        <f>P1405-P1401</f>
        <v>-125800</v>
      </c>
    </row>
    <row r="1420" spans="7:22">
      <c r="G1420" s="1008">
        <v>45966</v>
      </c>
      <c r="H1420" s="1169"/>
      <c r="I1420" s="1575" t="s">
        <v>3510</v>
      </c>
      <c r="J1420" s="1576"/>
      <c r="K1420" s="1575" t="s">
        <v>3509</v>
      </c>
      <c r="L1420" s="1576"/>
      <c r="M1420" s="1575" t="s">
        <v>3541</v>
      </c>
      <c r="N1420" s="1576"/>
      <c r="O1420" s="1577" t="s">
        <v>3598</v>
      </c>
      <c r="P1420" s="1578"/>
      <c r="Q1420" s="1579" t="s">
        <v>3599</v>
      </c>
      <c r="R1420" s="1580"/>
      <c r="S1420" s="1583" t="s">
        <v>3953</v>
      </c>
      <c r="T1420" s="1583"/>
      <c r="U1420" s="1583" t="s">
        <v>3954</v>
      </c>
      <c r="V1420" s="1583"/>
    </row>
    <row r="1421" spans="7:22">
      <c r="G1421" s="1000"/>
      <c r="H1421" s="1000"/>
      <c r="I1421" s="1073" t="s">
        <v>3988</v>
      </c>
      <c r="J1421" s="990">
        <v>29700000</v>
      </c>
      <c r="K1421" s="1532" t="s">
        <v>3363</v>
      </c>
      <c r="L1421" s="49">
        <v>3250000</v>
      </c>
      <c r="M1421" s="1495" t="s">
        <v>3512</v>
      </c>
      <c r="N1421" s="49">
        <v>280000000</v>
      </c>
      <c r="O1421" s="1383" t="s">
        <v>3991</v>
      </c>
      <c r="P1421" s="644">
        <v>4673000</v>
      </c>
      <c r="Q1421" s="1075"/>
      <c r="R1421" s="644"/>
      <c r="S1421" s="1072"/>
      <c r="T1421" s="1059"/>
      <c r="U1421" s="1071"/>
      <c r="V1421" s="49"/>
    </row>
    <row r="1422" spans="7:22">
      <c r="G1422" s="1028"/>
      <c r="H1422" s="1028"/>
      <c r="I1422" s="1074" t="s">
        <v>3989</v>
      </c>
      <c r="J1422" s="990">
        <v>15000000</v>
      </c>
      <c r="K1422" s="1171" t="s">
        <v>3990</v>
      </c>
      <c r="L1422" s="1081">
        <v>1000000</v>
      </c>
      <c r="M1422" s="1493" t="s">
        <v>3984</v>
      </c>
      <c r="N1422" s="49">
        <v>17800000</v>
      </c>
      <c r="O1422" s="1383"/>
      <c r="P1422" s="644"/>
      <c r="Q1422" s="1075"/>
      <c r="R1422" s="644"/>
      <c r="S1422" s="48"/>
      <c r="T1422" s="1059"/>
      <c r="U1422" s="48"/>
      <c r="V1422" s="49"/>
    </row>
    <row r="1423" spans="7:22">
      <c r="G1423" s="48"/>
      <c r="H1423" s="48"/>
      <c r="I1423" s="1074"/>
      <c r="J1423" s="990"/>
      <c r="K1423" s="1532" t="s">
        <v>3532</v>
      </c>
      <c r="L1423" s="1495">
        <v>450000</v>
      </c>
      <c r="M1423" s="1493" t="s">
        <v>3984</v>
      </c>
      <c r="N1423" s="49">
        <v>5000000</v>
      </c>
      <c r="O1423" s="1383"/>
      <c r="P1423" s="1383"/>
      <c r="Q1423" s="1076"/>
      <c r="R1423" s="644"/>
      <c r="S1423" s="1055"/>
      <c r="T1423" s="1059"/>
      <c r="U1423" s="1078"/>
      <c r="V1423" s="49"/>
    </row>
    <row r="1424" spans="7:22">
      <c r="G1424" s="48"/>
      <c r="H1424" s="48"/>
      <c r="I1424" s="1074"/>
      <c r="J1424" s="990"/>
      <c r="K1424" s="1495" t="s">
        <v>3747</v>
      </c>
      <c r="L1424" s="49">
        <v>3000000</v>
      </c>
      <c r="M1424" s="1495" t="s">
        <v>3987</v>
      </c>
      <c r="N1424" s="49">
        <v>7900000</v>
      </c>
      <c r="O1424" s="644"/>
      <c r="P1424" s="644"/>
      <c r="Q1424" s="1076"/>
      <c r="R1424" s="644"/>
      <c r="S1424" s="48"/>
      <c r="T1424" s="1059"/>
      <c r="U1424" s="48"/>
      <c r="V1424" s="49"/>
    </row>
    <row r="1425" spans="7:22">
      <c r="G1425" s="48"/>
      <c r="H1425" s="48"/>
      <c r="I1425" s="1074"/>
      <c r="J1425" s="990"/>
      <c r="K1425" s="1495"/>
      <c r="L1425" s="49"/>
      <c r="M1425" s="1495" t="s">
        <v>3897</v>
      </c>
      <c r="N1425" s="49">
        <v>316000000</v>
      </c>
      <c r="O1425" s="644"/>
      <c r="P1425" s="644"/>
      <c r="Q1425" s="1076"/>
      <c r="R1425" s="644"/>
      <c r="S1425" s="48"/>
      <c r="T1425" s="1059"/>
      <c r="U1425" s="48"/>
      <c r="V1425" s="49"/>
    </row>
    <row r="1426" spans="7:22">
      <c r="G1426" s="48"/>
      <c r="H1426" s="48"/>
      <c r="I1426" s="1074"/>
      <c r="J1426" s="49"/>
      <c r="K1426" s="1532"/>
      <c r="L1426" s="49"/>
      <c r="M1426" s="1498"/>
      <c r="N1426" s="49">
        <v>1000000</v>
      </c>
      <c r="O1426" s="644"/>
      <c r="P1426" s="644"/>
      <c r="Q1426" s="1076"/>
      <c r="R1426" s="644"/>
      <c r="S1426" s="48"/>
      <c r="T1426" s="1059"/>
      <c r="U1426" s="48"/>
      <c r="V1426" s="49"/>
    </row>
    <row r="1427" spans="7:22">
      <c r="G1427" s="48"/>
      <c r="H1427" s="48"/>
      <c r="I1427" s="1074"/>
      <c r="J1427" s="49"/>
      <c r="K1427" s="1495"/>
      <c r="L1427" s="49"/>
      <c r="M1427" s="1498"/>
      <c r="N1427" s="49"/>
      <c r="O1427" s="644"/>
      <c r="P1427" s="644"/>
      <c r="Q1427" s="1076"/>
      <c r="R1427" s="644"/>
      <c r="S1427" s="48"/>
      <c r="T1427" s="1059"/>
      <c r="U1427" s="48"/>
      <c r="V1427" s="49"/>
    </row>
    <row r="1428" spans="7:22">
      <c r="G1428" s="48"/>
      <c r="H1428" s="48"/>
      <c r="I1428" s="1074"/>
      <c r="J1428" s="49"/>
      <c r="K1428" s="1532"/>
      <c r="L1428" s="49"/>
      <c r="M1428" s="1498"/>
      <c r="N1428" s="49"/>
      <c r="O1428" s="644"/>
      <c r="P1428" s="644"/>
      <c r="Q1428" s="644"/>
      <c r="R1428" s="644"/>
      <c r="S1428" s="48"/>
      <c r="T1428" s="1059"/>
      <c r="U1428" s="48"/>
      <c r="V1428" s="49"/>
    </row>
    <row r="1429" spans="7:22">
      <c r="G1429" s="48"/>
      <c r="H1429" s="48"/>
      <c r="I1429" s="48"/>
      <c r="J1429" s="49"/>
      <c r="K1429" s="1495"/>
      <c r="L1429" s="49"/>
      <c r="M1429" s="1498"/>
      <c r="N1429" s="49"/>
      <c r="O1429" s="644"/>
      <c r="P1429" s="644"/>
      <c r="Q1429" s="644"/>
      <c r="R1429" s="644"/>
      <c r="S1429" s="48"/>
      <c r="T1429" s="1059"/>
      <c r="U1429" s="48"/>
      <c r="V1429" s="49"/>
    </row>
    <row r="1430" spans="7:22">
      <c r="G1430" s="48"/>
      <c r="H1430" s="48"/>
      <c r="I1430" s="48"/>
      <c r="J1430" s="49"/>
      <c r="K1430" s="1498"/>
      <c r="L1430" s="49"/>
      <c r="M1430" s="1498"/>
      <c r="N1430" s="49"/>
      <c r="O1430" s="644"/>
      <c r="P1430" s="644"/>
      <c r="Q1430" s="644"/>
      <c r="R1430" s="644"/>
      <c r="S1430" s="48"/>
      <c r="T1430" s="1059"/>
      <c r="U1430" s="48"/>
      <c r="V1430" s="49"/>
    </row>
    <row r="1431" spans="7:22">
      <c r="G1431" s="48"/>
      <c r="H1431" s="48"/>
      <c r="I1431" s="48"/>
      <c r="J1431" s="49"/>
      <c r="K1431" s="1498"/>
      <c r="L1431" s="49"/>
      <c r="M1431" s="1498"/>
      <c r="N1431" s="49"/>
      <c r="O1431" s="644"/>
      <c r="P1431" s="644"/>
      <c r="Q1431" s="644"/>
      <c r="R1431" s="644"/>
      <c r="S1431" s="48"/>
      <c r="T1431" s="1059"/>
      <c r="U1431" s="48"/>
      <c r="V1431" s="48"/>
    </row>
    <row r="1432" spans="7:22">
      <c r="G1432" s="48"/>
      <c r="H1432" s="48"/>
      <c r="I1432" s="48"/>
      <c r="J1432" s="49"/>
      <c r="K1432" s="49"/>
      <c r="L1432" s="49"/>
      <c r="M1432" s="1498"/>
      <c r="N1432" s="49"/>
      <c r="O1432" s="644"/>
      <c r="P1432" s="644"/>
      <c r="Q1432" s="644"/>
      <c r="R1432" s="644"/>
      <c r="S1432" s="48"/>
      <c r="T1432" s="1059"/>
      <c r="U1432" s="48"/>
      <c r="V1432" s="48"/>
    </row>
    <row r="1433" spans="7:22">
      <c r="G1433" s="48"/>
      <c r="H1433" s="48"/>
      <c r="I1433" s="48"/>
      <c r="J1433" s="954">
        <f>SUM(J1421:J1429)</f>
        <v>44700000</v>
      </c>
      <c r="K1433" s="954"/>
      <c r="L1433" s="954">
        <f>SUM(L1421:L1432)</f>
        <v>7700000</v>
      </c>
      <c r="M1433" s="1498"/>
      <c r="N1433" s="954">
        <f>SUM(N1421:N1432)</f>
        <v>627700000</v>
      </c>
      <c r="O1433" s="644"/>
      <c r="P1433" s="969">
        <f>SUM(P1421:P1427)</f>
        <v>4673000</v>
      </c>
      <c r="Q1433" s="969"/>
      <c r="R1433" s="969">
        <f>SUM(R1421:R1427)</f>
        <v>0</v>
      </c>
      <c r="S1433" s="48"/>
      <c r="T1433" s="1059">
        <f>SUM(T1421:T1432)</f>
        <v>0</v>
      </c>
      <c r="U1433" s="48"/>
      <c r="V1433" s="878">
        <f>SUM(V1421:V1432)</f>
        <v>0</v>
      </c>
    </row>
    <row r="1434" spans="7:22">
      <c r="T1434" s="1058"/>
    </row>
    <row r="1435" spans="7:22">
      <c r="T1435" s="1058"/>
    </row>
    <row r="1436" spans="7:22">
      <c r="R1436" s="661"/>
      <c r="T1436" s="1058"/>
    </row>
    <row r="1437" spans="7:22">
      <c r="T1437" s="1058"/>
    </row>
    <row r="1438" spans="7:22">
      <c r="T1438" s="1058"/>
    </row>
    <row r="1439" spans="7:22">
      <c r="I1439" s="946"/>
      <c r="M1439" s="1533" t="s">
        <v>3699</v>
      </c>
      <c r="N1439" s="3">
        <v>0</v>
      </c>
      <c r="O1439" s="1535" t="s">
        <v>3741</v>
      </c>
      <c r="P1439" s="939">
        <f>P1433-R1433</f>
        <v>4673000</v>
      </c>
      <c r="S1439" s="1068" t="s">
        <v>3848</v>
      </c>
      <c r="T1439" s="1058">
        <f>T1433-V1433</f>
        <v>0</v>
      </c>
    </row>
    <row r="1440" spans="7:22">
      <c r="G1440" s="1574" t="s">
        <v>3530</v>
      </c>
      <c r="H1440" s="1574"/>
      <c r="I1440" s="1574"/>
      <c r="J1440" s="3">
        <f>J1433+L1433</f>
        <v>52400000</v>
      </c>
      <c r="K1440" s="1009"/>
      <c r="L1440" s="3"/>
      <c r="M1440" s="1533" t="s">
        <v>3664</v>
      </c>
      <c r="N1440" s="1527">
        <f>N1439*0.99</f>
        <v>0</v>
      </c>
      <c r="P1440" s="1512"/>
      <c r="T1440" s="1058"/>
    </row>
    <row r="1441" spans="7:22">
      <c r="G1441" s="1574" t="s">
        <v>3512</v>
      </c>
      <c r="H1441" s="1574"/>
      <c r="I1441" s="1574"/>
      <c r="J1441" s="3">
        <f>N1433-J1440</f>
        <v>575300000</v>
      </c>
      <c r="K1441" s="1009"/>
      <c r="L1441" s="3"/>
      <c r="M1441" s="1528"/>
      <c r="Q1441" s="661"/>
      <c r="T1441" s="1058"/>
    </row>
    <row r="1442" spans="7:22">
      <c r="G1442" s="1574" t="s">
        <v>3531</v>
      </c>
      <c r="H1442" s="1574"/>
      <c r="I1442" s="1574"/>
      <c r="J1442" s="3">
        <f>T1439</f>
        <v>0</v>
      </c>
      <c r="Q1442" s="3"/>
      <c r="T1442" s="1058"/>
    </row>
    <row r="1443" spans="7:22">
      <c r="G1443" s="1586" t="s">
        <v>3891</v>
      </c>
      <c r="H1443" s="1586"/>
      <c r="I1443" s="1586"/>
      <c r="J1443" s="922"/>
      <c r="T1443" s="1058"/>
    </row>
    <row r="1454" spans="7:22">
      <c r="G1454" s="1008">
        <v>45967</v>
      </c>
      <c r="H1454" s="1169"/>
      <c r="I1454" s="1575" t="s">
        <v>3510</v>
      </c>
      <c r="J1454" s="1576"/>
      <c r="K1454" s="1575" t="s">
        <v>3509</v>
      </c>
      <c r="L1454" s="1576"/>
      <c r="M1454" s="1575" t="s">
        <v>3541</v>
      </c>
      <c r="N1454" s="1576"/>
      <c r="O1454" s="1577" t="s">
        <v>3598</v>
      </c>
      <c r="P1454" s="1578"/>
      <c r="Q1454" s="1579" t="s">
        <v>3599</v>
      </c>
      <c r="R1454" s="1580"/>
      <c r="S1454" s="1583" t="s">
        <v>3953</v>
      </c>
      <c r="T1454" s="1583"/>
      <c r="U1454" s="1583" t="s">
        <v>3954</v>
      </c>
      <c r="V1454" s="1583"/>
    </row>
    <row r="1455" spans="7:22">
      <c r="G1455" s="1000"/>
      <c r="H1455" s="1000"/>
      <c r="I1455" s="1073" t="s">
        <v>3994</v>
      </c>
      <c r="J1455" s="990">
        <v>4275000</v>
      </c>
      <c r="K1455" s="1532" t="s">
        <v>3363</v>
      </c>
      <c r="L1455" s="49">
        <v>2000000</v>
      </c>
      <c r="M1455" s="1495" t="s">
        <v>3512</v>
      </c>
      <c r="N1455" s="49">
        <v>150000000</v>
      </c>
      <c r="O1455" s="1383" t="s">
        <v>3991</v>
      </c>
      <c r="P1455" s="644">
        <v>4673000</v>
      </c>
      <c r="Q1455" s="1075" t="s">
        <v>3995</v>
      </c>
      <c r="R1455" s="644">
        <v>700000</v>
      </c>
      <c r="S1455" s="1072"/>
      <c r="T1455" s="1059"/>
      <c r="U1455" s="1071"/>
      <c r="V1455" s="49"/>
    </row>
    <row r="1456" spans="7:22">
      <c r="G1456" s="1028"/>
      <c r="H1456" s="1028"/>
      <c r="I1456" s="1074" t="s">
        <v>3999</v>
      </c>
      <c r="J1456" s="990">
        <v>19800000</v>
      </c>
      <c r="K1456" s="1171" t="s">
        <v>3993</v>
      </c>
      <c r="L1456" s="1081">
        <f>400000+520000+5000000</f>
        <v>5920000</v>
      </c>
      <c r="M1456" s="1495" t="s">
        <v>3992</v>
      </c>
      <c r="N1456" s="49">
        <v>1200000</v>
      </c>
      <c r="O1456" s="1383" t="s">
        <v>3992</v>
      </c>
      <c r="P1456" s="644">
        <v>300000</v>
      </c>
      <c r="Q1456" s="1075" t="s">
        <v>3613</v>
      </c>
      <c r="R1456" s="644">
        <v>200000</v>
      </c>
      <c r="S1456" s="48"/>
      <c r="T1456" s="1059"/>
      <c r="U1456" s="48"/>
      <c r="V1456" s="49"/>
    </row>
    <row r="1457" spans="7:22">
      <c r="G1457" s="48"/>
      <c r="H1457" s="48"/>
      <c r="I1457" s="1074"/>
      <c r="J1457" s="990"/>
      <c r="K1457" s="1532" t="s">
        <v>3532</v>
      </c>
      <c r="L1457" s="1495">
        <v>3360000</v>
      </c>
      <c r="M1457" s="1493" t="s">
        <v>3613</v>
      </c>
      <c r="N1457" s="49">
        <v>200000</v>
      </c>
      <c r="O1457" s="1383"/>
      <c r="P1457" s="1383">
        <v>700000</v>
      </c>
      <c r="Q1457" s="1076" t="s">
        <v>3742</v>
      </c>
      <c r="R1457" s="644">
        <v>371000</v>
      </c>
      <c r="S1457" s="1055"/>
      <c r="T1457" s="1059"/>
      <c r="U1457" s="1078"/>
      <c r="V1457" s="49"/>
    </row>
    <row r="1458" spans="7:22">
      <c r="G1458" s="48"/>
      <c r="H1458" s="48"/>
      <c r="I1458" s="1074"/>
      <c r="J1458" s="990"/>
      <c r="K1458" s="1495" t="s">
        <v>3997</v>
      </c>
      <c r="L1458" s="49">
        <v>3000000</v>
      </c>
      <c r="M1458" s="1495" t="s">
        <v>3992</v>
      </c>
      <c r="N1458" s="49">
        <v>5000000</v>
      </c>
      <c r="O1458" s="644" t="s">
        <v>3996</v>
      </c>
      <c r="P1458" s="644">
        <v>1900000</v>
      </c>
      <c r="Q1458" s="1076" t="s">
        <v>3998</v>
      </c>
      <c r="R1458" s="644">
        <v>1010000</v>
      </c>
      <c r="S1458" s="48"/>
      <c r="T1458" s="1059"/>
      <c r="U1458" s="48"/>
      <c r="V1458" s="49"/>
    </row>
    <row r="1459" spans="7:22">
      <c r="G1459" s="48"/>
      <c r="H1459" s="48"/>
      <c r="I1459" s="1074"/>
      <c r="J1459" s="990"/>
      <c r="K1459" s="1495"/>
      <c r="L1459" s="49"/>
      <c r="M1459" s="1495"/>
      <c r="N1459" s="49"/>
      <c r="O1459" s="644"/>
      <c r="P1459" s="644"/>
      <c r="Q1459" s="1076"/>
      <c r="R1459" s="644"/>
      <c r="S1459" s="48"/>
      <c r="T1459" s="1059"/>
      <c r="U1459" s="48"/>
      <c r="V1459" s="49"/>
    </row>
    <row r="1460" spans="7:22">
      <c r="G1460" s="48"/>
      <c r="H1460" s="48"/>
      <c r="I1460" s="1074"/>
      <c r="J1460" s="49"/>
      <c r="K1460" s="1532"/>
      <c r="L1460" s="49"/>
      <c r="M1460" s="1498"/>
      <c r="N1460" s="49"/>
      <c r="O1460" s="644"/>
      <c r="P1460" s="644"/>
      <c r="Q1460" s="1076"/>
      <c r="R1460" s="644"/>
      <c r="S1460" s="48"/>
      <c r="T1460" s="1059"/>
      <c r="U1460" s="48"/>
      <c r="V1460" s="49"/>
    </row>
    <row r="1461" spans="7:22">
      <c r="G1461" s="48"/>
      <c r="H1461" s="48"/>
      <c r="I1461" s="1074"/>
      <c r="J1461" s="49"/>
      <c r="K1461" s="1495"/>
      <c r="L1461" s="49"/>
      <c r="M1461" s="1498"/>
      <c r="N1461" s="49"/>
      <c r="O1461" s="644"/>
      <c r="P1461" s="644"/>
      <c r="Q1461" s="1076"/>
      <c r="R1461" s="644"/>
      <c r="S1461" s="48"/>
      <c r="T1461" s="1059"/>
      <c r="U1461" s="48"/>
      <c r="V1461" s="49"/>
    </row>
    <row r="1462" spans="7:22">
      <c r="G1462" s="48"/>
      <c r="H1462" s="48"/>
      <c r="I1462" s="1074"/>
      <c r="J1462" s="49"/>
      <c r="K1462" s="1532"/>
      <c r="L1462" s="49"/>
      <c r="M1462" s="1498"/>
      <c r="N1462" s="49"/>
      <c r="O1462" s="644"/>
      <c r="P1462" s="644"/>
      <c r="Q1462" s="644"/>
      <c r="R1462" s="644"/>
      <c r="S1462" s="48"/>
      <c r="T1462" s="1059"/>
      <c r="U1462" s="48"/>
      <c r="V1462" s="49"/>
    </row>
    <row r="1463" spans="7:22">
      <c r="G1463" s="48"/>
      <c r="H1463" s="48"/>
      <c r="I1463" s="48"/>
      <c r="J1463" s="49"/>
      <c r="K1463" s="1495"/>
      <c r="L1463" s="49"/>
      <c r="M1463" s="1498"/>
      <c r="N1463" s="49"/>
      <c r="O1463" s="644"/>
      <c r="P1463" s="644"/>
      <c r="Q1463" s="644"/>
      <c r="R1463" s="644"/>
      <c r="S1463" s="48"/>
      <c r="T1463" s="1059"/>
      <c r="U1463" s="48"/>
      <c r="V1463" s="49"/>
    </row>
    <row r="1464" spans="7:22">
      <c r="G1464" s="48"/>
      <c r="H1464" s="48"/>
      <c r="I1464" s="48"/>
      <c r="J1464" s="49"/>
      <c r="K1464" s="1498"/>
      <c r="L1464" s="49"/>
      <c r="M1464" s="1498"/>
      <c r="N1464" s="49"/>
      <c r="O1464" s="644"/>
      <c r="P1464" s="644"/>
      <c r="Q1464" s="644"/>
      <c r="R1464" s="644"/>
      <c r="S1464" s="48"/>
      <c r="T1464" s="1059"/>
      <c r="U1464" s="48"/>
      <c r="V1464" s="49"/>
    </row>
    <row r="1465" spans="7:22">
      <c r="G1465" s="48"/>
      <c r="H1465" s="48"/>
      <c r="I1465" s="48"/>
      <c r="J1465" s="49"/>
      <c r="K1465" s="1498"/>
      <c r="L1465" s="49"/>
      <c r="M1465" s="1498"/>
      <c r="N1465" s="49"/>
      <c r="O1465" s="644"/>
      <c r="P1465" s="644"/>
      <c r="Q1465" s="644"/>
      <c r="R1465" s="644"/>
      <c r="S1465" s="48"/>
      <c r="T1465" s="1059"/>
      <c r="U1465" s="48"/>
      <c r="V1465" s="48"/>
    </row>
    <row r="1466" spans="7:22">
      <c r="G1466" s="48"/>
      <c r="H1466" s="48"/>
      <c r="I1466" s="48"/>
      <c r="J1466" s="49"/>
      <c r="K1466" s="49"/>
      <c r="L1466" s="49"/>
      <c r="M1466" s="1498"/>
      <c r="N1466" s="49"/>
      <c r="O1466" s="644"/>
      <c r="P1466" s="644"/>
      <c r="Q1466" s="644"/>
      <c r="R1466" s="644"/>
      <c r="S1466" s="48"/>
      <c r="T1466" s="1059"/>
      <c r="U1466" s="48"/>
      <c r="V1466" s="48"/>
    </row>
    <row r="1467" spans="7:22">
      <c r="G1467" s="48"/>
      <c r="H1467" s="48"/>
      <c r="I1467" s="48"/>
      <c r="J1467" s="954">
        <f>SUM(J1455:J1463)</f>
        <v>24075000</v>
      </c>
      <c r="K1467" s="954"/>
      <c r="L1467" s="954">
        <f>SUM(L1455:L1466)</f>
        <v>14280000</v>
      </c>
      <c r="M1467" s="1498"/>
      <c r="N1467" s="954">
        <f>SUM(N1455:N1466)</f>
        <v>156400000</v>
      </c>
      <c r="O1467" s="644"/>
      <c r="P1467" s="969">
        <f>SUM(P1455:P1461)</f>
        <v>7573000</v>
      </c>
      <c r="Q1467" s="969"/>
      <c r="R1467" s="969">
        <f>SUM(R1455:R1461)</f>
        <v>2281000</v>
      </c>
      <c r="S1467" s="48"/>
      <c r="T1467" s="1059">
        <f>SUM(T1455:T1466)</f>
        <v>0</v>
      </c>
      <c r="U1467" s="48"/>
      <c r="V1467" s="878">
        <f>SUM(V1455:V1466)</f>
        <v>0</v>
      </c>
    </row>
    <row r="1468" spans="7:22">
      <c r="T1468" s="1058"/>
    </row>
    <row r="1469" spans="7:22">
      <c r="T1469" s="1058"/>
    </row>
    <row r="1470" spans="7:22">
      <c r="R1470" s="661"/>
      <c r="T1470" s="1058"/>
    </row>
    <row r="1471" spans="7:22">
      <c r="T1471" s="1058"/>
    </row>
    <row r="1472" spans="7:22">
      <c r="T1472" s="1058"/>
    </row>
    <row r="1473" spans="7:20">
      <c r="I1473" s="946"/>
      <c r="M1473" s="1533" t="s">
        <v>3699</v>
      </c>
      <c r="N1473" s="3">
        <v>0</v>
      </c>
      <c r="O1473" s="1535" t="s">
        <v>3741</v>
      </c>
      <c r="P1473" s="939">
        <f>P1467-R1467</f>
        <v>5292000</v>
      </c>
      <c r="S1473" s="1068" t="s">
        <v>3848</v>
      </c>
      <c r="T1473" s="1058">
        <f>T1467-V1467</f>
        <v>0</v>
      </c>
    </row>
    <row r="1474" spans="7:20">
      <c r="G1474" s="1574" t="s">
        <v>3530</v>
      </c>
      <c r="H1474" s="1574"/>
      <c r="I1474" s="1574"/>
      <c r="J1474" s="3">
        <f>J1467+L1467</f>
        <v>38355000</v>
      </c>
      <c r="K1474" s="1009"/>
      <c r="L1474" s="3"/>
      <c r="M1474" s="1533" t="s">
        <v>3664</v>
      </c>
      <c r="N1474" s="1527">
        <f>N1473*0.99</f>
        <v>0</v>
      </c>
      <c r="P1474" s="1512"/>
      <c r="T1474" s="1058"/>
    </row>
    <row r="1475" spans="7:20">
      <c r="G1475" s="1574" t="s">
        <v>3512</v>
      </c>
      <c r="H1475" s="1574"/>
      <c r="I1475" s="1574"/>
      <c r="J1475" s="3">
        <f>N1467-J1474</f>
        <v>118045000</v>
      </c>
      <c r="K1475" s="1009"/>
      <c r="L1475" s="3"/>
      <c r="M1475" s="1528"/>
      <c r="Q1475" s="661"/>
      <c r="T1475" s="1058"/>
    </row>
    <row r="1476" spans="7:20">
      <c r="G1476" s="1574" t="s">
        <v>3531</v>
      </c>
      <c r="H1476" s="1574"/>
      <c r="I1476" s="1574"/>
      <c r="J1476" s="3">
        <f>T1473</f>
        <v>0</v>
      </c>
      <c r="Q1476" s="3"/>
      <c r="T1476" s="1058"/>
    </row>
    <row r="1477" spans="7:20">
      <c r="G1477" s="1586" t="s">
        <v>3891</v>
      </c>
      <c r="H1477" s="1586"/>
      <c r="I1477" s="1586"/>
      <c r="J1477" s="922"/>
      <c r="T1477" s="1058"/>
    </row>
    <row r="1490" spans="7:22">
      <c r="G1490" s="1008">
        <v>45968</v>
      </c>
      <c r="H1490" s="1169"/>
      <c r="I1490" s="1575" t="s">
        <v>3510</v>
      </c>
      <c r="J1490" s="1576"/>
      <c r="K1490" s="1575" t="s">
        <v>3509</v>
      </c>
      <c r="L1490" s="1576"/>
      <c r="M1490" s="1575" t="s">
        <v>3541</v>
      </c>
      <c r="N1490" s="1576"/>
      <c r="O1490" s="1577" t="s">
        <v>3598</v>
      </c>
      <c r="P1490" s="1578"/>
      <c r="Q1490" s="1579" t="s">
        <v>3599</v>
      </c>
      <c r="R1490" s="1580"/>
      <c r="S1490" s="1583" t="s">
        <v>3953</v>
      </c>
      <c r="T1490" s="1583"/>
      <c r="U1490" s="1583" t="s">
        <v>3954</v>
      </c>
      <c r="V1490" s="1583"/>
    </row>
    <row r="1491" spans="7:22">
      <c r="G1491" s="1000"/>
      <c r="H1491" s="1000"/>
      <c r="I1491" s="1073" t="s">
        <v>4010</v>
      </c>
      <c r="J1491" s="990">
        <v>28680000</v>
      </c>
      <c r="K1491" s="1532" t="s">
        <v>4002</v>
      </c>
      <c r="L1491" s="49">
        <v>30700000</v>
      </c>
      <c r="M1491" s="1495" t="s">
        <v>3546</v>
      </c>
      <c r="N1491" s="49">
        <v>6500000</v>
      </c>
      <c r="O1491" s="1383" t="s">
        <v>4009</v>
      </c>
      <c r="P1491" s="644">
        <v>23040000</v>
      </c>
      <c r="Q1491" s="1075" t="s">
        <v>3742</v>
      </c>
      <c r="R1491" s="644">
        <v>372000</v>
      </c>
      <c r="S1491" s="1072"/>
      <c r="T1491" s="1059"/>
      <c r="U1491" s="1071"/>
      <c r="V1491" s="49"/>
    </row>
    <row r="1492" spans="7:22">
      <c r="G1492" s="1028"/>
      <c r="H1492" s="1028"/>
      <c r="I1492" s="1082" t="s">
        <v>4003</v>
      </c>
      <c r="J1492" s="990">
        <v>18400000</v>
      </c>
      <c r="K1492" s="1532" t="s">
        <v>4004</v>
      </c>
      <c r="L1492" s="1495">
        <v>15000000</v>
      </c>
      <c r="M1492" s="1495" t="s">
        <v>3512</v>
      </c>
      <c r="N1492" s="49">
        <v>118000000</v>
      </c>
      <c r="O1492" s="1383" t="s">
        <v>4012</v>
      </c>
      <c r="P1492" s="644">
        <v>6000000</v>
      </c>
      <c r="Q1492" s="1075" t="s">
        <v>4001</v>
      </c>
      <c r="R1492" s="644">
        <v>802000</v>
      </c>
      <c r="S1492" s="48"/>
      <c r="T1492" s="1059"/>
      <c r="U1492" s="48"/>
      <c r="V1492" s="49"/>
    </row>
    <row r="1493" spans="7:22">
      <c r="G1493" s="48"/>
      <c r="H1493" s="48"/>
      <c r="I1493" s="1074" t="s">
        <v>4015</v>
      </c>
      <c r="J1493" s="990">
        <v>42000000</v>
      </c>
      <c r="K1493" s="1495" t="s">
        <v>3363</v>
      </c>
      <c r="L1493" s="49">
        <v>700000</v>
      </c>
      <c r="M1493" s="1493" t="s">
        <v>3567</v>
      </c>
      <c r="N1493" s="49">
        <v>274824000</v>
      </c>
      <c r="O1493" s="1180" t="s">
        <v>4013</v>
      </c>
      <c r="P1493" s="644">
        <v>5000000</v>
      </c>
      <c r="Q1493" s="1076" t="s">
        <v>3164</v>
      </c>
      <c r="R1493" s="644">
        <v>33000</v>
      </c>
      <c r="S1493" s="1055"/>
      <c r="T1493" s="1059"/>
      <c r="U1493" s="1078"/>
      <c r="V1493" s="49"/>
    </row>
    <row r="1494" spans="7:22">
      <c r="G1494" s="48"/>
      <c r="H1494" s="48"/>
      <c r="I1494" s="1074"/>
      <c r="J1494" s="990">
        <v>93000000</v>
      </c>
      <c r="K1494" s="1495" t="s">
        <v>4005</v>
      </c>
      <c r="L1494" s="49">
        <v>24220000</v>
      </c>
      <c r="M1494" s="1495"/>
      <c r="N1494" s="49"/>
      <c r="O1494" s="644"/>
      <c r="P1494" s="644"/>
      <c r="Q1494" s="1076" t="s">
        <v>3164</v>
      </c>
      <c r="R1494" s="644">
        <v>84000</v>
      </c>
      <c r="S1494" s="48"/>
      <c r="T1494" s="1059"/>
      <c r="U1494" s="48"/>
      <c r="V1494" s="49"/>
    </row>
    <row r="1495" spans="7:22">
      <c r="G1495" s="48"/>
      <c r="H1495" s="48"/>
      <c r="I1495" s="1074"/>
      <c r="J1495" s="990"/>
      <c r="K1495" s="1495" t="s">
        <v>3589</v>
      </c>
      <c r="L1495" s="49">
        <v>100000</v>
      </c>
      <c r="M1495" s="1495"/>
      <c r="N1495" s="49"/>
      <c r="O1495" s="644"/>
      <c r="P1495" s="644"/>
      <c r="Q1495" s="1076" t="s">
        <v>4011</v>
      </c>
      <c r="R1495" s="644">
        <v>1064000</v>
      </c>
      <c r="S1495" s="48"/>
      <c r="T1495" s="1059"/>
      <c r="U1495" s="48"/>
      <c r="V1495" s="49"/>
    </row>
    <row r="1496" spans="7:22">
      <c r="G1496" s="48"/>
      <c r="H1496" s="48"/>
      <c r="I1496" s="1074"/>
      <c r="J1496" s="49"/>
      <c r="K1496" s="1532" t="s">
        <v>3636</v>
      </c>
      <c r="L1496" s="49">
        <v>130000</v>
      </c>
      <c r="M1496" s="1498"/>
      <c r="N1496" s="49"/>
      <c r="O1496" s="644"/>
      <c r="P1496" s="644"/>
      <c r="Q1496" s="1076"/>
      <c r="R1496" s="644"/>
      <c r="S1496" s="48"/>
      <c r="T1496" s="1059"/>
      <c r="U1496" s="48"/>
      <c r="V1496" s="49"/>
    </row>
    <row r="1497" spans="7:22">
      <c r="G1497" s="48"/>
      <c r="H1497" s="48"/>
      <c r="I1497" s="1074"/>
      <c r="J1497" s="49"/>
      <c r="K1497" s="1495" t="s">
        <v>3532</v>
      </c>
      <c r="L1497" s="49">
        <v>324000</v>
      </c>
      <c r="M1497" s="1498"/>
      <c r="N1497" s="49"/>
      <c r="O1497" s="644"/>
      <c r="P1497" s="644"/>
      <c r="Q1497" s="1076"/>
      <c r="R1497" s="644"/>
      <c r="S1497" s="48"/>
      <c r="T1497" s="1059"/>
      <c r="U1497" s="48"/>
      <c r="V1497" s="49"/>
    </row>
    <row r="1498" spans="7:22">
      <c r="G1498" s="48"/>
      <c r="H1498" s="48"/>
      <c r="I1498" s="1074"/>
      <c r="J1498" s="49"/>
      <c r="K1498" s="1532"/>
      <c r="L1498" s="49"/>
      <c r="M1498" s="1498"/>
      <c r="N1498" s="49"/>
      <c r="O1498" s="644"/>
      <c r="P1498" s="644"/>
      <c r="Q1498" s="644"/>
      <c r="R1498" s="644"/>
      <c r="S1498" s="48"/>
      <c r="T1498" s="1059"/>
      <c r="U1498" s="48"/>
      <c r="V1498" s="49"/>
    </row>
    <row r="1499" spans="7:22">
      <c r="G1499" s="48"/>
      <c r="H1499" s="48"/>
      <c r="I1499" s="48"/>
      <c r="J1499" s="49"/>
      <c r="K1499" s="1495"/>
      <c r="L1499" s="49"/>
      <c r="M1499" s="1498"/>
      <c r="N1499" s="49"/>
      <c r="O1499" s="644"/>
      <c r="P1499" s="644"/>
      <c r="Q1499" s="644"/>
      <c r="R1499" s="644"/>
      <c r="S1499" s="48"/>
      <c r="T1499" s="1059"/>
      <c r="U1499" s="48"/>
      <c r="V1499" s="49"/>
    </row>
    <row r="1500" spans="7:22">
      <c r="G1500" s="48"/>
      <c r="H1500" s="48"/>
      <c r="I1500" s="48"/>
      <c r="J1500" s="49"/>
      <c r="K1500" s="1498"/>
      <c r="L1500" s="49"/>
      <c r="M1500" s="1498"/>
      <c r="N1500" s="49"/>
      <c r="O1500" s="644"/>
      <c r="P1500" s="644"/>
      <c r="Q1500" s="644"/>
      <c r="R1500" s="644"/>
      <c r="S1500" s="48"/>
      <c r="T1500" s="1059"/>
      <c r="U1500" s="48"/>
      <c r="V1500" s="49"/>
    </row>
    <row r="1501" spans="7:22">
      <c r="G1501" s="48"/>
      <c r="H1501" s="48"/>
      <c r="I1501" s="48"/>
      <c r="J1501" s="49"/>
      <c r="K1501" s="1498"/>
      <c r="L1501" s="49"/>
      <c r="M1501" s="1498"/>
      <c r="N1501" s="49"/>
      <c r="O1501" s="644"/>
      <c r="P1501" s="644"/>
      <c r="Q1501" s="644"/>
      <c r="R1501" s="644"/>
      <c r="S1501" s="48"/>
      <c r="T1501" s="1059"/>
      <c r="U1501" s="48"/>
      <c r="V1501" s="48"/>
    </row>
    <row r="1502" spans="7:22">
      <c r="G1502" s="48"/>
      <c r="H1502" s="48"/>
      <c r="I1502" s="48"/>
      <c r="J1502" s="49"/>
      <c r="K1502" s="49"/>
      <c r="L1502" s="49"/>
      <c r="M1502" s="1498"/>
      <c r="N1502" s="49"/>
      <c r="O1502" s="644"/>
      <c r="P1502" s="644"/>
      <c r="Q1502" s="644"/>
      <c r="R1502" s="644"/>
      <c r="S1502" s="48"/>
      <c r="T1502" s="1059"/>
      <c r="U1502" s="48"/>
      <c r="V1502" s="48"/>
    </row>
    <row r="1503" spans="7:22">
      <c r="G1503" s="48"/>
      <c r="H1503" s="48"/>
      <c r="I1503" s="48"/>
      <c r="J1503" s="954">
        <f>SUM(J1491:J1499)</f>
        <v>182080000</v>
      </c>
      <c r="K1503" s="954"/>
      <c r="L1503" s="954">
        <f>SUM(L1491:L1502)</f>
        <v>71174000</v>
      </c>
      <c r="M1503" s="1498"/>
      <c r="N1503" s="954">
        <f>SUM(N1491:N1502)</f>
        <v>399324000</v>
      </c>
      <c r="O1503" s="644"/>
      <c r="P1503" s="969">
        <f>SUM(P1491:P1497)</f>
        <v>34040000</v>
      </c>
      <c r="Q1503" s="969"/>
      <c r="R1503" s="969">
        <f>SUM(R1491:R1497)</f>
        <v>2355000</v>
      </c>
      <c r="S1503" s="48"/>
      <c r="T1503" s="1059">
        <f>SUM(T1491:T1502)</f>
        <v>0</v>
      </c>
      <c r="U1503" s="48"/>
      <c r="V1503" s="878">
        <f>SUM(V1491:V1502)</f>
        <v>0</v>
      </c>
    </row>
    <row r="1504" spans="7:22">
      <c r="T1504" s="1058"/>
    </row>
    <row r="1505" spans="7:20">
      <c r="T1505" s="1058"/>
    </row>
    <row r="1506" spans="7:20">
      <c r="R1506" s="661"/>
      <c r="T1506" s="1058"/>
    </row>
    <row r="1507" spans="7:20">
      <c r="T1507" s="1058"/>
    </row>
    <row r="1508" spans="7:20">
      <c r="T1508" s="1058"/>
    </row>
    <row r="1509" spans="7:20">
      <c r="I1509" s="946"/>
      <c r="M1509" s="1533" t="s">
        <v>3699</v>
      </c>
      <c r="N1509" s="3">
        <v>277600000</v>
      </c>
      <c r="O1509" s="1535" t="s">
        <v>3741</v>
      </c>
      <c r="P1509" s="939">
        <f>P1503-R1503</f>
        <v>31685000</v>
      </c>
      <c r="S1509" s="1068" t="s">
        <v>3848</v>
      </c>
      <c r="T1509" s="1058">
        <f>T1503-V1503</f>
        <v>0</v>
      </c>
    </row>
    <row r="1510" spans="7:20">
      <c r="G1510" s="1574" t="s">
        <v>3530</v>
      </c>
      <c r="H1510" s="1574"/>
      <c r="I1510" s="1574"/>
      <c r="J1510" s="3">
        <f>J1503+L1503</f>
        <v>253254000</v>
      </c>
      <c r="K1510" s="1009"/>
      <c r="L1510" s="3"/>
      <c r="M1510" s="1533" t="s">
        <v>3664</v>
      </c>
      <c r="N1510" s="1527">
        <f>N1509*0.99</f>
        <v>274824000</v>
      </c>
      <c r="P1510" s="1512"/>
      <c r="T1510" s="1058"/>
    </row>
    <row r="1511" spans="7:20">
      <c r="G1511" s="1574" t="s">
        <v>3512</v>
      </c>
      <c r="H1511" s="1574"/>
      <c r="I1511" s="1574"/>
      <c r="J1511" s="3">
        <f>N1503-J1510</f>
        <v>146070000</v>
      </c>
      <c r="K1511" s="1009"/>
      <c r="L1511" s="3"/>
      <c r="M1511" s="1528"/>
      <c r="Q1511" s="661"/>
      <c r="T1511" s="1058"/>
    </row>
    <row r="1512" spans="7:20">
      <c r="G1512" s="1574" t="s">
        <v>3531</v>
      </c>
      <c r="H1512" s="1574"/>
      <c r="I1512" s="1574"/>
      <c r="J1512" s="3">
        <f>T1509</f>
        <v>0</v>
      </c>
      <c r="Q1512" s="3"/>
      <c r="T1512" s="1058"/>
    </row>
    <row r="1513" spans="7:20">
      <c r="G1513" s="1586" t="s">
        <v>3891</v>
      </c>
      <c r="H1513" s="1586"/>
      <c r="I1513" s="1586"/>
      <c r="J1513" s="922"/>
      <c r="T1513" s="1058"/>
    </row>
    <row r="1519" spans="7:20">
      <c r="G1519" s="1008">
        <v>45969</v>
      </c>
      <c r="H1519" s="1169"/>
      <c r="I1519" s="1575" t="s">
        <v>3510</v>
      </c>
      <c r="J1519" s="1576"/>
      <c r="K1519" s="1575" t="s">
        <v>3509</v>
      </c>
      <c r="L1519" s="1576"/>
      <c r="M1519" s="1575" t="s">
        <v>3541</v>
      </c>
      <c r="N1519" s="1576"/>
      <c r="O1519" s="1577" t="s">
        <v>3598</v>
      </c>
      <c r="P1519" s="1578"/>
      <c r="Q1519" s="1579" t="s">
        <v>3599</v>
      </c>
      <c r="R1519" s="1580"/>
    </row>
    <row r="1520" spans="7:20">
      <c r="G1520" s="1073" t="s">
        <v>4017</v>
      </c>
      <c r="H1520" s="1073"/>
      <c r="I1520" s="1073" t="s">
        <v>4016</v>
      </c>
      <c r="J1520" s="990">
        <v>30360000</v>
      </c>
      <c r="K1520" s="1532" t="s">
        <v>4018</v>
      </c>
      <c r="L1520" s="49">
        <v>3700000</v>
      </c>
      <c r="M1520" s="1495" t="s">
        <v>3512</v>
      </c>
      <c r="N1520" s="49">
        <v>40000000</v>
      </c>
      <c r="O1520" s="1383" t="s">
        <v>3741</v>
      </c>
      <c r="P1520" s="644">
        <v>38856000</v>
      </c>
      <c r="Q1520" s="1075" t="s">
        <v>3964</v>
      </c>
      <c r="R1520" s="644">
        <v>3000000</v>
      </c>
    </row>
    <row r="1521" spans="7:18">
      <c r="G1521" s="1028"/>
      <c r="H1521" s="1028"/>
      <c r="I1521" s="1082"/>
      <c r="J1521" s="990"/>
      <c r="K1521" s="1532" t="s">
        <v>4019</v>
      </c>
      <c r="L1521" s="1495">
        <v>3000000</v>
      </c>
      <c r="M1521" s="1495" t="s">
        <v>4054</v>
      </c>
      <c r="N1521" s="49">
        <v>1000000</v>
      </c>
      <c r="O1521" s="1383"/>
      <c r="P1521" s="644"/>
      <c r="Q1521" s="1075" t="s">
        <v>3404</v>
      </c>
      <c r="R1521" s="644">
        <v>201000</v>
      </c>
    </row>
    <row r="1522" spans="7:18">
      <c r="G1522" s="48"/>
      <c r="H1522" s="48"/>
      <c r="I1522" s="1074"/>
      <c r="J1522" s="990"/>
      <c r="K1522" s="1495" t="s">
        <v>3964</v>
      </c>
      <c r="L1522" s="49">
        <v>2000000</v>
      </c>
      <c r="M1522" s="1493"/>
      <c r="N1522" s="49"/>
      <c r="O1522" s="1180"/>
      <c r="P1522" s="644"/>
      <c r="Q1522" s="1076" t="s">
        <v>4020</v>
      </c>
      <c r="R1522" s="644">
        <v>450000</v>
      </c>
    </row>
    <row r="1523" spans="7:18">
      <c r="G1523" s="48"/>
      <c r="H1523" s="48"/>
      <c r="I1523" s="1074"/>
      <c r="J1523" s="990"/>
      <c r="K1523" s="1495" t="s">
        <v>3363</v>
      </c>
      <c r="L1523" s="49">
        <v>340000</v>
      </c>
      <c r="M1523" s="1495"/>
      <c r="N1523" s="49"/>
      <c r="O1523" s="644"/>
      <c r="P1523" s="644"/>
      <c r="Q1523" s="1076"/>
      <c r="R1523" s="644"/>
    </row>
    <row r="1524" spans="7:18">
      <c r="G1524" s="48"/>
      <c r="H1524" s="48"/>
      <c r="I1524" s="1074"/>
      <c r="J1524" s="990"/>
      <c r="K1524" s="1495"/>
      <c r="L1524" s="49"/>
      <c r="M1524" s="1495"/>
      <c r="N1524" s="49"/>
      <c r="O1524" s="644"/>
      <c r="P1524" s="644"/>
      <c r="Q1524" s="1076"/>
      <c r="R1524" s="644"/>
    </row>
    <row r="1525" spans="7:18">
      <c r="G1525" s="48"/>
      <c r="H1525" s="48"/>
      <c r="I1525" s="1074"/>
      <c r="J1525" s="49"/>
      <c r="K1525" s="1532"/>
      <c r="L1525" s="49"/>
      <c r="M1525" s="1498"/>
      <c r="N1525" s="49"/>
      <c r="O1525" s="644"/>
      <c r="P1525" s="644"/>
      <c r="Q1525" s="1076"/>
      <c r="R1525" s="644"/>
    </row>
    <row r="1526" spans="7:18">
      <c r="G1526" s="48"/>
      <c r="H1526" s="48"/>
      <c r="I1526" s="1074"/>
      <c r="J1526" s="49"/>
      <c r="K1526" s="1495"/>
      <c r="L1526" s="49"/>
      <c r="M1526" s="1498"/>
      <c r="N1526" s="49"/>
      <c r="O1526" s="644"/>
      <c r="P1526" s="644"/>
      <c r="Q1526" s="1076"/>
      <c r="R1526" s="644"/>
    </row>
    <row r="1527" spans="7:18">
      <c r="G1527" s="48"/>
      <c r="H1527" s="48"/>
      <c r="I1527" s="1074"/>
      <c r="J1527" s="49"/>
      <c r="K1527" s="1532"/>
      <c r="L1527" s="49"/>
      <c r="M1527" s="1498"/>
      <c r="N1527" s="49"/>
      <c r="O1527" s="644"/>
      <c r="P1527" s="644"/>
      <c r="Q1527" s="644"/>
      <c r="R1527" s="644"/>
    </row>
    <row r="1528" spans="7:18">
      <c r="G1528" s="48"/>
      <c r="H1528" s="48"/>
      <c r="I1528" s="48"/>
      <c r="J1528" s="49"/>
      <c r="K1528" s="1495"/>
      <c r="L1528" s="49"/>
      <c r="M1528" s="1498"/>
      <c r="N1528" s="49"/>
      <c r="O1528" s="644"/>
      <c r="P1528" s="644"/>
      <c r="Q1528" s="644"/>
      <c r="R1528" s="644"/>
    </row>
    <row r="1529" spans="7:18">
      <c r="G1529" s="48"/>
      <c r="H1529" s="48"/>
      <c r="I1529" s="48"/>
      <c r="J1529" s="49"/>
      <c r="K1529" s="1498"/>
      <c r="L1529" s="49"/>
      <c r="M1529" s="1498"/>
      <c r="N1529" s="49"/>
      <c r="O1529" s="644"/>
      <c r="P1529" s="644"/>
      <c r="Q1529" s="644"/>
      <c r="R1529" s="644"/>
    </row>
    <row r="1530" spans="7:18">
      <c r="G1530" s="48"/>
      <c r="H1530" s="48"/>
      <c r="I1530" s="48"/>
      <c r="J1530" s="49"/>
      <c r="K1530" s="1498"/>
      <c r="L1530" s="49"/>
      <c r="M1530" s="1498"/>
      <c r="N1530" s="49"/>
      <c r="O1530" s="644"/>
      <c r="P1530" s="644"/>
      <c r="Q1530" s="644"/>
      <c r="R1530" s="644"/>
    </row>
    <row r="1531" spans="7:18">
      <c r="G1531" s="48"/>
      <c r="H1531" s="48"/>
      <c r="I1531" s="48"/>
      <c r="J1531" s="49"/>
      <c r="K1531" s="49"/>
      <c r="L1531" s="49"/>
      <c r="M1531" s="1498"/>
      <c r="N1531" s="49"/>
      <c r="O1531" s="644"/>
      <c r="P1531" s="644"/>
      <c r="Q1531" s="644"/>
      <c r="R1531" s="644"/>
    </row>
    <row r="1532" spans="7:18">
      <c r="G1532" s="48"/>
      <c r="H1532" s="48"/>
      <c r="I1532" s="48"/>
      <c r="J1532" s="954">
        <f>SUM(J1520:J1528)</f>
        <v>30360000</v>
      </c>
      <c r="K1532" s="954"/>
      <c r="L1532" s="954">
        <f>SUM(L1520:L1531)</f>
        <v>9040000</v>
      </c>
      <c r="M1532" s="1498"/>
      <c r="N1532" s="954">
        <f>SUM(N1520:N1531)</f>
        <v>41000000</v>
      </c>
      <c r="O1532" s="644"/>
      <c r="P1532" s="969">
        <f>SUM(P1520:P1526)</f>
        <v>38856000</v>
      </c>
      <c r="Q1532" s="969"/>
      <c r="R1532" s="969">
        <f>SUM(R1520:R1526)</f>
        <v>3651000</v>
      </c>
    </row>
    <row r="1535" spans="7:18">
      <c r="R1535" s="661"/>
    </row>
    <row r="1538" spans="7:17">
      <c r="I1538" s="946"/>
      <c r="M1538" s="1533" t="s">
        <v>3699</v>
      </c>
      <c r="N1538" s="3">
        <v>277600000</v>
      </c>
      <c r="O1538" s="1535" t="s">
        <v>3741</v>
      </c>
      <c r="P1538" s="939">
        <f>P1532-R1532</f>
        <v>35205000</v>
      </c>
    </row>
    <row r="1539" spans="7:17">
      <c r="G1539" s="1574" t="s">
        <v>3530</v>
      </c>
      <c r="H1539" s="1574"/>
      <c r="I1539" s="1574"/>
      <c r="J1539" s="3">
        <f>J1532+L1532</f>
        <v>39400000</v>
      </c>
      <c r="K1539" s="1009"/>
      <c r="L1539" s="3"/>
      <c r="M1539" s="1533" t="s">
        <v>3664</v>
      </c>
      <c r="N1539" s="1527">
        <f>N1538*0.99</f>
        <v>274824000</v>
      </c>
      <c r="O1539" s="1535"/>
      <c r="P1539" s="1512"/>
    </row>
    <row r="1540" spans="7:17">
      <c r="G1540" s="1574" t="s">
        <v>3512</v>
      </c>
      <c r="H1540" s="1574"/>
      <c r="I1540" s="1574"/>
      <c r="J1540" s="3">
        <f>N1532-J1539</f>
        <v>1600000</v>
      </c>
      <c r="K1540" s="1009"/>
      <c r="L1540" s="3"/>
      <c r="M1540" s="1528"/>
      <c r="Q1540" s="661"/>
    </row>
    <row r="1541" spans="7:17">
      <c r="G1541" s="1574" t="s">
        <v>3531</v>
      </c>
      <c r="H1541" s="1574"/>
      <c r="I1541" s="1574"/>
      <c r="J1541" s="3">
        <f>T1538</f>
        <v>0</v>
      </c>
      <c r="Q1541" s="3"/>
    </row>
    <row r="1542" spans="7:17">
      <c r="G1542" s="1586" t="s">
        <v>3891</v>
      </c>
      <c r="H1542" s="1586"/>
      <c r="I1542" s="1586"/>
      <c r="J1542" s="922"/>
    </row>
    <row r="1547" spans="7:17">
      <c r="O1547" s="1527" t="s">
        <v>4021</v>
      </c>
      <c r="P1547" s="3">
        <v>15356000</v>
      </c>
    </row>
    <row r="1548" spans="7:17">
      <c r="O1548" s="1527" t="s">
        <v>4022</v>
      </c>
      <c r="P1548" s="3">
        <f>19648000+411000</f>
        <v>20059000</v>
      </c>
    </row>
    <row r="1549" spans="7:17">
      <c r="P1549" s="3"/>
    </row>
    <row r="1550" spans="7:17">
      <c r="P1550" s="3"/>
    </row>
    <row r="1551" spans="7:17">
      <c r="P1551" s="3"/>
    </row>
    <row r="1558" spans="7:22">
      <c r="G1558" s="1008">
        <v>45971</v>
      </c>
      <c r="H1558" s="1169"/>
      <c r="I1558" s="1575" t="s">
        <v>3510</v>
      </c>
      <c r="J1558" s="1576"/>
      <c r="K1558" s="1575" t="s">
        <v>3509</v>
      </c>
      <c r="L1558" s="1576"/>
      <c r="M1558" s="1575" t="s">
        <v>3541</v>
      </c>
      <c r="N1558" s="1576"/>
      <c r="O1558" s="1577" t="s">
        <v>3598</v>
      </c>
      <c r="P1558" s="1578"/>
      <c r="Q1558" s="1579" t="s">
        <v>3599</v>
      </c>
      <c r="R1558" s="1580"/>
      <c r="S1558" s="1583" t="s">
        <v>3953</v>
      </c>
      <c r="T1558" s="1583"/>
      <c r="U1558" s="1583" t="s">
        <v>3954</v>
      </c>
      <c r="V1558" s="1583"/>
    </row>
    <row r="1559" spans="7:22">
      <c r="G1559" s="1097"/>
      <c r="H1559" s="1097"/>
      <c r="I1559" s="1097" t="s">
        <v>4038</v>
      </c>
      <c r="J1559" s="990">
        <v>93000000</v>
      </c>
      <c r="K1559" s="1532" t="s">
        <v>3532</v>
      </c>
      <c r="L1559" s="49">
        <v>325000</v>
      </c>
      <c r="M1559" s="1495" t="s">
        <v>3512</v>
      </c>
      <c r="N1559" s="49">
        <v>1600000</v>
      </c>
      <c r="O1559" s="1383" t="s">
        <v>3741</v>
      </c>
      <c r="P1559" s="644">
        <v>35205000</v>
      </c>
      <c r="Q1559" s="1075" t="s">
        <v>3455</v>
      </c>
      <c r="R1559" s="644">
        <v>3500000</v>
      </c>
      <c r="S1559" s="1096" t="s">
        <v>3363</v>
      </c>
      <c r="T1559" s="1069">
        <v>100</v>
      </c>
      <c r="U1559" s="1071"/>
      <c r="V1559" s="49"/>
    </row>
    <row r="1560" spans="7:22">
      <c r="G1560" s="1098"/>
      <c r="H1560" s="1098"/>
      <c r="I1560" s="1101" t="s">
        <v>4039</v>
      </c>
      <c r="J1560" s="990">
        <v>27900000</v>
      </c>
      <c r="K1560" s="1532"/>
      <c r="L1560" s="1495"/>
      <c r="M1560" s="1495" t="s">
        <v>3897</v>
      </c>
      <c r="N1560" s="49">
        <v>160875000</v>
      </c>
      <c r="O1560" s="1383" t="s">
        <v>4023</v>
      </c>
      <c r="P1560" s="644">
        <v>4500000</v>
      </c>
      <c r="Q1560" s="1092" t="s">
        <v>4035</v>
      </c>
      <c r="R1560" s="644">
        <v>1466000</v>
      </c>
      <c r="S1560" s="48"/>
      <c r="T1560" s="1069"/>
      <c r="U1560" s="48"/>
      <c r="V1560" s="49"/>
    </row>
    <row r="1561" spans="7:22">
      <c r="G1561" s="48"/>
      <c r="H1561" s="48"/>
      <c r="I1561" s="1074"/>
      <c r="J1561" s="990"/>
      <c r="K1561" s="1495"/>
      <c r="L1561" s="49"/>
      <c r="M1561" s="1493"/>
      <c r="N1561" s="49"/>
      <c r="O1561" s="1180"/>
      <c r="P1561" s="644"/>
      <c r="Q1561" s="1093" t="s">
        <v>3899</v>
      </c>
      <c r="R1561" s="644">
        <v>4100000</v>
      </c>
      <c r="S1561" s="1055"/>
      <c r="T1561" s="1069"/>
      <c r="U1561" s="1078"/>
      <c r="V1561" s="49"/>
    </row>
    <row r="1562" spans="7:22">
      <c r="G1562" s="48"/>
      <c r="H1562" s="48"/>
      <c r="I1562" s="1074"/>
      <c r="J1562" s="990"/>
      <c r="K1562" s="1495"/>
      <c r="L1562" s="49"/>
      <c r="M1562" s="1495"/>
      <c r="N1562" s="49"/>
      <c r="O1562" s="644"/>
      <c r="P1562" s="644"/>
      <c r="Q1562" s="1103" t="s">
        <v>3614</v>
      </c>
      <c r="R1562" s="644">
        <v>150000</v>
      </c>
      <c r="S1562" s="48"/>
      <c r="T1562" s="1069"/>
      <c r="U1562" s="48"/>
      <c r="V1562" s="49"/>
    </row>
    <row r="1563" spans="7:22">
      <c r="G1563" s="48"/>
      <c r="H1563" s="48"/>
      <c r="I1563" s="1074"/>
      <c r="J1563" s="990"/>
      <c r="K1563" s="1495"/>
      <c r="L1563" s="49"/>
      <c r="M1563" s="1495"/>
      <c r="N1563" s="49"/>
      <c r="O1563" s="644"/>
      <c r="P1563" s="644"/>
      <c r="Q1563" s="1103" t="s">
        <v>3363</v>
      </c>
      <c r="R1563" s="644">
        <v>50000</v>
      </c>
      <c r="S1563" s="48"/>
      <c r="T1563" s="1069"/>
      <c r="U1563" s="48"/>
      <c r="V1563" s="49"/>
    </row>
    <row r="1564" spans="7:22">
      <c r="G1564" s="48"/>
      <c r="H1564" s="48"/>
      <c r="I1564" s="1074"/>
      <c r="J1564" s="49"/>
      <c r="K1564" s="1532"/>
      <c r="L1564" s="49"/>
      <c r="M1564" s="1498"/>
      <c r="N1564" s="49"/>
      <c r="O1564" s="644"/>
      <c r="P1564" s="644"/>
      <c r="Q1564" s="1093" t="s">
        <v>3899</v>
      </c>
      <c r="R1564" s="644">
        <v>2460000</v>
      </c>
      <c r="S1564" s="48"/>
      <c r="T1564" s="1069"/>
      <c r="U1564" s="48"/>
      <c r="V1564" s="49"/>
    </row>
    <row r="1565" spans="7:22">
      <c r="G1565" s="48"/>
      <c r="H1565" s="48"/>
      <c r="I1565" s="1074"/>
      <c r="J1565" s="49"/>
      <c r="K1565" s="1495"/>
      <c r="L1565" s="49"/>
      <c r="M1565" s="1498"/>
      <c r="N1565" s="49"/>
      <c r="O1565" s="644"/>
      <c r="P1565" s="644"/>
      <c r="Q1565" s="1076"/>
      <c r="R1565" s="644"/>
      <c r="S1565" s="48"/>
      <c r="T1565" s="1069"/>
      <c r="U1565" s="48"/>
      <c r="V1565" s="49"/>
    </row>
    <row r="1566" spans="7:22">
      <c r="G1566" s="48"/>
      <c r="H1566" s="48"/>
      <c r="I1566" s="1074"/>
      <c r="J1566" s="49"/>
      <c r="K1566" s="1532"/>
      <c r="L1566" s="49"/>
      <c r="M1566" s="1498"/>
      <c r="N1566" s="49"/>
      <c r="O1566" s="644"/>
      <c r="P1566" s="644"/>
      <c r="Q1566" s="644"/>
      <c r="R1566" s="644"/>
      <c r="S1566" s="48"/>
      <c r="T1566" s="1069"/>
      <c r="U1566" s="48"/>
      <c r="V1566" s="49"/>
    </row>
    <row r="1567" spans="7:22">
      <c r="G1567" s="48"/>
      <c r="H1567" s="48"/>
      <c r="I1567" s="48"/>
      <c r="J1567" s="49"/>
      <c r="K1567" s="1495"/>
      <c r="L1567" s="49"/>
      <c r="M1567" s="1498"/>
      <c r="N1567" s="49"/>
      <c r="O1567" s="644"/>
      <c r="P1567" s="644"/>
      <c r="Q1567" s="644"/>
      <c r="R1567" s="644"/>
      <c r="S1567" s="48"/>
      <c r="T1567" s="1069"/>
      <c r="U1567" s="48"/>
      <c r="V1567" s="49"/>
    </row>
    <row r="1568" spans="7:22">
      <c r="G1568" s="48"/>
      <c r="H1568" s="48"/>
      <c r="I1568" s="48"/>
      <c r="J1568" s="49"/>
      <c r="K1568" s="1498"/>
      <c r="L1568" s="49"/>
      <c r="M1568" s="1498"/>
      <c r="N1568" s="49"/>
      <c r="O1568" s="644"/>
      <c r="P1568" s="644"/>
      <c r="Q1568" s="644"/>
      <c r="R1568" s="644"/>
      <c r="S1568" s="48"/>
      <c r="T1568" s="1069"/>
      <c r="U1568" s="48"/>
      <c r="V1568" s="49"/>
    </row>
    <row r="1569" spans="7:22">
      <c r="G1569" s="48"/>
      <c r="H1569" s="48"/>
      <c r="I1569" s="48"/>
      <c r="J1569" s="49"/>
      <c r="K1569" s="1498"/>
      <c r="L1569" s="49"/>
      <c r="M1569" s="1498"/>
      <c r="N1569" s="49"/>
      <c r="O1569" s="644"/>
      <c r="P1569" s="644"/>
      <c r="Q1569" s="644"/>
      <c r="R1569" s="644"/>
      <c r="S1569" s="48"/>
      <c r="T1569" s="1069"/>
      <c r="U1569" s="48"/>
      <c r="V1569" s="48"/>
    </row>
    <row r="1570" spans="7:22">
      <c r="G1570" s="48"/>
      <c r="H1570" s="48"/>
      <c r="I1570" s="48"/>
      <c r="J1570" s="49"/>
      <c r="K1570" s="49"/>
      <c r="L1570" s="49"/>
      <c r="M1570" s="1498"/>
      <c r="N1570" s="49"/>
      <c r="O1570" s="644"/>
      <c r="P1570" s="644"/>
      <c r="Q1570" s="644"/>
      <c r="R1570" s="644"/>
      <c r="S1570" s="48"/>
      <c r="T1570" s="1069"/>
      <c r="U1570" s="48"/>
      <c r="V1570" s="48"/>
    </row>
    <row r="1571" spans="7:22">
      <c r="G1571" s="48"/>
      <c r="H1571" s="48"/>
      <c r="I1571" s="48"/>
      <c r="J1571" s="954">
        <f>SUM(J1559:J1567)</f>
        <v>120900000</v>
      </c>
      <c r="K1571" s="954"/>
      <c r="L1571" s="954">
        <f>SUM(L1559:L1570)</f>
        <v>325000</v>
      </c>
      <c r="M1571" s="1498"/>
      <c r="N1571" s="954">
        <f>SUM(N1559:N1570)</f>
        <v>162475000</v>
      </c>
      <c r="O1571" s="644"/>
      <c r="P1571" s="969">
        <f>SUM(P1559:P1565)</f>
        <v>39705000</v>
      </c>
      <c r="Q1571" s="969"/>
      <c r="R1571" s="969">
        <f>SUM(R1559:R1565)</f>
        <v>11726000</v>
      </c>
      <c r="S1571" s="48"/>
      <c r="T1571" s="1069">
        <f>SUM(T1559:T1570)</f>
        <v>100</v>
      </c>
      <c r="U1571" s="48"/>
      <c r="V1571" s="878">
        <f>SUM(V1559:V1570)</f>
        <v>0</v>
      </c>
    </row>
    <row r="1574" spans="7:22">
      <c r="R1574" s="661"/>
    </row>
    <row r="1577" spans="7:22">
      <c r="I1577" s="946"/>
      <c r="M1577" s="1533" t="s">
        <v>3699</v>
      </c>
      <c r="N1577" s="3">
        <v>162500000</v>
      </c>
      <c r="O1577" s="1535" t="s">
        <v>3741</v>
      </c>
      <c r="P1577" s="939">
        <f>P1571-R1571</f>
        <v>27979000</v>
      </c>
    </row>
    <row r="1578" spans="7:22">
      <c r="G1578" s="1574" t="s">
        <v>3530</v>
      </c>
      <c r="H1578" s="1574"/>
      <c r="I1578" s="1574"/>
      <c r="J1578" s="3">
        <f>J1571+L1571</f>
        <v>121225000</v>
      </c>
      <c r="K1578" s="1009"/>
      <c r="L1578" s="3"/>
      <c r="M1578" s="1533" t="s">
        <v>3664</v>
      </c>
      <c r="N1578" s="1527">
        <f>N1577*0.99</f>
        <v>160875000</v>
      </c>
      <c r="O1578" s="1535"/>
      <c r="P1578" s="1512"/>
    </row>
    <row r="1579" spans="7:22">
      <c r="G1579" s="1574" t="s">
        <v>3512</v>
      </c>
      <c r="H1579" s="1574"/>
      <c r="I1579" s="1574"/>
      <c r="J1579" s="3">
        <f>N1571-J1578</f>
        <v>41250000</v>
      </c>
      <c r="K1579" s="1009"/>
      <c r="L1579" s="3"/>
      <c r="M1579" s="1528"/>
      <c r="Q1579" s="661"/>
    </row>
    <row r="1580" spans="7:22">
      <c r="G1580" s="1574" t="s">
        <v>3531</v>
      </c>
      <c r="H1580" s="1574"/>
      <c r="I1580" s="1574"/>
      <c r="J1580" s="3">
        <v>100</v>
      </c>
      <c r="Q1580" s="3"/>
    </row>
    <row r="1581" spans="7:22">
      <c r="G1581" s="1586" t="s">
        <v>3891</v>
      </c>
      <c r="H1581" s="1586"/>
      <c r="I1581" s="1586"/>
      <c r="J1581" s="922"/>
    </row>
    <row r="1584" spans="7:22">
      <c r="O1584" s="1527" t="s">
        <v>4021</v>
      </c>
      <c r="P1584" s="3">
        <v>15852000</v>
      </c>
    </row>
    <row r="1585" spans="7:22">
      <c r="O1585" s="1527" t="s">
        <v>4022</v>
      </c>
      <c r="P1585" s="3">
        <f>14323000-2460000</f>
        <v>11863000</v>
      </c>
    </row>
    <row r="1587" spans="7:22">
      <c r="O1587" s="1527" t="s">
        <v>3741</v>
      </c>
      <c r="P1587" s="1527">
        <f>P1584+P1585</f>
        <v>27715000</v>
      </c>
    </row>
    <row r="1588" spans="7:22">
      <c r="P1588" s="1527">
        <f>P1577-P1587</f>
        <v>264000</v>
      </c>
    </row>
    <row r="1592" spans="7:22">
      <c r="G1592" s="1008">
        <v>45972</v>
      </c>
      <c r="H1592" s="1169"/>
      <c r="I1592" s="1575" t="s">
        <v>3510</v>
      </c>
      <c r="J1592" s="1576"/>
      <c r="K1592" s="1575" t="s">
        <v>3509</v>
      </c>
      <c r="L1592" s="1576"/>
      <c r="M1592" s="1575" t="s">
        <v>3541</v>
      </c>
      <c r="N1592" s="1576"/>
      <c r="O1592" s="1577" t="s">
        <v>3598</v>
      </c>
      <c r="P1592" s="1578"/>
      <c r="Q1592" s="1579" t="s">
        <v>3599</v>
      </c>
      <c r="R1592" s="1580"/>
      <c r="S1592" s="1583" t="s">
        <v>3953</v>
      </c>
      <c r="T1592" s="1583"/>
      <c r="U1592" s="1583" t="s">
        <v>3954</v>
      </c>
      <c r="V1592" s="1583"/>
    </row>
    <row r="1593" spans="7:22">
      <c r="G1593" s="1097"/>
      <c r="H1593" s="1097"/>
      <c r="I1593" s="1097" t="s">
        <v>4040</v>
      </c>
      <c r="J1593" s="990">
        <v>30360000</v>
      </c>
      <c r="K1593" s="1532"/>
      <c r="L1593" s="49">
        <v>0</v>
      </c>
      <c r="M1593" s="1495" t="s">
        <v>3512</v>
      </c>
      <c r="N1593" s="49">
        <v>41250000</v>
      </c>
      <c r="O1593" s="1105" t="s">
        <v>3412</v>
      </c>
      <c r="P1593" s="644">
        <v>27979000</v>
      </c>
      <c r="Q1593" s="1104" t="s">
        <v>3312</v>
      </c>
      <c r="R1593" s="644">
        <v>1000000</v>
      </c>
      <c r="S1593" s="1096"/>
      <c r="T1593" s="1091">
        <v>100</v>
      </c>
      <c r="U1593" s="1102" t="s">
        <v>3404</v>
      </c>
      <c r="V1593" s="49">
        <v>100</v>
      </c>
    </row>
    <row r="1594" spans="7:22">
      <c r="G1594" s="1098"/>
      <c r="H1594" s="1098"/>
      <c r="I1594" s="1101" t="s">
        <v>4056</v>
      </c>
      <c r="J1594" s="990">
        <v>93000000</v>
      </c>
      <c r="K1594" s="1532" t="s">
        <v>3636</v>
      </c>
      <c r="L1594" s="1495">
        <v>65000</v>
      </c>
      <c r="M1594" s="1495" t="s">
        <v>3897</v>
      </c>
      <c r="N1594" s="49">
        <v>124500000</v>
      </c>
      <c r="O1594" s="1383" t="s">
        <v>4041</v>
      </c>
      <c r="P1594" s="644">
        <v>500000</v>
      </c>
      <c r="Q1594" s="1104" t="s">
        <v>4043</v>
      </c>
      <c r="R1594" s="644">
        <v>1785000</v>
      </c>
      <c r="S1594" s="48"/>
      <c r="T1594" s="1091"/>
      <c r="U1594" s="48"/>
      <c r="V1594" s="49"/>
    </row>
    <row r="1595" spans="7:22">
      <c r="G1595" s="48"/>
      <c r="H1595" s="48"/>
      <c r="I1595" s="1098" t="s">
        <v>4057</v>
      </c>
      <c r="J1595" s="990">
        <v>10000000</v>
      </c>
      <c r="K1595" s="1495"/>
      <c r="L1595" s="49"/>
      <c r="M1595" s="1493"/>
      <c r="N1595" s="49"/>
      <c r="O1595" s="1180"/>
      <c r="P1595" s="644"/>
      <c r="Q1595" s="1104" t="s">
        <v>3608</v>
      </c>
      <c r="R1595" s="644">
        <v>610000</v>
      </c>
      <c r="S1595" s="1055"/>
      <c r="T1595" s="1091"/>
      <c r="U1595" s="1078"/>
      <c r="V1595" s="49"/>
    </row>
    <row r="1596" spans="7:22">
      <c r="G1596" s="48"/>
      <c r="H1596" s="48"/>
      <c r="I1596" s="1098" t="s">
        <v>4058</v>
      </c>
      <c r="J1596" s="990">
        <v>29700000</v>
      </c>
      <c r="K1596" s="1495"/>
      <c r="L1596" s="49"/>
      <c r="M1596" s="1495"/>
      <c r="N1596" s="49"/>
      <c r="O1596" s="644"/>
      <c r="P1596" s="644"/>
      <c r="Q1596" s="1103" t="s">
        <v>4044</v>
      </c>
      <c r="R1596" s="644">
        <v>371000</v>
      </c>
      <c r="S1596" s="48"/>
      <c r="T1596" s="1091"/>
      <c r="U1596" s="48"/>
      <c r="V1596" s="49"/>
    </row>
    <row r="1597" spans="7:22">
      <c r="G1597" s="48"/>
      <c r="H1597" s="48"/>
      <c r="I1597" s="1074"/>
      <c r="J1597" s="990"/>
      <c r="K1597" s="1495"/>
      <c r="L1597" s="49"/>
      <c r="M1597" s="1495"/>
      <c r="N1597" s="49"/>
      <c r="O1597" s="644"/>
      <c r="P1597" s="644"/>
      <c r="Q1597" s="1103"/>
      <c r="R1597" s="644"/>
      <c r="S1597" s="48"/>
      <c r="T1597" s="1091"/>
      <c r="U1597" s="48"/>
      <c r="V1597" s="49"/>
    </row>
    <row r="1598" spans="7:22">
      <c r="G1598" s="48"/>
      <c r="H1598" s="48"/>
      <c r="I1598" s="1074"/>
      <c r="J1598" s="49"/>
      <c r="K1598" s="1532"/>
      <c r="L1598" s="49"/>
      <c r="M1598" s="1498"/>
      <c r="N1598" s="49"/>
      <c r="O1598" s="644"/>
      <c r="P1598" s="644"/>
      <c r="Q1598" s="1093"/>
      <c r="R1598" s="644"/>
      <c r="S1598" s="48"/>
      <c r="T1598" s="1091"/>
      <c r="U1598" s="48"/>
      <c r="V1598" s="49"/>
    </row>
    <row r="1599" spans="7:22">
      <c r="G1599" s="48"/>
      <c r="H1599" s="48"/>
      <c r="I1599" s="1074"/>
      <c r="J1599" s="49"/>
      <c r="K1599" s="1495"/>
      <c r="L1599" s="49"/>
      <c r="M1599" s="1498"/>
      <c r="N1599" s="49"/>
      <c r="O1599" s="644"/>
      <c r="P1599" s="644"/>
      <c r="Q1599" s="1076"/>
      <c r="R1599" s="644"/>
      <c r="S1599" s="48"/>
      <c r="T1599" s="1091"/>
      <c r="U1599" s="48"/>
      <c r="V1599" s="49"/>
    </row>
    <row r="1600" spans="7:22">
      <c r="G1600" s="48"/>
      <c r="H1600" s="48"/>
      <c r="I1600" s="1074"/>
      <c r="J1600" s="49"/>
      <c r="K1600" s="1532"/>
      <c r="L1600" s="49"/>
      <c r="M1600" s="1498"/>
      <c r="N1600" s="49"/>
      <c r="O1600" s="644"/>
      <c r="P1600" s="644"/>
      <c r="Q1600" s="644"/>
      <c r="R1600" s="644"/>
      <c r="S1600" s="48"/>
      <c r="T1600" s="1091"/>
      <c r="U1600" s="48"/>
      <c r="V1600" s="49"/>
    </row>
    <row r="1601" spans="7:22">
      <c r="G1601" s="48"/>
      <c r="H1601" s="48"/>
      <c r="I1601" s="48"/>
      <c r="J1601" s="49"/>
      <c r="K1601" s="1495"/>
      <c r="L1601" s="49"/>
      <c r="M1601" s="1498"/>
      <c r="N1601" s="49"/>
      <c r="O1601" s="644"/>
      <c r="P1601" s="644"/>
      <c r="Q1601" s="644"/>
      <c r="R1601" s="644"/>
      <c r="S1601" s="48"/>
      <c r="T1601" s="1091"/>
      <c r="U1601" s="48"/>
      <c r="V1601" s="49"/>
    </row>
    <row r="1602" spans="7:22">
      <c r="G1602" s="48"/>
      <c r="H1602" s="48"/>
      <c r="I1602" s="48"/>
      <c r="J1602" s="49"/>
      <c r="K1602" s="1498"/>
      <c r="L1602" s="49"/>
      <c r="M1602" s="1498"/>
      <c r="N1602" s="49"/>
      <c r="O1602" s="644"/>
      <c r="P1602" s="644"/>
      <c r="Q1602" s="644"/>
      <c r="R1602" s="644"/>
      <c r="S1602" s="48"/>
      <c r="T1602" s="1091"/>
      <c r="U1602" s="48"/>
      <c r="V1602" s="49"/>
    </row>
    <row r="1603" spans="7:22">
      <c r="G1603" s="48"/>
      <c r="H1603" s="48"/>
      <c r="I1603" s="48"/>
      <c r="J1603" s="49"/>
      <c r="K1603" s="1498"/>
      <c r="L1603" s="49"/>
      <c r="M1603" s="1498"/>
      <c r="N1603" s="49"/>
      <c r="O1603" s="644"/>
      <c r="P1603" s="644"/>
      <c r="Q1603" s="644"/>
      <c r="R1603" s="644"/>
      <c r="S1603" s="48"/>
      <c r="T1603" s="1091"/>
      <c r="U1603" s="48"/>
      <c r="V1603" s="48"/>
    </row>
    <row r="1604" spans="7:22">
      <c r="G1604" s="48"/>
      <c r="H1604" s="48"/>
      <c r="I1604" s="48"/>
      <c r="J1604" s="49"/>
      <c r="K1604" s="49"/>
      <c r="L1604" s="49"/>
      <c r="M1604" s="1498"/>
      <c r="N1604" s="49"/>
      <c r="O1604" s="644"/>
      <c r="P1604" s="644"/>
      <c r="Q1604" s="644"/>
      <c r="R1604" s="644"/>
      <c r="S1604" s="48"/>
      <c r="T1604" s="1091"/>
      <c r="U1604" s="48"/>
      <c r="V1604" s="48"/>
    </row>
    <row r="1605" spans="7:22">
      <c r="G1605" s="48"/>
      <c r="H1605" s="48"/>
      <c r="I1605" s="48"/>
      <c r="J1605" s="954">
        <f>SUM(J1593:J1601)</f>
        <v>163060000</v>
      </c>
      <c r="K1605" s="954"/>
      <c r="L1605" s="954">
        <f>SUM(L1593:L1604)</f>
        <v>65000</v>
      </c>
      <c r="M1605" s="1498"/>
      <c r="N1605" s="954">
        <f>SUM(N1593:N1604)</f>
        <v>165750000</v>
      </c>
      <c r="O1605" s="644"/>
      <c r="P1605" s="969">
        <f>SUM(P1593:P1599)</f>
        <v>28479000</v>
      </c>
      <c r="Q1605" s="969"/>
      <c r="R1605" s="969">
        <f>SUM(R1593:R1599)</f>
        <v>3766000</v>
      </c>
      <c r="S1605" s="48"/>
      <c r="T1605" s="1091">
        <f>SUM(T1593:T1604)</f>
        <v>100</v>
      </c>
      <c r="U1605" s="48"/>
      <c r="V1605" s="878">
        <f>SUM(V1593:V1604)</f>
        <v>100</v>
      </c>
    </row>
    <row r="1606" spans="7:22">
      <c r="T1606" s="1090"/>
    </row>
    <row r="1607" spans="7:22">
      <c r="T1607" s="1090"/>
    </row>
    <row r="1608" spans="7:22">
      <c r="R1608" s="661"/>
      <c r="T1608" s="1090"/>
    </row>
    <row r="1609" spans="7:22">
      <c r="T1609" s="1090"/>
    </row>
    <row r="1610" spans="7:22">
      <c r="T1610" s="1090"/>
    </row>
    <row r="1611" spans="7:22">
      <c r="I1611" s="946"/>
      <c r="M1611" s="1533" t="s">
        <v>3699</v>
      </c>
      <c r="N1611" s="3">
        <v>126000000</v>
      </c>
      <c r="O1611" s="1535" t="s">
        <v>3741</v>
      </c>
      <c r="P1611" s="939">
        <f>P1605-R1605</f>
        <v>24713000</v>
      </c>
      <c r="S1611" t="s">
        <v>4049</v>
      </c>
      <c r="T1611" s="1107">
        <f>T1605-V1605</f>
        <v>0</v>
      </c>
    </row>
    <row r="1612" spans="7:22">
      <c r="G1612" s="1574" t="s">
        <v>3530</v>
      </c>
      <c r="H1612" s="1574"/>
      <c r="I1612" s="1574"/>
      <c r="J1612" s="3">
        <f>J1605+L1605</f>
        <v>163125000</v>
      </c>
      <c r="K1612" s="1009"/>
      <c r="L1612" s="3"/>
      <c r="M1612" s="1533" t="s">
        <v>3664</v>
      </c>
      <c r="N1612" s="1527">
        <f>N1611*0.99</f>
        <v>124740000</v>
      </c>
      <c r="O1612" s="1535"/>
      <c r="P1612" s="1512"/>
      <c r="T1612" s="1090"/>
    </row>
    <row r="1613" spans="7:22">
      <c r="G1613" s="1574" t="s">
        <v>3512</v>
      </c>
      <c r="H1613" s="1574"/>
      <c r="I1613" s="1574"/>
      <c r="J1613" s="3">
        <f>N1605-J1612</f>
        <v>2625000</v>
      </c>
      <c r="K1613" s="1009"/>
      <c r="L1613" s="3"/>
      <c r="M1613" s="1528"/>
      <c r="Q1613" s="661"/>
      <c r="T1613" s="1090"/>
    </row>
    <row r="1614" spans="7:22">
      <c r="G1614" s="1574" t="s">
        <v>3531</v>
      </c>
      <c r="H1614" s="1574"/>
      <c r="I1614" s="1574"/>
      <c r="J1614" s="3">
        <f>T1611</f>
        <v>0</v>
      </c>
      <c r="Q1614" s="3"/>
      <c r="T1614" s="1090"/>
    </row>
    <row r="1615" spans="7:22">
      <c r="G1615" s="1586" t="s">
        <v>3891</v>
      </c>
      <c r="H1615" s="1586"/>
      <c r="I1615" s="1586"/>
      <c r="J1615" s="922"/>
      <c r="T1615" s="1090"/>
    </row>
    <row r="1619" spans="7:22">
      <c r="L1619" s="3">
        <v>2700000</v>
      </c>
    </row>
    <row r="1620" spans="7:22">
      <c r="L1620" s="3">
        <v>980000</v>
      </c>
    </row>
    <row r="1628" spans="7:22">
      <c r="G1628" s="1008">
        <v>45973</v>
      </c>
      <c r="H1628" s="1169"/>
      <c r="I1628" s="1575" t="s">
        <v>3510</v>
      </c>
      <c r="J1628" s="1576"/>
      <c r="K1628" s="1575" t="s">
        <v>3509</v>
      </c>
      <c r="L1628" s="1576"/>
      <c r="M1628" s="1575" t="s">
        <v>3541</v>
      </c>
      <c r="N1628" s="1576"/>
      <c r="O1628" s="1577" t="s">
        <v>3598</v>
      </c>
      <c r="P1628" s="1578"/>
      <c r="Q1628" s="1579" t="s">
        <v>3599</v>
      </c>
      <c r="R1628" s="1580"/>
      <c r="S1628" s="1583" t="s">
        <v>3953</v>
      </c>
      <c r="T1628" s="1583"/>
      <c r="U1628" s="1583" t="s">
        <v>3954</v>
      </c>
      <c r="V1628" s="1583"/>
    </row>
    <row r="1629" spans="7:22">
      <c r="G1629" s="1097"/>
      <c r="H1629" s="1097"/>
      <c r="I1629" s="1097" t="s">
        <v>4051</v>
      </c>
      <c r="J1629" s="990">
        <v>58590000</v>
      </c>
      <c r="K1629" s="1532" t="s">
        <v>4052</v>
      </c>
      <c r="L1629" s="49">
        <v>70000</v>
      </c>
      <c r="M1629" s="1495" t="s">
        <v>3512</v>
      </c>
      <c r="N1629" s="49">
        <v>3680000</v>
      </c>
      <c r="O1629" s="1105"/>
      <c r="P1629" s="644">
        <v>24713000</v>
      </c>
      <c r="Q1629" s="1104" t="s">
        <v>4065</v>
      </c>
      <c r="R1629" s="644">
        <v>1000000</v>
      </c>
      <c r="S1629" s="1096"/>
      <c r="T1629" s="1091"/>
      <c r="U1629" s="1102"/>
      <c r="V1629" s="49"/>
    </row>
    <row r="1630" spans="7:22">
      <c r="G1630" s="1098"/>
      <c r="H1630" s="1098"/>
      <c r="I1630" s="1101" t="s">
        <v>4061</v>
      </c>
      <c r="J1630" s="990">
        <v>83000000</v>
      </c>
      <c r="K1630" s="1532" t="s">
        <v>3363</v>
      </c>
      <c r="L1630" s="1495">
        <v>850000</v>
      </c>
      <c r="M1630" s="1495" t="s">
        <v>4059</v>
      </c>
      <c r="N1630" s="49">
        <f>60000000+114000000+20000000+2000000</f>
        <v>196000000</v>
      </c>
      <c r="O1630" s="1383" t="s">
        <v>4050</v>
      </c>
      <c r="P1630" s="644">
        <v>500000</v>
      </c>
      <c r="Q1630" s="1104" t="s">
        <v>4051</v>
      </c>
      <c r="R1630" s="644">
        <v>16740000</v>
      </c>
      <c r="S1630" s="48"/>
      <c r="T1630" s="1091"/>
      <c r="U1630" s="48"/>
      <c r="V1630" s="49"/>
    </row>
    <row r="1631" spans="7:22">
      <c r="G1631" s="48"/>
      <c r="H1631" s="48"/>
      <c r="I1631" s="1098" t="s">
        <v>4062</v>
      </c>
      <c r="J1631" s="990">
        <v>31500000</v>
      </c>
      <c r="K1631" s="1495"/>
      <c r="L1631" s="49"/>
      <c r="M1631" s="1495" t="s">
        <v>4053</v>
      </c>
      <c r="N1631" s="49">
        <v>1000000</v>
      </c>
      <c r="O1631" s="1180" t="s">
        <v>3455</v>
      </c>
      <c r="P1631" s="644">
        <v>4438500</v>
      </c>
      <c r="Q1631" s="1104" t="s">
        <v>3899</v>
      </c>
      <c r="R1631" s="644">
        <v>1025000</v>
      </c>
      <c r="S1631" s="1055"/>
      <c r="T1631" s="1091"/>
      <c r="U1631" s="1078"/>
      <c r="V1631" s="49"/>
    </row>
    <row r="1632" spans="7:22">
      <c r="G1632" s="48"/>
      <c r="H1632" s="48"/>
      <c r="I1632" s="1098" t="s">
        <v>4063</v>
      </c>
      <c r="J1632" s="990">
        <v>28600000</v>
      </c>
      <c r="K1632" s="1495"/>
      <c r="L1632" s="49"/>
      <c r="M1632" s="1493" t="s">
        <v>4055</v>
      </c>
      <c r="N1632" s="49">
        <v>1200000</v>
      </c>
      <c r="O1632" s="644"/>
      <c r="P1632" s="644"/>
      <c r="Q1632" s="1103" t="s">
        <v>3312</v>
      </c>
      <c r="R1632" s="644">
        <v>630000</v>
      </c>
      <c r="S1632" s="48"/>
      <c r="T1632" s="1091"/>
      <c r="U1632" s="48"/>
      <c r="V1632" s="49"/>
    </row>
    <row r="1633" spans="7:22">
      <c r="G1633" s="48"/>
      <c r="H1633" s="48"/>
      <c r="I1633" s="1074"/>
      <c r="J1633" s="990"/>
      <c r="K1633" s="1495"/>
      <c r="L1633" s="49"/>
      <c r="M1633" s="1495" t="s">
        <v>4060</v>
      </c>
      <c r="N1633" s="49">
        <v>850000</v>
      </c>
      <c r="O1633" s="644"/>
      <c r="P1633" s="644"/>
      <c r="Q1633" s="1103" t="s">
        <v>3404</v>
      </c>
      <c r="R1633" s="644">
        <f>83000+7000+11000+7000</f>
        <v>108000</v>
      </c>
      <c r="S1633" s="48"/>
      <c r="T1633" s="1091"/>
      <c r="U1633" s="48"/>
      <c r="V1633" s="49"/>
    </row>
    <row r="1634" spans="7:22">
      <c r="G1634" s="48"/>
      <c r="H1634" s="48"/>
      <c r="I1634" s="1074"/>
      <c r="J1634" s="49"/>
      <c r="K1634" s="1532"/>
      <c r="L1634" s="49"/>
      <c r="M1634" s="1498"/>
      <c r="N1634" s="49"/>
      <c r="O1634" s="644"/>
      <c r="P1634" s="644"/>
      <c r="Q1634" s="1093"/>
      <c r="R1634" s="644"/>
      <c r="S1634" s="48"/>
      <c r="T1634" s="1091"/>
      <c r="U1634" s="48"/>
      <c r="V1634" s="49"/>
    </row>
    <row r="1635" spans="7:22">
      <c r="G1635" s="48"/>
      <c r="H1635" s="48"/>
      <c r="I1635" s="1074"/>
      <c r="J1635" s="49"/>
      <c r="K1635" s="1495"/>
      <c r="L1635" s="49"/>
      <c r="M1635" s="1498"/>
      <c r="N1635" s="49"/>
      <c r="O1635" s="644"/>
      <c r="P1635" s="644"/>
      <c r="Q1635" s="1076"/>
      <c r="R1635" s="644"/>
      <c r="S1635" s="48"/>
      <c r="T1635" s="1091"/>
      <c r="U1635" s="48"/>
      <c r="V1635" s="49"/>
    </row>
    <row r="1636" spans="7:22">
      <c r="G1636" s="48"/>
      <c r="H1636" s="48"/>
      <c r="I1636" s="1074"/>
      <c r="J1636" s="49"/>
      <c r="K1636" s="1532"/>
      <c r="L1636" s="49"/>
      <c r="M1636" s="1498"/>
      <c r="N1636" s="49"/>
      <c r="O1636" s="644"/>
      <c r="P1636" s="644"/>
      <c r="Q1636" s="644"/>
      <c r="R1636" s="644"/>
      <c r="S1636" s="48"/>
      <c r="T1636" s="1091"/>
      <c r="U1636" s="48"/>
      <c r="V1636" s="49"/>
    </row>
    <row r="1637" spans="7:22">
      <c r="G1637" s="48"/>
      <c r="H1637" s="48"/>
      <c r="I1637" s="48"/>
      <c r="J1637" s="49"/>
      <c r="K1637" s="1495"/>
      <c r="L1637" s="49"/>
      <c r="M1637" s="1498"/>
      <c r="N1637" s="49"/>
      <c r="O1637" s="644"/>
      <c r="P1637" s="644"/>
      <c r="Q1637" s="644"/>
      <c r="R1637" s="644"/>
      <c r="S1637" s="48"/>
      <c r="T1637" s="1091"/>
      <c r="U1637" s="48"/>
      <c r="V1637" s="49"/>
    </row>
    <row r="1638" spans="7:22">
      <c r="G1638" s="48"/>
      <c r="H1638" s="48"/>
      <c r="I1638" s="48"/>
      <c r="J1638" s="49"/>
      <c r="K1638" s="1498"/>
      <c r="L1638" s="49"/>
      <c r="M1638" s="1498"/>
      <c r="N1638" s="49"/>
      <c r="O1638" s="644"/>
      <c r="P1638" s="644"/>
      <c r="Q1638" s="644"/>
      <c r="R1638" s="644"/>
      <c r="S1638" s="48"/>
      <c r="T1638" s="1091"/>
      <c r="U1638" s="48"/>
      <c r="V1638" s="49"/>
    </row>
    <row r="1639" spans="7:22">
      <c r="G1639" s="48"/>
      <c r="H1639" s="48"/>
      <c r="I1639" s="48"/>
      <c r="J1639" s="49"/>
      <c r="K1639" s="1498"/>
      <c r="L1639" s="49"/>
      <c r="M1639" s="1498"/>
      <c r="N1639" s="49"/>
      <c r="O1639" s="644"/>
      <c r="P1639" s="644"/>
      <c r="Q1639" s="644"/>
      <c r="R1639" s="644"/>
      <c r="S1639" s="48"/>
      <c r="T1639" s="1091"/>
      <c r="U1639" s="48"/>
      <c r="V1639" s="48"/>
    </row>
    <row r="1640" spans="7:22">
      <c r="G1640" s="48"/>
      <c r="H1640" s="48"/>
      <c r="I1640" s="48"/>
      <c r="J1640" s="49"/>
      <c r="K1640" s="49"/>
      <c r="L1640" s="49"/>
      <c r="M1640" s="1498"/>
      <c r="N1640" s="49"/>
      <c r="O1640" s="644"/>
      <c r="P1640" s="644"/>
      <c r="Q1640" s="644"/>
      <c r="R1640" s="644"/>
      <c r="S1640" s="48"/>
      <c r="T1640" s="1091"/>
      <c r="U1640" s="48"/>
      <c r="V1640" s="48"/>
    </row>
    <row r="1641" spans="7:22">
      <c r="G1641" s="48"/>
      <c r="H1641" s="48"/>
      <c r="I1641" s="48"/>
      <c r="J1641" s="954">
        <f>SUM(J1629:J1637)</f>
        <v>201690000</v>
      </c>
      <c r="K1641" s="954"/>
      <c r="L1641" s="954">
        <f>SUM(L1629:L1640)</f>
        <v>920000</v>
      </c>
      <c r="M1641" s="1498"/>
      <c r="N1641" s="954">
        <f>SUM(N1629:N1640)</f>
        <v>202730000</v>
      </c>
      <c r="O1641" s="644"/>
      <c r="P1641" s="969">
        <f>SUM(P1629:P1635)</f>
        <v>29651500</v>
      </c>
      <c r="Q1641" s="969"/>
      <c r="R1641" s="969">
        <f>SUM(R1629:R1635)</f>
        <v>19503000</v>
      </c>
      <c r="S1641" s="48"/>
      <c r="T1641" s="1091">
        <f>SUM(T1629:T1640)</f>
        <v>0</v>
      </c>
      <c r="U1641" s="48"/>
      <c r="V1641" s="878">
        <f>SUM(V1629:V1640)</f>
        <v>0</v>
      </c>
    </row>
    <row r="1642" spans="7:22">
      <c r="T1642" s="1090"/>
    </row>
    <row r="1643" spans="7:22">
      <c r="T1643" s="1090"/>
    </row>
    <row r="1644" spans="7:22">
      <c r="R1644" s="661"/>
      <c r="T1644" s="1090"/>
    </row>
    <row r="1645" spans="7:22">
      <c r="T1645" s="1090"/>
    </row>
    <row r="1646" spans="7:22">
      <c r="T1646" s="1090"/>
    </row>
    <row r="1647" spans="7:22">
      <c r="I1647" s="946"/>
      <c r="M1647" s="1533" t="s">
        <v>3699</v>
      </c>
      <c r="N1647" s="3">
        <v>0</v>
      </c>
      <c r="O1647" s="1535" t="s">
        <v>3741</v>
      </c>
      <c r="P1647" s="939">
        <f>P1641-R1641</f>
        <v>10148500</v>
      </c>
      <c r="S1647" t="s">
        <v>4049</v>
      </c>
      <c r="T1647" s="1107">
        <f>T1641-V1641</f>
        <v>0</v>
      </c>
    </row>
    <row r="1648" spans="7:22">
      <c r="G1648" s="1574" t="s">
        <v>3530</v>
      </c>
      <c r="H1648" s="1574"/>
      <c r="I1648" s="1574"/>
      <c r="J1648" s="3">
        <f>J1641+L1641</f>
        <v>202610000</v>
      </c>
      <c r="K1648" s="1009"/>
      <c r="L1648" s="3"/>
      <c r="M1648" s="1533" t="s">
        <v>3664</v>
      </c>
      <c r="N1648" s="1527">
        <f>N1647*0.99</f>
        <v>0</v>
      </c>
      <c r="O1648" s="1535" t="s">
        <v>4066</v>
      </c>
      <c r="P1648" s="1512">
        <f>9777000+62000</f>
        <v>9839000</v>
      </c>
      <c r="T1648" s="1090"/>
    </row>
    <row r="1649" spans="7:22">
      <c r="G1649" s="1574" t="s">
        <v>3512</v>
      </c>
      <c r="H1649" s="1574"/>
      <c r="I1649" s="1574"/>
      <c r="J1649" s="3">
        <f>N1641-J1648</f>
        <v>120000</v>
      </c>
      <c r="K1649" s="1009"/>
      <c r="L1649" s="3"/>
      <c r="M1649" s="1528"/>
      <c r="O1649" s="1529" t="s">
        <v>4067</v>
      </c>
      <c r="P1649" s="1527">
        <f>P1647-P1648</f>
        <v>309500</v>
      </c>
      <c r="Q1649" s="661"/>
      <c r="T1649" s="1090"/>
    </row>
    <row r="1650" spans="7:22">
      <c r="G1650" s="1574" t="s">
        <v>3531</v>
      </c>
      <c r="H1650" s="1574"/>
      <c r="I1650" s="1574"/>
      <c r="J1650" s="3">
        <f>T1647</f>
        <v>0</v>
      </c>
      <c r="Q1650" s="3"/>
      <c r="T1650" s="1090"/>
    </row>
    <row r="1651" spans="7:22">
      <c r="G1651" s="1586" t="s">
        <v>3891</v>
      </c>
      <c r="H1651" s="1586"/>
      <c r="I1651" s="1586"/>
      <c r="J1651" s="922"/>
      <c r="P1651" s="3"/>
      <c r="T1651" s="1090"/>
    </row>
    <row r="1652" spans="7:22">
      <c r="J1652" s="3">
        <v>400000</v>
      </c>
      <c r="K1652" s="3" t="s">
        <v>4064</v>
      </c>
      <c r="P1652" s="3"/>
    </row>
    <row r="1661" spans="7:22">
      <c r="G1661" s="1008">
        <v>45974</v>
      </c>
      <c r="H1661" s="1169"/>
      <c r="I1661" s="1575" t="s">
        <v>3510</v>
      </c>
      <c r="J1661" s="1576"/>
      <c r="K1661" s="1575" t="s">
        <v>3509</v>
      </c>
      <c r="L1661" s="1576"/>
      <c r="M1661" s="1575" t="s">
        <v>3541</v>
      </c>
      <c r="N1661" s="1576"/>
      <c r="O1661" s="1577" t="s">
        <v>3598</v>
      </c>
      <c r="P1661" s="1578"/>
      <c r="Q1661" s="1579" t="s">
        <v>3599</v>
      </c>
      <c r="R1661" s="1580"/>
      <c r="S1661" s="1583" t="s">
        <v>3953</v>
      </c>
      <c r="T1661" s="1583"/>
      <c r="U1661" s="1583" t="s">
        <v>3954</v>
      </c>
      <c r="V1661" s="1583"/>
    </row>
    <row r="1662" spans="7:22">
      <c r="G1662" s="1097"/>
      <c r="H1662" s="1097"/>
      <c r="I1662" s="1111" t="s">
        <v>4070</v>
      </c>
      <c r="J1662" s="990">
        <v>13200000</v>
      </c>
      <c r="K1662" s="1532" t="s">
        <v>3532</v>
      </c>
      <c r="L1662" s="49">
        <v>240000</v>
      </c>
      <c r="M1662" s="1495" t="s">
        <v>3532</v>
      </c>
      <c r="N1662" s="49">
        <v>332540000</v>
      </c>
      <c r="O1662" s="1105" t="s">
        <v>4068</v>
      </c>
      <c r="P1662" s="644">
        <v>1500000</v>
      </c>
      <c r="Q1662" s="1114" t="s">
        <v>3742</v>
      </c>
      <c r="R1662" s="644">
        <v>371000</v>
      </c>
      <c r="S1662" s="1096"/>
      <c r="T1662" s="1091"/>
      <c r="U1662" s="1112" t="s">
        <v>3856</v>
      </c>
      <c r="V1662" s="49">
        <v>2600</v>
      </c>
    </row>
    <row r="1663" spans="7:22">
      <c r="G1663" s="1098"/>
      <c r="H1663" s="1098"/>
      <c r="I1663" s="1115" t="s">
        <v>4073</v>
      </c>
      <c r="J1663" s="990">
        <v>38000000</v>
      </c>
      <c r="K1663" s="1532" t="s">
        <v>3684</v>
      </c>
      <c r="L1663" s="1495">
        <v>2000000</v>
      </c>
      <c r="M1663" s="1495" t="s">
        <v>4071</v>
      </c>
      <c r="N1663" s="49">
        <v>1800000</v>
      </c>
      <c r="O1663" s="1383" t="s">
        <v>3809</v>
      </c>
      <c r="P1663" s="644">
        <v>8000000</v>
      </c>
      <c r="Q1663" s="1114" t="s">
        <v>3364</v>
      </c>
      <c r="R1663" s="644">
        <v>42000</v>
      </c>
      <c r="S1663" s="48"/>
      <c r="T1663" s="1091"/>
      <c r="U1663" s="48"/>
      <c r="V1663" s="49"/>
    </row>
    <row r="1664" spans="7:22">
      <c r="G1664" s="48"/>
      <c r="H1664" s="48"/>
      <c r="I1664" s="1116" t="s">
        <v>4074</v>
      </c>
      <c r="J1664" s="990">
        <v>30220000</v>
      </c>
      <c r="K1664" s="1495" t="s">
        <v>4075</v>
      </c>
      <c r="L1664" s="49">
        <v>100000</v>
      </c>
      <c r="M1664" s="1495" t="s">
        <v>4076</v>
      </c>
      <c r="N1664" s="49">
        <v>42000</v>
      </c>
      <c r="O1664" s="1180" t="s">
        <v>3404</v>
      </c>
      <c r="P1664" s="644">
        <v>1200000</v>
      </c>
      <c r="Q1664" s="1104"/>
      <c r="R1664" s="644"/>
      <c r="S1664" s="1055"/>
      <c r="T1664" s="1091"/>
      <c r="U1664" s="1078"/>
      <c r="V1664" s="49"/>
    </row>
    <row r="1665" spans="7:22">
      <c r="G1665" s="48"/>
      <c r="H1665" s="48"/>
      <c r="I1665" s="1098"/>
      <c r="K1665" s="1495" t="s">
        <v>3363</v>
      </c>
      <c r="L1665" s="49">
        <v>80000</v>
      </c>
      <c r="M1665" s="1493"/>
      <c r="N1665" s="49"/>
      <c r="O1665" s="644"/>
      <c r="P1665" s="644"/>
      <c r="Q1665" s="1103"/>
      <c r="R1665" s="644"/>
      <c r="S1665" s="48"/>
      <c r="T1665" s="1091"/>
      <c r="U1665" s="48"/>
      <c r="V1665" s="49"/>
    </row>
    <row r="1666" spans="7:22">
      <c r="G1666" s="48"/>
      <c r="H1666" s="48"/>
      <c r="I1666" s="1074"/>
      <c r="J1666" s="990"/>
      <c r="K1666" s="1495"/>
      <c r="L1666" s="49"/>
      <c r="M1666" s="1495"/>
      <c r="N1666" s="49"/>
      <c r="O1666" s="644"/>
      <c r="P1666" s="644"/>
      <c r="Q1666" s="1103"/>
      <c r="R1666" s="644"/>
      <c r="S1666" s="48"/>
      <c r="T1666" s="1091"/>
      <c r="U1666" s="48"/>
      <c r="V1666" s="49"/>
    </row>
    <row r="1667" spans="7:22">
      <c r="G1667" s="48"/>
      <c r="H1667" s="48"/>
      <c r="I1667" s="1074"/>
      <c r="J1667" s="49"/>
      <c r="K1667" s="1532"/>
      <c r="L1667" s="49"/>
      <c r="M1667" s="1498"/>
      <c r="N1667" s="49"/>
      <c r="O1667" s="644"/>
      <c r="P1667" s="644"/>
      <c r="Q1667" s="1093"/>
      <c r="R1667" s="644"/>
      <c r="S1667" s="48"/>
      <c r="T1667" s="1091"/>
      <c r="U1667" s="48"/>
      <c r="V1667" s="49"/>
    </row>
    <row r="1668" spans="7:22">
      <c r="G1668" s="48"/>
      <c r="H1668" s="48"/>
      <c r="I1668" s="1074"/>
      <c r="J1668" s="49"/>
      <c r="K1668" s="1495"/>
      <c r="L1668" s="49"/>
      <c r="M1668" s="1498"/>
      <c r="N1668" s="49"/>
      <c r="O1668" s="644"/>
      <c r="P1668" s="644"/>
      <c r="Q1668" s="1076"/>
      <c r="R1668" s="644"/>
      <c r="S1668" s="48"/>
      <c r="T1668" s="1091"/>
      <c r="U1668" s="48"/>
      <c r="V1668" s="49"/>
    </row>
    <row r="1669" spans="7:22">
      <c r="G1669" s="48"/>
      <c r="H1669" s="48"/>
      <c r="I1669" s="1074"/>
      <c r="J1669" s="49"/>
      <c r="K1669" s="1532"/>
      <c r="L1669" s="49"/>
      <c r="M1669" s="1498"/>
      <c r="N1669" s="49"/>
      <c r="O1669" s="644"/>
      <c r="P1669" s="644"/>
      <c r="Q1669" s="644"/>
      <c r="R1669" s="644"/>
      <c r="S1669" s="48"/>
      <c r="T1669" s="1091"/>
      <c r="U1669" s="48"/>
      <c r="V1669" s="49"/>
    </row>
    <row r="1670" spans="7:22">
      <c r="G1670" s="48"/>
      <c r="H1670" s="48"/>
      <c r="I1670" s="48"/>
      <c r="J1670" s="49"/>
      <c r="K1670" s="1495"/>
      <c r="L1670" s="49"/>
      <c r="M1670" s="1498"/>
      <c r="N1670" s="49"/>
      <c r="O1670" s="644"/>
      <c r="P1670" s="644"/>
      <c r="Q1670" s="644"/>
      <c r="R1670" s="644"/>
      <c r="S1670" s="48"/>
      <c r="T1670" s="1091"/>
      <c r="U1670" s="48"/>
      <c r="V1670" s="49"/>
    </row>
    <row r="1671" spans="7:22">
      <c r="G1671" s="48"/>
      <c r="H1671" s="48"/>
      <c r="I1671" s="48"/>
      <c r="J1671" s="49"/>
      <c r="K1671" s="1498"/>
      <c r="L1671" s="49"/>
      <c r="M1671" s="1498"/>
      <c r="N1671" s="49"/>
      <c r="O1671" s="644"/>
      <c r="P1671" s="644"/>
      <c r="Q1671" s="644"/>
      <c r="R1671" s="644"/>
      <c r="S1671" s="48"/>
      <c r="T1671" s="1091"/>
      <c r="U1671" s="48"/>
      <c r="V1671" s="49"/>
    </row>
    <row r="1672" spans="7:22">
      <c r="G1672" s="48"/>
      <c r="H1672" s="48"/>
      <c r="I1672" s="48"/>
      <c r="J1672" s="49"/>
      <c r="K1672" s="1498"/>
      <c r="L1672" s="49"/>
      <c r="M1672" s="1498"/>
      <c r="N1672" s="49"/>
      <c r="O1672" s="644"/>
      <c r="P1672" s="644"/>
      <c r="Q1672" s="644"/>
      <c r="R1672" s="644"/>
      <c r="S1672" s="48"/>
      <c r="T1672" s="1091"/>
      <c r="U1672" s="48"/>
      <c r="V1672" s="48"/>
    </row>
    <row r="1673" spans="7:22">
      <c r="G1673" s="48"/>
      <c r="H1673" s="48"/>
      <c r="I1673" s="48"/>
      <c r="J1673" s="49"/>
      <c r="K1673" s="49"/>
      <c r="L1673" s="49"/>
      <c r="M1673" s="1498"/>
      <c r="N1673" s="49"/>
      <c r="O1673" s="644"/>
      <c r="P1673" s="644"/>
      <c r="Q1673" s="644"/>
      <c r="R1673" s="644"/>
      <c r="S1673" s="48"/>
      <c r="T1673" s="1091"/>
      <c r="U1673" s="48"/>
      <c r="V1673" s="48"/>
    </row>
    <row r="1674" spans="7:22">
      <c r="G1674" s="48"/>
      <c r="H1674" s="48"/>
      <c r="I1674" s="48"/>
      <c r="J1674" s="954">
        <f>SUM(J1662:J1670)</f>
        <v>81420000</v>
      </c>
      <c r="K1674" s="954"/>
      <c r="L1674" s="954">
        <f>SUM(L1662:L1673)</f>
        <v>2420000</v>
      </c>
      <c r="M1674" s="1498"/>
      <c r="N1674" s="954">
        <f>SUM(N1662:N1673)</f>
        <v>334382000</v>
      </c>
      <c r="O1674" s="644"/>
      <c r="P1674" s="969">
        <f>SUM(P1662:P1668)</f>
        <v>10700000</v>
      </c>
      <c r="Q1674" s="969"/>
      <c r="R1674" s="969">
        <f>SUM(R1662:R1668)</f>
        <v>413000</v>
      </c>
      <c r="S1674" s="48"/>
      <c r="T1674" s="1091">
        <f>SUM(T1662:T1673)</f>
        <v>0</v>
      </c>
      <c r="U1674" s="48"/>
      <c r="V1674" s="878">
        <f>SUM(V1662:V1673)</f>
        <v>2600</v>
      </c>
    </row>
    <row r="1675" spans="7:22">
      <c r="T1675" s="1090"/>
    </row>
    <row r="1676" spans="7:22">
      <c r="T1676" s="1090"/>
    </row>
    <row r="1677" spans="7:22">
      <c r="R1677" s="661"/>
      <c r="T1677" s="1090"/>
    </row>
    <row r="1678" spans="7:22">
      <c r="T1678" s="1090"/>
    </row>
    <row r="1679" spans="7:22">
      <c r="T1679" s="1090"/>
    </row>
    <row r="1680" spans="7:22">
      <c r="I1680" s="946"/>
      <c r="M1680" s="1533" t="s">
        <v>3699</v>
      </c>
      <c r="N1680" s="3">
        <v>0</v>
      </c>
      <c r="O1680" s="1535" t="s">
        <v>3741</v>
      </c>
      <c r="P1680" s="939"/>
      <c r="S1680" t="s">
        <v>4049</v>
      </c>
      <c r="T1680" s="1107">
        <f>T1674-V1674</f>
        <v>-2600</v>
      </c>
    </row>
    <row r="1681" spans="7:22">
      <c r="G1681" s="1574" t="s">
        <v>3530</v>
      </c>
      <c r="H1681" s="1574"/>
      <c r="I1681" s="1574"/>
      <c r="J1681" s="3">
        <f>J1674+L1674</f>
        <v>83840000</v>
      </c>
      <c r="K1681" s="1009"/>
      <c r="L1681" s="3"/>
      <c r="M1681" s="1533" t="s">
        <v>3664</v>
      </c>
      <c r="N1681" s="1527">
        <f>N1680*0.99</f>
        <v>0</v>
      </c>
      <c r="O1681" s="1535" t="s">
        <v>4066</v>
      </c>
      <c r="P1681" s="1512">
        <v>20127000</v>
      </c>
      <c r="T1681" s="1090"/>
    </row>
    <row r="1682" spans="7:22">
      <c r="G1682" s="1574" t="s">
        <v>3512</v>
      </c>
      <c r="H1682" s="1574"/>
      <c r="I1682" s="1574"/>
      <c r="J1682" s="3">
        <f>N1674-J1681</f>
        <v>250542000</v>
      </c>
      <c r="K1682" s="1009"/>
      <c r="L1682" s="3"/>
      <c r="M1682" s="1528"/>
      <c r="O1682" s="1529"/>
      <c r="Q1682" s="661"/>
      <c r="T1682" s="1090"/>
    </row>
    <row r="1683" spans="7:22">
      <c r="G1683" s="1574" t="s">
        <v>3531</v>
      </c>
      <c r="H1683" s="1574"/>
      <c r="I1683" s="1574"/>
      <c r="J1683" s="3">
        <f>T1680</f>
        <v>-2600</v>
      </c>
      <c r="Q1683" s="3"/>
      <c r="T1683" s="1090"/>
    </row>
    <row r="1686" spans="7:22">
      <c r="K1686" s="3">
        <v>249680000</v>
      </c>
    </row>
    <row r="1687" spans="7:22">
      <c r="K1687" s="3">
        <f>K1686-J1682</f>
        <v>-862000</v>
      </c>
    </row>
    <row r="1689" spans="7:22">
      <c r="J1689" s="3">
        <v>3800000</v>
      </c>
    </row>
    <row r="1693" spans="7:22">
      <c r="G1693" s="1008">
        <v>45975</v>
      </c>
      <c r="H1693" s="1169"/>
      <c r="I1693" s="1575" t="s">
        <v>3510</v>
      </c>
      <c r="J1693" s="1576"/>
      <c r="K1693" s="1575" t="s">
        <v>3509</v>
      </c>
      <c r="L1693" s="1576"/>
      <c r="M1693" s="1575" t="s">
        <v>3541</v>
      </c>
      <c r="N1693" s="1576"/>
      <c r="O1693" s="1577" t="s">
        <v>3598</v>
      </c>
      <c r="P1693" s="1578"/>
      <c r="Q1693" s="1579" t="s">
        <v>3599</v>
      </c>
      <c r="R1693" s="1580"/>
      <c r="S1693" s="1583" t="s">
        <v>3953</v>
      </c>
      <c r="T1693" s="1583"/>
      <c r="U1693" s="1583" t="s">
        <v>3954</v>
      </c>
      <c r="V1693" s="1583"/>
    </row>
    <row r="1694" spans="7:22">
      <c r="G1694" s="1097"/>
      <c r="H1694" s="1097"/>
      <c r="I1694" s="1120" t="s">
        <v>4080</v>
      </c>
      <c r="J1694" s="990">
        <v>30360000</v>
      </c>
      <c r="K1694" s="1532" t="s">
        <v>3777</v>
      </c>
      <c r="L1694" s="49">
        <v>30000000</v>
      </c>
      <c r="M1694" s="1495" t="s">
        <v>3512</v>
      </c>
      <c r="N1694" s="49">
        <v>250542000</v>
      </c>
      <c r="O1694" s="1383" t="s">
        <v>4078</v>
      </c>
      <c r="P1694" s="644">
        <v>200000</v>
      </c>
      <c r="Q1694" s="1117" t="s">
        <v>4079</v>
      </c>
      <c r="R1694" s="644">
        <v>643000</v>
      </c>
      <c r="S1694" s="48" t="s">
        <v>4077</v>
      </c>
      <c r="T1694" s="1110">
        <v>800</v>
      </c>
      <c r="U1694" s="1112"/>
      <c r="V1694" s="49"/>
    </row>
    <row r="1695" spans="7:22">
      <c r="G1695" s="1098"/>
      <c r="H1695" s="1098"/>
      <c r="I1695" s="1115"/>
      <c r="J1695" s="990"/>
      <c r="K1695" s="1495" t="s">
        <v>3404</v>
      </c>
      <c r="L1695" s="49">
        <v>200000</v>
      </c>
      <c r="M1695" s="1495" t="s">
        <v>4077</v>
      </c>
      <c r="N1695" s="49">
        <v>400000</v>
      </c>
      <c r="O1695" s="1383"/>
      <c r="P1695" s="644"/>
      <c r="Q1695" s="1121" t="s">
        <v>3518</v>
      </c>
      <c r="R1695" s="644">
        <v>200000</v>
      </c>
      <c r="S1695" s="48" t="s">
        <v>3857</v>
      </c>
      <c r="T1695" s="1110">
        <v>200</v>
      </c>
      <c r="U1695" s="48"/>
      <c r="V1695" s="49"/>
    </row>
    <row r="1696" spans="7:22">
      <c r="G1696" s="48"/>
      <c r="H1696" s="48"/>
      <c r="I1696" s="1116"/>
      <c r="J1696" s="990"/>
      <c r="K1696" s="1495"/>
      <c r="L1696" s="49"/>
      <c r="M1696" s="1495" t="s">
        <v>4081</v>
      </c>
      <c r="N1696" s="49">
        <v>1200000</v>
      </c>
      <c r="O1696" s="1180"/>
      <c r="P1696" s="644"/>
      <c r="Q1696" s="1121" t="s">
        <v>3363</v>
      </c>
      <c r="R1696" s="644">
        <v>50000</v>
      </c>
      <c r="S1696" s="1055"/>
      <c r="T1696" s="1110"/>
      <c r="U1696" s="1078"/>
      <c r="V1696" s="49"/>
    </row>
    <row r="1697" spans="7:22">
      <c r="G1697" s="48"/>
      <c r="H1697" s="48"/>
      <c r="I1697" s="1098"/>
      <c r="K1697" s="1495"/>
      <c r="L1697" s="49"/>
      <c r="M1697" s="1493" t="s">
        <v>4082</v>
      </c>
      <c r="N1697" s="49">
        <v>900000</v>
      </c>
      <c r="O1697" s="644"/>
      <c r="P1697" s="644"/>
      <c r="Q1697" s="1103"/>
      <c r="R1697" s="644"/>
      <c r="S1697" s="48"/>
      <c r="T1697" s="1110"/>
      <c r="U1697" s="48"/>
      <c r="V1697" s="49"/>
    </row>
    <row r="1698" spans="7:22">
      <c r="G1698" s="48"/>
      <c r="H1698" s="48"/>
      <c r="I1698" s="1074"/>
      <c r="J1698" s="990"/>
      <c r="K1698" s="1495"/>
      <c r="L1698" s="49"/>
      <c r="O1698" s="644"/>
      <c r="P1698" s="644"/>
      <c r="Q1698" s="1103"/>
      <c r="R1698" s="644"/>
      <c r="S1698" s="48"/>
      <c r="T1698" s="1110"/>
      <c r="U1698" s="48"/>
      <c r="V1698" s="49"/>
    </row>
    <row r="1699" spans="7:22">
      <c r="G1699" s="48"/>
      <c r="H1699" s="48"/>
      <c r="I1699" s="1074"/>
      <c r="J1699" s="49"/>
      <c r="K1699" s="1532"/>
      <c r="L1699" s="49"/>
      <c r="M1699" s="1495"/>
      <c r="N1699" s="49"/>
      <c r="O1699" s="644"/>
      <c r="P1699" s="644"/>
      <c r="Q1699" s="1093"/>
      <c r="R1699" s="644"/>
      <c r="S1699" s="48"/>
      <c r="T1699" s="1110"/>
      <c r="U1699" s="48"/>
      <c r="V1699" s="49"/>
    </row>
    <row r="1700" spans="7:22">
      <c r="G1700" s="48"/>
      <c r="H1700" s="48"/>
      <c r="I1700" s="1074"/>
      <c r="J1700" s="49"/>
      <c r="K1700" s="1495"/>
      <c r="L1700" s="49"/>
      <c r="M1700" s="1498"/>
      <c r="N1700" s="49"/>
      <c r="O1700" s="644"/>
      <c r="P1700" s="644"/>
      <c r="Q1700" s="1076"/>
      <c r="R1700" s="644"/>
      <c r="S1700" s="48"/>
      <c r="T1700" s="1110"/>
      <c r="U1700" s="48"/>
      <c r="V1700" s="49"/>
    </row>
    <row r="1701" spans="7:22">
      <c r="G1701" s="48"/>
      <c r="H1701" s="48"/>
      <c r="I1701" s="1074"/>
      <c r="J1701" s="49"/>
      <c r="K1701" s="1532"/>
      <c r="L1701" s="49"/>
      <c r="M1701" s="1498"/>
      <c r="N1701" s="49"/>
      <c r="O1701" s="644"/>
      <c r="P1701" s="644"/>
      <c r="Q1701" s="644"/>
      <c r="R1701" s="644"/>
      <c r="S1701" s="48"/>
      <c r="T1701" s="1110"/>
      <c r="U1701" s="48"/>
      <c r="V1701" s="49"/>
    </row>
    <row r="1702" spans="7:22">
      <c r="G1702" s="48"/>
      <c r="H1702" s="48"/>
      <c r="I1702" s="48"/>
      <c r="J1702" s="49"/>
      <c r="K1702" s="1495"/>
      <c r="L1702" s="49"/>
      <c r="M1702" s="1498"/>
      <c r="N1702" s="49"/>
      <c r="O1702" s="644"/>
      <c r="P1702" s="644"/>
      <c r="Q1702" s="644"/>
      <c r="R1702" s="644"/>
      <c r="S1702" s="48"/>
      <c r="T1702" s="1110"/>
      <c r="U1702" s="48"/>
      <c r="V1702" s="49"/>
    </row>
    <row r="1703" spans="7:22">
      <c r="G1703" s="48"/>
      <c r="H1703" s="48"/>
      <c r="I1703" s="48"/>
      <c r="J1703" s="49"/>
      <c r="K1703" s="1498"/>
      <c r="L1703" s="49"/>
      <c r="M1703" s="1498"/>
      <c r="N1703" s="49"/>
      <c r="O1703" s="644"/>
      <c r="P1703" s="644"/>
      <c r="Q1703" s="644"/>
      <c r="R1703" s="644"/>
      <c r="S1703" s="48"/>
      <c r="T1703" s="1110"/>
      <c r="U1703" s="48"/>
      <c r="V1703" s="49"/>
    </row>
    <row r="1704" spans="7:22">
      <c r="G1704" s="48"/>
      <c r="H1704" s="48"/>
      <c r="I1704" s="48"/>
      <c r="J1704" s="49"/>
      <c r="K1704" s="1498"/>
      <c r="L1704" s="49"/>
      <c r="M1704" s="1498"/>
      <c r="N1704" s="49"/>
      <c r="O1704" s="644"/>
      <c r="P1704" s="644"/>
      <c r="Q1704" s="644"/>
      <c r="R1704" s="644"/>
      <c r="S1704" s="48"/>
      <c r="T1704" s="1110"/>
      <c r="U1704" s="48"/>
      <c r="V1704" s="48"/>
    </row>
    <row r="1705" spans="7:22">
      <c r="G1705" s="48"/>
      <c r="H1705" s="48"/>
      <c r="I1705" s="48"/>
      <c r="J1705" s="49"/>
      <c r="K1705" s="49"/>
      <c r="L1705" s="49"/>
      <c r="M1705" s="1498"/>
      <c r="N1705" s="49"/>
      <c r="O1705" s="644"/>
      <c r="P1705" s="644"/>
      <c r="Q1705" s="644"/>
      <c r="R1705" s="644"/>
      <c r="S1705" s="48"/>
      <c r="T1705" s="1110"/>
      <c r="U1705" s="48"/>
      <c r="V1705" s="48"/>
    </row>
    <row r="1706" spans="7:22">
      <c r="G1706" s="48"/>
      <c r="H1706" s="48"/>
      <c r="I1706" s="48"/>
      <c r="J1706" s="954">
        <f>SUM(J1694:J1702)</f>
        <v>30360000</v>
      </c>
      <c r="K1706" s="954"/>
      <c r="L1706" s="954">
        <f>SUM(L1694:L1705)</f>
        <v>30200000</v>
      </c>
      <c r="M1706" s="1498"/>
      <c r="N1706" s="954">
        <f>SUM(N1694:N1705)</f>
        <v>253042000</v>
      </c>
      <c r="O1706" s="644"/>
      <c r="P1706" s="969">
        <f>SUM(P1694:P1700)</f>
        <v>200000</v>
      </c>
      <c r="Q1706" s="969"/>
      <c r="R1706" s="969">
        <f>SUM(R1694:R1700)</f>
        <v>893000</v>
      </c>
      <c r="S1706" s="48"/>
      <c r="T1706" s="1110">
        <f>SUM(T1694:T1705)</f>
        <v>1000</v>
      </c>
      <c r="U1706" s="48"/>
      <c r="V1706" s="878">
        <f>SUM(V1694:V1705)</f>
        <v>0</v>
      </c>
    </row>
    <row r="1707" spans="7:22">
      <c r="T1707" s="1109"/>
    </row>
    <row r="1708" spans="7:22">
      <c r="T1708" s="1109"/>
    </row>
    <row r="1709" spans="7:22">
      <c r="R1709" s="661"/>
      <c r="T1709" s="1109"/>
    </row>
    <row r="1710" spans="7:22">
      <c r="T1710" s="1109"/>
    </row>
    <row r="1711" spans="7:22">
      <c r="T1711" s="1109"/>
    </row>
    <row r="1712" spans="7:22">
      <c r="I1712" s="946"/>
      <c r="M1712" s="1533" t="s">
        <v>3699</v>
      </c>
      <c r="N1712" s="3">
        <v>0</v>
      </c>
      <c r="O1712" s="1535" t="s">
        <v>3741</v>
      </c>
      <c r="P1712" s="939"/>
      <c r="S1712" s="906" t="s">
        <v>4049</v>
      </c>
      <c r="T1712" s="1107">
        <f>T1706-V1706</f>
        <v>1000</v>
      </c>
    </row>
    <row r="1713" spans="7:22">
      <c r="G1713" s="1574" t="s">
        <v>3530</v>
      </c>
      <c r="H1713" s="1574"/>
      <c r="I1713" s="1574"/>
      <c r="J1713" s="3">
        <f>J1706+L1706</f>
        <v>60560000</v>
      </c>
      <c r="K1713" s="1009"/>
      <c r="L1713" s="3"/>
      <c r="M1713" s="1533" t="s">
        <v>3664</v>
      </c>
      <c r="N1713" s="1527">
        <f>N1712*0.99</f>
        <v>0</v>
      </c>
      <c r="O1713" s="1535" t="s">
        <v>4066</v>
      </c>
      <c r="P1713" s="1512">
        <v>20127000</v>
      </c>
      <c r="T1713" s="1109"/>
    </row>
    <row r="1714" spans="7:22">
      <c r="G1714" s="1574" t="s">
        <v>3512</v>
      </c>
      <c r="H1714" s="1574"/>
      <c r="I1714" s="1574"/>
      <c r="J1714" s="3">
        <f>N1706-J1713</f>
        <v>192482000</v>
      </c>
      <c r="K1714" s="1009"/>
      <c r="L1714" s="3"/>
      <c r="M1714" s="1528"/>
      <c r="O1714" s="1529"/>
      <c r="Q1714" s="661"/>
      <c r="T1714" s="1109"/>
    </row>
    <row r="1715" spans="7:22">
      <c r="G1715" s="1574" t="s">
        <v>3531</v>
      </c>
      <c r="H1715" s="1574"/>
      <c r="I1715" s="1574"/>
      <c r="J1715" s="3">
        <f>T1712</f>
        <v>1000</v>
      </c>
      <c r="Q1715" s="3"/>
      <c r="T1715" s="1109"/>
    </row>
    <row r="1726" spans="7:22">
      <c r="G1726" s="1008">
        <v>45976</v>
      </c>
      <c r="H1726" s="1169"/>
      <c r="I1726" s="1575" t="s">
        <v>3510</v>
      </c>
      <c r="J1726" s="1576"/>
      <c r="K1726" s="1575" t="s">
        <v>3509</v>
      </c>
      <c r="L1726" s="1576"/>
      <c r="M1726" s="1575" t="s">
        <v>3541</v>
      </c>
      <c r="N1726" s="1576"/>
      <c r="O1726" s="1577" t="s">
        <v>3598</v>
      </c>
      <c r="P1726" s="1578"/>
      <c r="Q1726" s="1579" t="s">
        <v>3599</v>
      </c>
      <c r="R1726" s="1580"/>
      <c r="S1726" s="1583" t="s">
        <v>3953</v>
      </c>
      <c r="T1726" s="1583"/>
      <c r="U1726" s="1583" t="s">
        <v>3954</v>
      </c>
      <c r="V1726" s="1583"/>
    </row>
    <row r="1727" spans="7:22">
      <c r="G1727" s="1097"/>
      <c r="H1727" s="1097"/>
      <c r="I1727" s="1122" t="s">
        <v>4083</v>
      </c>
      <c r="J1727" s="990">
        <f>23000000*0.91</f>
        <v>20930000</v>
      </c>
      <c r="K1727" s="1532" t="s">
        <v>3837</v>
      </c>
      <c r="L1727" s="49">
        <v>4000000</v>
      </c>
      <c r="M1727" s="1495" t="s">
        <v>3512</v>
      </c>
      <c r="N1727" s="49">
        <v>192482000</v>
      </c>
      <c r="O1727" s="1383"/>
      <c r="P1727" s="644">
        <v>20127000</v>
      </c>
      <c r="Q1727" s="1131" t="s">
        <v>4090</v>
      </c>
      <c r="R1727" s="644">
        <v>400000</v>
      </c>
      <c r="S1727" s="48" t="s">
        <v>4085</v>
      </c>
      <c r="T1727" s="1119">
        <v>2750</v>
      </c>
      <c r="U1727" s="1112"/>
      <c r="V1727" s="49"/>
    </row>
    <row r="1728" spans="7:22">
      <c r="G1728" s="1098"/>
      <c r="H1728" s="1098"/>
      <c r="I1728" s="1115"/>
      <c r="J1728" s="990"/>
      <c r="K1728" s="1495" t="s">
        <v>4085</v>
      </c>
      <c r="L1728" s="49">
        <v>3000000</v>
      </c>
      <c r="M1728" s="1495" t="s">
        <v>4084</v>
      </c>
      <c r="N1728" s="49">
        <v>9300000</v>
      </c>
      <c r="O1728" s="1383"/>
      <c r="P1728" s="644"/>
      <c r="Q1728" s="1131" t="s">
        <v>3164</v>
      </c>
      <c r="R1728" s="644">
        <v>42000</v>
      </c>
      <c r="S1728" s="48" t="s">
        <v>4089</v>
      </c>
      <c r="T1728" s="1119">
        <v>250</v>
      </c>
      <c r="U1728" s="48"/>
      <c r="V1728" s="49"/>
    </row>
    <row r="1729" spans="7:22">
      <c r="G1729" s="48"/>
      <c r="H1729" s="48"/>
      <c r="I1729" s="1116"/>
      <c r="J1729" s="990"/>
      <c r="K1729" s="1495" t="s">
        <v>3566</v>
      </c>
      <c r="L1729" s="49">
        <v>15000000</v>
      </c>
      <c r="M1729" s="1495"/>
      <c r="N1729" s="49"/>
      <c r="O1729" s="1180"/>
      <c r="P1729" s="644"/>
      <c r="Q1729" s="1131" t="s">
        <v>3404</v>
      </c>
      <c r="R1729" s="644">
        <v>150000</v>
      </c>
      <c r="S1729" s="1055"/>
      <c r="T1729" s="1119"/>
      <c r="U1729" s="1078"/>
      <c r="V1729" s="49"/>
    </row>
    <row r="1730" spans="7:22">
      <c r="G1730" s="48"/>
      <c r="H1730" s="48"/>
      <c r="I1730" s="1098"/>
      <c r="K1730" s="1495" t="s">
        <v>3768</v>
      </c>
      <c r="L1730" s="49">
        <v>100000</v>
      </c>
      <c r="M1730" s="1493"/>
      <c r="N1730" s="49"/>
      <c r="O1730" s="644"/>
      <c r="P1730" s="644"/>
      <c r="Q1730" s="1103"/>
      <c r="R1730" s="644"/>
      <c r="S1730" s="48"/>
      <c r="T1730" s="1119"/>
      <c r="U1730" s="48"/>
      <c r="V1730" s="49"/>
    </row>
    <row r="1731" spans="7:22">
      <c r="G1731" s="48"/>
      <c r="H1731" s="48"/>
      <c r="I1731" s="1074"/>
      <c r="J1731" s="990"/>
      <c r="K1731" s="1495" t="s">
        <v>3404</v>
      </c>
      <c r="L1731" s="49">
        <f>20000+120000</f>
        <v>140000</v>
      </c>
      <c r="M1731" s="1498"/>
      <c r="N1731" s="49"/>
      <c r="O1731" s="644"/>
      <c r="P1731" s="644"/>
      <c r="Q1731" s="1103"/>
      <c r="R1731" s="644"/>
      <c r="S1731" s="48"/>
      <c r="T1731" s="1119"/>
      <c r="U1731" s="48"/>
      <c r="V1731" s="49"/>
    </row>
    <row r="1732" spans="7:22">
      <c r="G1732" s="48"/>
      <c r="H1732" s="48"/>
      <c r="I1732" s="1074"/>
      <c r="J1732" s="49"/>
      <c r="K1732" s="1532" t="s">
        <v>3363</v>
      </c>
      <c r="L1732" s="49">
        <v>1000000</v>
      </c>
      <c r="M1732" s="1495"/>
      <c r="N1732" s="49"/>
      <c r="O1732" s="644"/>
      <c r="P1732" s="644"/>
      <c r="Q1732" s="1093"/>
      <c r="R1732" s="644"/>
      <c r="S1732" s="48"/>
      <c r="T1732" s="1119"/>
      <c r="U1732" s="48"/>
      <c r="V1732" s="49"/>
    </row>
    <row r="1733" spans="7:22">
      <c r="G1733" s="48"/>
      <c r="H1733" s="48"/>
      <c r="I1733" s="1074"/>
      <c r="J1733" s="49"/>
      <c r="K1733" s="1495"/>
      <c r="L1733" s="49"/>
      <c r="M1733" s="1498"/>
      <c r="N1733" s="49"/>
      <c r="O1733" s="644"/>
      <c r="P1733" s="644"/>
      <c r="Q1733" s="1076"/>
      <c r="R1733" s="644"/>
      <c r="S1733" s="48"/>
      <c r="T1733" s="1119"/>
      <c r="U1733" s="48"/>
      <c r="V1733" s="49"/>
    </row>
    <row r="1734" spans="7:22">
      <c r="G1734" s="48"/>
      <c r="H1734" s="48"/>
      <c r="I1734" s="1074"/>
      <c r="J1734" s="49"/>
      <c r="K1734" s="1532"/>
      <c r="L1734" s="49"/>
      <c r="M1734" s="1498"/>
      <c r="N1734" s="49"/>
      <c r="O1734" s="644"/>
      <c r="P1734" s="644"/>
      <c r="Q1734" s="644"/>
      <c r="R1734" s="644"/>
      <c r="S1734" s="48"/>
      <c r="T1734" s="1119"/>
      <c r="U1734" s="48"/>
      <c r="V1734" s="49"/>
    </row>
    <row r="1735" spans="7:22">
      <c r="G1735" s="48"/>
      <c r="H1735" s="48"/>
      <c r="I1735" s="48"/>
      <c r="J1735" s="49"/>
      <c r="K1735" s="1495"/>
      <c r="L1735" s="49"/>
      <c r="M1735" s="1498"/>
      <c r="N1735" s="49"/>
      <c r="O1735" s="644"/>
      <c r="P1735" s="644"/>
      <c r="Q1735" s="644"/>
      <c r="R1735" s="644"/>
      <c r="S1735" s="48"/>
      <c r="T1735" s="1119"/>
      <c r="U1735" s="48"/>
      <c r="V1735" s="49"/>
    </row>
    <row r="1736" spans="7:22">
      <c r="G1736" s="48"/>
      <c r="H1736" s="48"/>
      <c r="I1736" s="48"/>
      <c r="J1736" s="49"/>
      <c r="K1736" s="1498"/>
      <c r="L1736" s="49"/>
      <c r="M1736" s="1498"/>
      <c r="N1736" s="49"/>
      <c r="O1736" s="644"/>
      <c r="P1736" s="644"/>
      <c r="Q1736" s="644"/>
      <c r="R1736" s="644"/>
      <c r="S1736" s="48"/>
      <c r="T1736" s="1119"/>
      <c r="U1736" s="48"/>
      <c r="V1736" s="49"/>
    </row>
    <row r="1737" spans="7:22">
      <c r="G1737" s="48"/>
      <c r="H1737" s="48"/>
      <c r="I1737" s="48"/>
      <c r="J1737" s="49"/>
      <c r="K1737" s="1498"/>
      <c r="L1737" s="49"/>
      <c r="M1737" s="1498"/>
      <c r="N1737" s="49"/>
      <c r="O1737" s="644"/>
      <c r="P1737" s="644"/>
      <c r="Q1737" s="644"/>
      <c r="R1737" s="644"/>
      <c r="S1737" s="48"/>
      <c r="T1737" s="1119"/>
      <c r="U1737" s="48"/>
      <c r="V1737" s="48"/>
    </row>
    <row r="1738" spans="7:22">
      <c r="G1738" s="48"/>
      <c r="H1738" s="48"/>
      <c r="I1738" s="48"/>
      <c r="J1738" s="49"/>
      <c r="K1738" s="49"/>
      <c r="L1738" s="49"/>
      <c r="M1738" s="1498"/>
      <c r="N1738" s="49"/>
      <c r="O1738" s="644"/>
      <c r="P1738" s="644"/>
      <c r="Q1738" s="644"/>
      <c r="R1738" s="644"/>
      <c r="S1738" s="48"/>
      <c r="T1738" s="1119"/>
      <c r="U1738" s="48"/>
      <c r="V1738" s="48"/>
    </row>
    <row r="1739" spans="7:22">
      <c r="G1739" s="48"/>
      <c r="H1739" s="48"/>
      <c r="I1739" s="48"/>
      <c r="J1739" s="954">
        <f>SUM(J1727:J1735)</f>
        <v>20930000</v>
      </c>
      <c r="K1739" s="954"/>
      <c r="L1739" s="954">
        <f>SUM(L1727:L1738)</f>
        <v>23240000</v>
      </c>
      <c r="M1739" s="1498"/>
      <c r="N1739" s="954">
        <f>SUM(N1727:N1738)</f>
        <v>201782000</v>
      </c>
      <c r="O1739" s="644"/>
      <c r="P1739" s="969">
        <f>SUM(P1727:P1733)</f>
        <v>20127000</v>
      </c>
      <c r="Q1739" s="969"/>
      <c r="R1739" s="969">
        <f>SUM(R1727:R1733)</f>
        <v>592000</v>
      </c>
      <c r="S1739" s="48"/>
      <c r="T1739" s="1119">
        <f>SUM(T1727:T1738)</f>
        <v>3000</v>
      </c>
      <c r="U1739" s="48"/>
      <c r="V1739" s="878">
        <f>SUM(V1727:V1738)</f>
        <v>0</v>
      </c>
    </row>
    <row r="1740" spans="7:22">
      <c r="T1740" s="1118"/>
    </row>
    <row r="1741" spans="7:22">
      <c r="T1741" s="1118"/>
    </row>
    <row r="1742" spans="7:22">
      <c r="R1742" s="661"/>
      <c r="T1742" s="1118"/>
    </row>
    <row r="1743" spans="7:22">
      <c r="T1743" s="1118"/>
    </row>
    <row r="1744" spans="7:22">
      <c r="T1744" s="1118"/>
    </row>
    <row r="1745" spans="7:22">
      <c r="I1745" s="946"/>
      <c r="M1745" s="1533" t="s">
        <v>3699</v>
      </c>
      <c r="N1745" s="3">
        <v>0</v>
      </c>
      <c r="O1745" s="1535" t="s">
        <v>3741</v>
      </c>
      <c r="P1745" s="939"/>
      <c r="S1745" s="906" t="s">
        <v>4049</v>
      </c>
      <c r="T1745" s="1107">
        <f>T1739-V1739</f>
        <v>3000</v>
      </c>
    </row>
    <row r="1746" spans="7:22">
      <c r="G1746" s="1574" t="s">
        <v>3530</v>
      </c>
      <c r="H1746" s="1574"/>
      <c r="I1746" s="1574"/>
      <c r="J1746" s="3">
        <f>J1739+L1739</f>
        <v>44170000</v>
      </c>
      <c r="K1746" s="1009"/>
      <c r="L1746" s="3"/>
      <c r="M1746" s="1533" t="s">
        <v>3664</v>
      </c>
      <c r="N1746" s="1527">
        <f>N1745*0.99</f>
        <v>0</v>
      </c>
      <c r="O1746" s="1535" t="s">
        <v>4066</v>
      </c>
      <c r="P1746" s="1512">
        <v>19453000</v>
      </c>
      <c r="T1746" s="1118"/>
    </row>
    <row r="1747" spans="7:22">
      <c r="G1747" s="1574" t="s">
        <v>3512</v>
      </c>
      <c r="H1747" s="1574"/>
      <c r="I1747" s="1574"/>
      <c r="J1747" s="3">
        <f>N1739-J1746</f>
        <v>157612000</v>
      </c>
      <c r="K1747" s="1009"/>
      <c r="L1747" s="3"/>
      <c r="M1747" s="1528"/>
      <c r="O1747" s="1529"/>
      <c r="Q1747" s="661"/>
      <c r="T1747" s="1118"/>
    </row>
    <row r="1748" spans="7:22">
      <c r="G1748" s="1574" t="s">
        <v>3531</v>
      </c>
      <c r="H1748" s="1574"/>
      <c r="I1748" s="1574"/>
      <c r="J1748" s="3">
        <f>T1745</f>
        <v>3000</v>
      </c>
      <c r="Q1748" s="3"/>
      <c r="T1748" s="1118"/>
    </row>
    <row r="1760" spans="7:22">
      <c r="G1760" s="1008">
        <v>45977</v>
      </c>
      <c r="H1760" s="1169"/>
      <c r="I1760" s="1575" t="s">
        <v>3510</v>
      </c>
      <c r="J1760" s="1576"/>
      <c r="K1760" s="1575" t="s">
        <v>3509</v>
      </c>
      <c r="L1760" s="1576"/>
      <c r="M1760" s="1575" t="s">
        <v>3541</v>
      </c>
      <c r="N1760" s="1576"/>
      <c r="O1760" s="1577" t="s">
        <v>3598</v>
      </c>
      <c r="P1760" s="1578"/>
      <c r="Q1760" s="1579" t="s">
        <v>3599</v>
      </c>
      <c r="R1760" s="1580"/>
      <c r="S1760" s="1583" t="s">
        <v>3953</v>
      </c>
      <c r="T1760" s="1583"/>
      <c r="U1760" s="1583" t="s">
        <v>3954</v>
      </c>
      <c r="V1760" s="1583"/>
    </row>
    <row r="1761" spans="7:22">
      <c r="G1761" s="1097"/>
      <c r="H1761" s="1097"/>
      <c r="I1761" s="1135"/>
      <c r="J1761" s="990"/>
      <c r="K1761" s="1532" t="s">
        <v>3777</v>
      </c>
      <c r="L1761" s="49">
        <v>10000000</v>
      </c>
      <c r="M1761" s="1495" t="s">
        <v>3955</v>
      </c>
      <c r="N1761" s="49">
        <v>157612000</v>
      </c>
      <c r="O1761" s="1383"/>
      <c r="P1761" s="644">
        <v>3900000</v>
      </c>
      <c r="Q1761" s="1131"/>
      <c r="R1761" s="644"/>
      <c r="S1761" s="48"/>
      <c r="T1761" s="1124"/>
      <c r="U1761" s="1112"/>
      <c r="V1761" s="49"/>
    </row>
    <row r="1762" spans="7:22">
      <c r="G1762" s="1098"/>
      <c r="H1762" s="1098"/>
      <c r="I1762" s="1115"/>
      <c r="J1762" s="990"/>
      <c r="K1762" s="1495" t="s">
        <v>3363</v>
      </c>
      <c r="L1762" s="49">
        <v>200000</v>
      </c>
      <c r="M1762" s="1495" t="s">
        <v>4095</v>
      </c>
      <c r="N1762" s="49">
        <v>3000000</v>
      </c>
      <c r="O1762" s="1383"/>
      <c r="P1762" s="644"/>
      <c r="Q1762" s="1131"/>
      <c r="R1762" s="644"/>
      <c r="S1762" s="48"/>
      <c r="T1762" s="1124"/>
      <c r="U1762" s="48"/>
      <c r="V1762" s="49"/>
    </row>
    <row r="1763" spans="7:22">
      <c r="G1763" s="48"/>
      <c r="H1763" s="48"/>
      <c r="I1763" s="1116"/>
      <c r="J1763" s="990"/>
      <c r="K1763" s="1495"/>
      <c r="L1763" s="49"/>
      <c r="M1763" s="1498"/>
      <c r="N1763" s="49"/>
      <c r="O1763" s="1180"/>
      <c r="P1763" s="644"/>
      <c r="Q1763" s="1131"/>
      <c r="R1763" s="644"/>
      <c r="S1763" s="1055"/>
      <c r="T1763" s="1124"/>
      <c r="U1763" s="1078"/>
      <c r="V1763" s="49"/>
    </row>
    <row r="1764" spans="7:22">
      <c r="G1764" s="48"/>
      <c r="H1764" s="48"/>
      <c r="I1764" s="1098"/>
      <c r="K1764" s="1495"/>
      <c r="L1764" s="49"/>
      <c r="M1764" s="1493"/>
      <c r="N1764" s="49"/>
      <c r="O1764" s="644"/>
      <c r="P1764" s="644"/>
      <c r="Q1764" s="1103"/>
      <c r="R1764" s="644"/>
      <c r="S1764" s="48"/>
      <c r="T1764" s="1124"/>
      <c r="U1764" s="48"/>
      <c r="V1764" s="49"/>
    </row>
    <row r="1765" spans="7:22">
      <c r="G1765" s="48"/>
      <c r="H1765" s="48"/>
      <c r="I1765" s="1074"/>
      <c r="J1765" s="990"/>
      <c r="K1765" s="1495"/>
      <c r="L1765" s="49"/>
      <c r="M1765" s="1498"/>
      <c r="N1765" s="49"/>
      <c r="O1765" s="644"/>
      <c r="P1765" s="644"/>
      <c r="Q1765" s="1103"/>
      <c r="R1765" s="644"/>
      <c r="S1765" s="48"/>
      <c r="T1765" s="1124"/>
      <c r="U1765" s="48"/>
      <c r="V1765" s="49"/>
    </row>
    <row r="1766" spans="7:22">
      <c r="G1766" s="48"/>
      <c r="H1766" s="48"/>
      <c r="I1766" s="1074"/>
      <c r="J1766" s="49"/>
      <c r="K1766" s="1532"/>
      <c r="L1766" s="49"/>
      <c r="M1766" s="1495"/>
      <c r="N1766" s="49"/>
      <c r="O1766" s="644"/>
      <c r="P1766" s="644"/>
      <c r="Q1766" s="1093"/>
      <c r="R1766" s="644"/>
      <c r="S1766" s="48"/>
      <c r="T1766" s="1124"/>
      <c r="U1766" s="48"/>
      <c r="V1766" s="49"/>
    </row>
    <row r="1767" spans="7:22">
      <c r="G1767" s="48"/>
      <c r="H1767" s="48"/>
      <c r="I1767" s="1074"/>
      <c r="J1767" s="49"/>
      <c r="K1767" s="1495"/>
      <c r="L1767" s="49"/>
      <c r="M1767" s="1498"/>
      <c r="N1767" s="49"/>
      <c r="O1767" s="644"/>
      <c r="P1767" s="644"/>
      <c r="Q1767" s="1076"/>
      <c r="R1767" s="644"/>
      <c r="S1767" s="48"/>
      <c r="T1767" s="1124"/>
      <c r="U1767" s="48"/>
      <c r="V1767" s="49"/>
    </row>
    <row r="1768" spans="7:22">
      <c r="G1768" s="48"/>
      <c r="H1768" s="48"/>
      <c r="I1768" s="1074"/>
      <c r="J1768" s="49"/>
      <c r="K1768" s="1532"/>
      <c r="L1768" s="49"/>
      <c r="M1768" s="1498"/>
      <c r="N1768" s="49"/>
      <c r="O1768" s="644"/>
      <c r="P1768" s="644"/>
      <c r="Q1768" s="644"/>
      <c r="R1768" s="644"/>
      <c r="S1768" s="48"/>
      <c r="T1768" s="1124"/>
      <c r="U1768" s="48"/>
      <c r="V1768" s="49"/>
    </row>
    <row r="1769" spans="7:22">
      <c r="G1769" s="48"/>
      <c r="H1769" s="48"/>
      <c r="I1769" s="48"/>
      <c r="J1769" s="49"/>
      <c r="K1769" s="1495"/>
      <c r="L1769" s="49"/>
      <c r="M1769" s="1498"/>
      <c r="N1769" s="49"/>
      <c r="O1769" s="644"/>
      <c r="P1769" s="644"/>
      <c r="Q1769" s="644"/>
      <c r="R1769" s="644"/>
      <c r="S1769" s="48"/>
      <c r="T1769" s="1124"/>
      <c r="U1769" s="48"/>
      <c r="V1769" s="49"/>
    </row>
    <row r="1770" spans="7:22">
      <c r="G1770" s="48"/>
      <c r="H1770" s="48"/>
      <c r="I1770" s="48"/>
      <c r="J1770" s="49"/>
      <c r="K1770" s="1498"/>
      <c r="L1770" s="49"/>
      <c r="M1770" s="1498"/>
      <c r="N1770" s="49"/>
      <c r="O1770" s="644"/>
      <c r="P1770" s="644"/>
      <c r="Q1770" s="644"/>
      <c r="R1770" s="644"/>
      <c r="S1770" s="48"/>
      <c r="T1770" s="1124"/>
      <c r="U1770" s="48"/>
      <c r="V1770" s="49"/>
    </row>
    <row r="1771" spans="7:22">
      <c r="G1771" s="48"/>
      <c r="H1771" s="48"/>
      <c r="I1771" s="48"/>
      <c r="J1771" s="49"/>
      <c r="K1771" s="1498"/>
      <c r="L1771" s="49"/>
      <c r="M1771" s="1498"/>
      <c r="N1771" s="49"/>
      <c r="O1771" s="644"/>
      <c r="P1771" s="644"/>
      <c r="Q1771" s="644"/>
      <c r="R1771" s="644"/>
      <c r="S1771" s="48"/>
      <c r="T1771" s="1124"/>
      <c r="U1771" s="48"/>
      <c r="V1771" s="48"/>
    </row>
    <row r="1772" spans="7:22">
      <c r="G1772" s="48"/>
      <c r="H1772" s="48"/>
      <c r="I1772" s="48"/>
      <c r="J1772" s="49"/>
      <c r="K1772" s="49"/>
      <c r="L1772" s="49"/>
      <c r="M1772" s="1498"/>
      <c r="N1772" s="49"/>
      <c r="O1772" s="644"/>
      <c r="P1772" s="644"/>
      <c r="Q1772" s="644"/>
      <c r="R1772" s="644"/>
      <c r="S1772" s="48"/>
      <c r="T1772" s="1124"/>
      <c r="U1772" s="48"/>
      <c r="V1772" s="48"/>
    </row>
    <row r="1773" spans="7:22">
      <c r="G1773" s="48"/>
      <c r="H1773" s="48"/>
      <c r="I1773" s="48"/>
      <c r="J1773" s="954">
        <f>SUM(J1761:J1769)</f>
        <v>0</v>
      </c>
      <c r="K1773" s="954"/>
      <c r="L1773" s="954">
        <f>SUM(L1761:L1772)</f>
        <v>10200000</v>
      </c>
      <c r="M1773" s="1498"/>
      <c r="N1773" s="954">
        <f>SUM(N1761:N1772)</f>
        <v>160612000</v>
      </c>
      <c r="O1773" s="644"/>
      <c r="P1773" s="969">
        <f>SUM(P1761:P1767)</f>
        <v>3900000</v>
      </c>
      <c r="Q1773" s="969"/>
      <c r="R1773" s="969">
        <f>SUM(R1761:R1767)</f>
        <v>0</v>
      </c>
      <c r="S1773" s="48"/>
      <c r="T1773" s="1124">
        <f>SUM(T1761:T1772)</f>
        <v>0</v>
      </c>
      <c r="U1773" s="48"/>
      <c r="V1773" s="878">
        <f>SUM(V1761:V1772)</f>
        <v>0</v>
      </c>
    </row>
    <row r="1774" spans="7:22">
      <c r="T1774" s="1123"/>
    </row>
    <row r="1775" spans="7:22">
      <c r="T1775" s="1123"/>
    </row>
    <row r="1776" spans="7:22">
      <c r="R1776" s="661"/>
      <c r="T1776" s="1123"/>
    </row>
    <row r="1777" spans="7:20">
      <c r="T1777" s="1123"/>
    </row>
    <row r="1778" spans="7:20">
      <c r="T1778" s="1123"/>
    </row>
    <row r="1779" spans="7:20">
      <c r="I1779" s="946"/>
      <c r="M1779" s="1533" t="s">
        <v>3699</v>
      </c>
      <c r="N1779" s="3">
        <v>0</v>
      </c>
      <c r="O1779" s="1535" t="s">
        <v>3741</v>
      </c>
      <c r="P1779" s="939"/>
      <c r="S1779" s="906" t="s">
        <v>4049</v>
      </c>
      <c r="T1779" s="1107">
        <f>T1773-V1773</f>
        <v>0</v>
      </c>
    </row>
    <row r="1780" spans="7:20">
      <c r="G1780" s="1574" t="s">
        <v>3530</v>
      </c>
      <c r="H1780" s="1574"/>
      <c r="I1780" s="1574"/>
      <c r="J1780" s="3">
        <f>J1773+L1773</f>
        <v>10200000</v>
      </c>
      <c r="K1780" s="1009"/>
      <c r="L1780" s="3"/>
      <c r="M1780" s="1533" t="s">
        <v>3664</v>
      </c>
      <c r="N1780" s="1527">
        <f>N1779*0.99</f>
        <v>0</v>
      </c>
      <c r="O1780" s="1535" t="s">
        <v>4066</v>
      </c>
      <c r="P1780" s="1512">
        <v>19453000</v>
      </c>
      <c r="T1780" s="1123"/>
    </row>
    <row r="1781" spans="7:20">
      <c r="G1781" s="1574" t="s">
        <v>3512</v>
      </c>
      <c r="H1781" s="1574"/>
      <c r="I1781" s="1574"/>
      <c r="J1781" s="3">
        <f>N1773-J1780</f>
        <v>150412000</v>
      </c>
      <c r="K1781" s="1009"/>
      <c r="L1781" s="3"/>
      <c r="M1781" s="1528"/>
      <c r="O1781" s="1529"/>
      <c r="Q1781" s="661"/>
      <c r="T1781" s="1123"/>
    </row>
    <row r="1782" spans="7:20">
      <c r="G1782" s="1574" t="s">
        <v>3531</v>
      </c>
      <c r="H1782" s="1574"/>
      <c r="I1782" s="1574"/>
      <c r="J1782" s="3">
        <f>T1779</f>
        <v>0</v>
      </c>
      <c r="Q1782" s="3"/>
      <c r="T1782" s="1123"/>
    </row>
    <row r="1802" spans="7:22">
      <c r="G1802" s="1008">
        <v>45978</v>
      </c>
      <c r="H1802" s="1169"/>
      <c r="I1802" s="1575" t="s">
        <v>3510</v>
      </c>
      <c r="J1802" s="1576"/>
      <c r="K1802" s="1575" t="s">
        <v>3509</v>
      </c>
      <c r="L1802" s="1576"/>
      <c r="M1802" s="1575" t="s">
        <v>3541</v>
      </c>
      <c r="N1802" s="1576"/>
      <c r="O1802" s="1577" t="s">
        <v>3598</v>
      </c>
      <c r="P1802" s="1578"/>
      <c r="Q1802" s="1579" t="s">
        <v>3599</v>
      </c>
      <c r="R1802" s="1580"/>
      <c r="S1802" s="1583" t="s">
        <v>3953</v>
      </c>
      <c r="T1802" s="1583"/>
      <c r="U1802" s="1583" t="s">
        <v>3954</v>
      </c>
      <c r="V1802" s="1583"/>
    </row>
    <row r="1803" spans="7:22">
      <c r="G1803" s="1097"/>
      <c r="H1803" s="1097"/>
      <c r="I1803" s="1135" t="s">
        <v>4094</v>
      </c>
      <c r="J1803" s="990">
        <v>18400000</v>
      </c>
      <c r="K1803" s="1532" t="s">
        <v>3532</v>
      </c>
      <c r="L1803" s="49">
        <f>641000</f>
        <v>641000</v>
      </c>
      <c r="M1803" s="1495" t="s">
        <v>3567</v>
      </c>
      <c r="N1803" s="49">
        <v>619741000</v>
      </c>
      <c r="O1803" s="1383" t="s">
        <v>4104</v>
      </c>
      <c r="P1803" s="644">
        <v>23253000</v>
      </c>
      <c r="Q1803" s="1138" t="s">
        <v>3972</v>
      </c>
      <c r="R1803" s="644">
        <f>16500+41200</f>
        <v>57700</v>
      </c>
      <c r="S1803" s="48" t="s">
        <v>3512</v>
      </c>
      <c r="T1803" s="1134">
        <v>4000</v>
      </c>
      <c r="U1803" s="1112"/>
      <c r="V1803" s="49"/>
    </row>
    <row r="1804" spans="7:22">
      <c r="G1804" s="1098"/>
      <c r="H1804" s="1098"/>
      <c r="I1804" s="1139" t="s">
        <v>4100</v>
      </c>
      <c r="J1804" s="49">
        <v>125000000</v>
      </c>
      <c r="K1804" s="1495" t="s">
        <v>4096</v>
      </c>
      <c r="L1804" s="49">
        <v>3000000</v>
      </c>
      <c r="M1804" s="1495" t="s">
        <v>4093</v>
      </c>
      <c r="N1804" s="49">
        <v>1000000</v>
      </c>
      <c r="O1804" s="1383" t="s">
        <v>4089</v>
      </c>
      <c r="P1804" s="644">
        <v>1000000</v>
      </c>
      <c r="Q1804" s="1138" t="s">
        <v>3972</v>
      </c>
      <c r="R1804" s="644">
        <f>16500+41200</f>
        <v>57700</v>
      </c>
      <c r="S1804" s="48" t="s">
        <v>4092</v>
      </c>
      <c r="T1804" s="1134">
        <v>100</v>
      </c>
      <c r="U1804" s="48"/>
      <c r="V1804" s="49"/>
    </row>
    <row r="1805" spans="7:22">
      <c r="G1805" s="48"/>
      <c r="H1805" s="48"/>
      <c r="I1805" s="1140" t="s">
        <v>4101</v>
      </c>
      <c r="J1805" s="990">
        <v>92000000</v>
      </c>
      <c r="K1805" s="1495" t="s">
        <v>3532</v>
      </c>
      <c r="L1805" s="49">
        <v>1200000</v>
      </c>
      <c r="M1805" s="1493" t="s">
        <v>3731</v>
      </c>
      <c r="N1805" s="49">
        <v>5800000</v>
      </c>
      <c r="O1805" s="1180"/>
      <c r="P1805" s="644"/>
      <c r="Q1805" s="1138" t="s">
        <v>3972</v>
      </c>
      <c r="R1805" s="644">
        <f>16500+41200</f>
        <v>57700</v>
      </c>
      <c r="S1805" s="1141" t="s">
        <v>4103</v>
      </c>
      <c r="T1805" s="1134">
        <v>200</v>
      </c>
      <c r="U1805" s="1078"/>
      <c r="V1805" s="49"/>
    </row>
    <row r="1806" spans="7:22">
      <c r="G1806" s="48"/>
      <c r="H1806" s="48"/>
      <c r="I1806" s="1098"/>
      <c r="K1806" s="1495" t="s">
        <v>4098</v>
      </c>
      <c r="L1806" s="49">
        <v>10000000</v>
      </c>
      <c r="M1806" s="1493"/>
      <c r="N1806" s="49"/>
      <c r="O1806" s="644"/>
      <c r="P1806" s="644"/>
      <c r="Q1806" s="1103"/>
      <c r="R1806" s="644"/>
      <c r="S1806" s="48" t="s">
        <v>3996</v>
      </c>
      <c r="T1806" s="1134">
        <v>100</v>
      </c>
      <c r="U1806" s="48"/>
      <c r="V1806" s="49"/>
    </row>
    <row r="1807" spans="7:22">
      <c r="G1807" s="48"/>
      <c r="H1807" s="48"/>
      <c r="I1807" s="1074"/>
      <c r="J1807" s="990"/>
      <c r="K1807" s="1495" t="s">
        <v>4019</v>
      </c>
      <c r="L1807" s="49">
        <v>2500000</v>
      </c>
      <c r="M1807" s="1498"/>
      <c r="N1807" s="49"/>
      <c r="O1807" s="644"/>
      <c r="P1807" s="644"/>
      <c r="Q1807" s="1103"/>
      <c r="R1807" s="644"/>
      <c r="S1807" s="48"/>
      <c r="T1807" s="1134"/>
      <c r="U1807" s="48"/>
      <c r="V1807" s="49"/>
    </row>
    <row r="1808" spans="7:22">
      <c r="G1808" s="48"/>
      <c r="H1808" s="48"/>
      <c r="I1808" s="1074"/>
      <c r="J1808" s="49"/>
      <c r="K1808" s="1532" t="s">
        <v>4099</v>
      </c>
      <c r="L1808" s="49">
        <v>24500000</v>
      </c>
      <c r="M1808" s="1495"/>
      <c r="N1808" s="49"/>
      <c r="O1808" s="644"/>
      <c r="P1808" s="644"/>
      <c r="Q1808" s="1093"/>
      <c r="R1808" s="644"/>
      <c r="S1808" s="48"/>
      <c r="T1808" s="1134"/>
      <c r="U1808" s="48"/>
      <c r="V1808" s="49"/>
    </row>
    <row r="1809" spans="7:22">
      <c r="G1809" s="48"/>
      <c r="H1809" s="48"/>
      <c r="I1809" s="1074"/>
      <c r="J1809" s="49"/>
      <c r="K1809" s="1495" t="s">
        <v>4102</v>
      </c>
      <c r="L1809" s="49"/>
      <c r="M1809" s="1498"/>
      <c r="N1809" s="49"/>
      <c r="O1809" s="644"/>
      <c r="P1809" s="644"/>
      <c r="Q1809" s="1076"/>
      <c r="R1809" s="644"/>
      <c r="S1809" s="48"/>
      <c r="T1809" s="1134"/>
      <c r="U1809" s="48"/>
      <c r="V1809" s="49"/>
    </row>
    <row r="1810" spans="7:22">
      <c r="G1810" s="48"/>
      <c r="H1810" s="48"/>
      <c r="I1810" s="1074"/>
      <c r="J1810" s="49"/>
      <c r="K1810" s="1532"/>
      <c r="L1810" s="49"/>
      <c r="M1810" s="1498"/>
      <c r="N1810" s="49"/>
      <c r="O1810" s="644"/>
      <c r="P1810" s="644"/>
      <c r="Q1810" s="644"/>
      <c r="R1810" s="644"/>
      <c r="S1810" s="48"/>
      <c r="T1810" s="1134"/>
      <c r="U1810" s="48"/>
      <c r="V1810" s="49"/>
    </row>
    <row r="1811" spans="7:22">
      <c r="G1811" s="48"/>
      <c r="H1811" s="48"/>
      <c r="I1811" s="48"/>
      <c r="J1811" s="49"/>
      <c r="K1811" s="1495"/>
      <c r="L1811" s="49"/>
      <c r="M1811" s="1498"/>
      <c r="N1811" s="49"/>
      <c r="O1811" s="644"/>
      <c r="P1811" s="644"/>
      <c r="Q1811" s="644"/>
      <c r="R1811" s="644"/>
      <c r="S1811" s="48"/>
      <c r="T1811" s="1134"/>
      <c r="U1811" s="48"/>
      <c r="V1811" s="49"/>
    </row>
    <row r="1812" spans="7:22">
      <c r="G1812" s="48"/>
      <c r="H1812" s="48"/>
      <c r="I1812" s="48"/>
      <c r="J1812" s="49"/>
      <c r="K1812" s="1498"/>
      <c r="L1812" s="49"/>
      <c r="M1812" s="1498"/>
      <c r="N1812" s="49"/>
      <c r="O1812" s="644"/>
      <c r="P1812" s="644"/>
      <c r="Q1812" s="644"/>
      <c r="R1812" s="644"/>
      <c r="S1812" s="48"/>
      <c r="T1812" s="1134"/>
      <c r="U1812" s="48"/>
      <c r="V1812" s="49"/>
    </row>
    <row r="1813" spans="7:22">
      <c r="G1813" s="48"/>
      <c r="H1813" s="48"/>
      <c r="I1813" s="48"/>
      <c r="J1813" s="49"/>
      <c r="K1813" s="1498"/>
      <c r="L1813" s="49"/>
      <c r="M1813" s="1498"/>
      <c r="N1813" s="49"/>
      <c r="O1813" s="644"/>
      <c r="P1813" s="644"/>
      <c r="Q1813" s="644"/>
      <c r="R1813" s="644"/>
      <c r="S1813" s="48"/>
      <c r="T1813" s="1134"/>
      <c r="U1813" s="48"/>
      <c r="V1813" s="48"/>
    </row>
    <row r="1814" spans="7:22">
      <c r="G1814" s="48"/>
      <c r="H1814" s="48"/>
      <c r="I1814" s="48"/>
      <c r="J1814" s="49"/>
      <c r="K1814" s="49"/>
      <c r="L1814" s="49"/>
      <c r="M1814" s="1498"/>
      <c r="N1814" s="49"/>
      <c r="O1814" s="644"/>
      <c r="P1814" s="644"/>
      <c r="Q1814" s="644"/>
      <c r="R1814" s="644"/>
      <c r="S1814" s="48"/>
      <c r="T1814" s="1134"/>
      <c r="U1814" s="48"/>
      <c r="V1814" s="48"/>
    </row>
    <row r="1815" spans="7:22">
      <c r="G1815" s="48"/>
      <c r="H1815" s="48"/>
      <c r="I1815" s="48"/>
      <c r="J1815" s="954">
        <f>SUM(J1803:J1811)</f>
        <v>235400000</v>
      </c>
      <c r="K1815" s="954"/>
      <c r="L1815" s="954">
        <f>SUM(L1803:L1814)</f>
        <v>41841000</v>
      </c>
      <c r="M1815" s="1498"/>
      <c r="N1815" s="954">
        <f>SUM(N1803:N1814)</f>
        <v>626541000</v>
      </c>
      <c r="O1815" s="644"/>
      <c r="P1815" s="969">
        <f>SUM(P1803:P1809)</f>
        <v>24253000</v>
      </c>
      <c r="Q1815" s="969"/>
      <c r="R1815" s="969">
        <f>SUM(R1803:R1809)</f>
        <v>173100</v>
      </c>
      <c r="S1815" s="48"/>
      <c r="T1815" s="1134">
        <f>SUM(T1803:T1814)</f>
        <v>4400</v>
      </c>
      <c r="U1815" s="48"/>
      <c r="V1815" s="878">
        <f>SUM(V1803:V1814)</f>
        <v>0</v>
      </c>
    </row>
    <row r="1816" spans="7:22">
      <c r="T1816" s="1133"/>
    </row>
    <row r="1817" spans="7:22">
      <c r="T1817" s="1133"/>
    </row>
    <row r="1818" spans="7:22">
      <c r="R1818" s="661"/>
      <c r="T1818" s="1133"/>
    </row>
    <row r="1819" spans="7:22">
      <c r="T1819" s="1133"/>
    </row>
    <row r="1820" spans="7:22">
      <c r="T1820" s="1133"/>
    </row>
    <row r="1821" spans="7:22">
      <c r="I1821" s="946"/>
      <c r="M1821" s="1533" t="s">
        <v>3699</v>
      </c>
      <c r="N1821" s="3">
        <v>0</v>
      </c>
      <c r="O1821" s="1535" t="s">
        <v>3741</v>
      </c>
      <c r="P1821" s="939">
        <f>P1815-R1815</f>
        <v>24079900</v>
      </c>
      <c r="S1821" s="906" t="s">
        <v>4049</v>
      </c>
      <c r="T1821" s="1107">
        <f>T1815-V1815</f>
        <v>4400</v>
      </c>
    </row>
    <row r="1822" spans="7:22">
      <c r="G1822" s="1574" t="s">
        <v>3530</v>
      </c>
      <c r="H1822" s="1574"/>
      <c r="I1822" s="1574"/>
      <c r="J1822" s="3">
        <f>J1815+L1815</f>
        <v>277241000</v>
      </c>
      <c r="K1822" s="1009"/>
      <c r="L1822" s="3"/>
      <c r="M1822" s="1533" t="s">
        <v>3664</v>
      </c>
      <c r="N1822" s="1527">
        <f>N1821*0.99</f>
        <v>0</v>
      </c>
      <c r="O1822" s="1535" t="s">
        <v>4066</v>
      </c>
      <c r="P1822" s="1512">
        <v>24079900</v>
      </c>
      <c r="T1822" s="1133"/>
    </row>
    <row r="1823" spans="7:22">
      <c r="G1823" s="1574" t="s">
        <v>3512</v>
      </c>
      <c r="H1823" s="1574"/>
      <c r="I1823" s="1574"/>
      <c r="J1823" s="3">
        <f>N1815-J1822</f>
        <v>349300000</v>
      </c>
      <c r="K1823" s="1009"/>
      <c r="L1823" s="3"/>
      <c r="M1823" s="1528"/>
      <c r="O1823" s="1529"/>
      <c r="Q1823" s="661"/>
      <c r="T1823" s="1133"/>
    </row>
    <row r="1824" spans="7:22">
      <c r="G1824" s="1574" t="s">
        <v>3531</v>
      </c>
      <c r="H1824" s="1574"/>
      <c r="I1824" s="1574"/>
      <c r="J1824" s="3">
        <f>T1821</f>
        <v>4400</v>
      </c>
      <c r="Q1824" s="3"/>
      <c r="T1824" s="1133"/>
    </row>
    <row r="1825" spans="7:22">
      <c r="G1825" s="5"/>
      <c r="H1825" s="5"/>
      <c r="I1825" s="1132" t="s">
        <v>4067</v>
      </c>
      <c r="J1825" s="3">
        <v>1300000</v>
      </c>
    </row>
    <row r="1831" spans="7:22">
      <c r="G1831" s="1008">
        <v>45979</v>
      </c>
      <c r="H1831" s="1169"/>
      <c r="I1831" s="1575" t="s">
        <v>3510</v>
      </c>
      <c r="J1831" s="1576"/>
      <c r="K1831" s="1575" t="s">
        <v>3509</v>
      </c>
      <c r="L1831" s="1576"/>
      <c r="M1831" s="1575" t="s">
        <v>3541</v>
      </c>
      <c r="N1831" s="1576"/>
      <c r="O1831" s="1577" t="s">
        <v>3598</v>
      </c>
      <c r="P1831" s="1578"/>
      <c r="Q1831" s="1579" t="s">
        <v>3599</v>
      </c>
      <c r="R1831" s="1580"/>
      <c r="S1831" s="1583" t="s">
        <v>3953</v>
      </c>
      <c r="T1831" s="1583"/>
      <c r="U1831" s="1583" t="s">
        <v>3954</v>
      </c>
      <c r="V1831" s="1583"/>
    </row>
    <row r="1832" spans="7:22">
      <c r="G1832" s="1097"/>
      <c r="H1832" s="1097"/>
      <c r="I1832" s="1155" t="s">
        <v>4112</v>
      </c>
      <c r="J1832" s="990">
        <v>5225000</v>
      </c>
      <c r="K1832" s="1532" t="s">
        <v>4105</v>
      </c>
      <c r="L1832" s="49">
        <v>5000000</v>
      </c>
      <c r="M1832" s="1495" t="s">
        <v>3512</v>
      </c>
      <c r="N1832" s="49">
        <v>145500000</v>
      </c>
      <c r="O1832" s="1383" t="s">
        <v>4108</v>
      </c>
      <c r="P1832" s="644">
        <v>550000</v>
      </c>
      <c r="Q1832" s="1154" t="s">
        <v>4107</v>
      </c>
      <c r="R1832" s="644">
        <v>900000</v>
      </c>
      <c r="S1832" s="48" t="s">
        <v>4109</v>
      </c>
      <c r="T1832" s="1144">
        <v>1000</v>
      </c>
      <c r="U1832" s="1112"/>
      <c r="V1832" s="49"/>
    </row>
    <row r="1833" spans="7:22">
      <c r="G1833" s="1098"/>
      <c r="H1833" s="1098"/>
      <c r="I1833" s="1139"/>
      <c r="J1833" s="49"/>
      <c r="K1833" s="1495" t="s">
        <v>4106</v>
      </c>
      <c r="L1833" s="49">
        <v>100000</v>
      </c>
      <c r="M1833" s="1495"/>
      <c r="N1833" s="49"/>
      <c r="O1833" s="1180" t="s">
        <v>4113</v>
      </c>
      <c r="P1833" s="644">
        <v>3000000</v>
      </c>
      <c r="Q1833" s="1138"/>
      <c r="R1833" s="644">
        <v>33000</v>
      </c>
      <c r="S1833" s="48"/>
      <c r="T1833" s="1144"/>
      <c r="U1833" s="48"/>
      <c r="V1833" s="49"/>
    </row>
    <row r="1834" spans="7:22">
      <c r="G1834" s="48"/>
      <c r="H1834" s="48"/>
      <c r="I1834" s="1140"/>
      <c r="J1834" s="990"/>
      <c r="K1834" s="1495"/>
      <c r="L1834" s="49"/>
      <c r="M1834" s="1493"/>
      <c r="N1834" s="49"/>
      <c r="O1834" s="1180"/>
      <c r="P1834" s="644"/>
      <c r="Q1834" s="1138"/>
      <c r="R1834" s="644"/>
      <c r="S1834" s="1141"/>
      <c r="T1834" s="1144"/>
      <c r="U1834" s="1078"/>
      <c r="V1834" s="49"/>
    </row>
    <row r="1835" spans="7:22">
      <c r="G1835" s="48"/>
      <c r="H1835" s="48"/>
      <c r="I1835" s="1098"/>
      <c r="K1835" s="1495"/>
      <c r="L1835" s="49"/>
      <c r="M1835" s="1493"/>
      <c r="N1835" s="49"/>
      <c r="O1835" s="644"/>
      <c r="P1835" s="644"/>
      <c r="Q1835" s="1103"/>
      <c r="R1835" s="644"/>
      <c r="S1835" s="48"/>
      <c r="T1835" s="1144"/>
      <c r="U1835" s="48"/>
      <c r="V1835" s="49"/>
    </row>
    <row r="1836" spans="7:22">
      <c r="G1836" s="48"/>
      <c r="H1836" s="48"/>
      <c r="I1836" s="1074"/>
      <c r="J1836" s="990"/>
      <c r="K1836" s="1495"/>
      <c r="L1836" s="49"/>
      <c r="M1836" s="1498"/>
      <c r="N1836" s="49"/>
      <c r="O1836" s="644"/>
      <c r="P1836" s="644"/>
      <c r="Q1836" s="1103"/>
      <c r="R1836" s="644"/>
      <c r="S1836" s="48"/>
      <c r="T1836" s="1144"/>
      <c r="U1836" s="48"/>
      <c r="V1836" s="49"/>
    </row>
    <row r="1837" spans="7:22">
      <c r="G1837" s="48"/>
      <c r="H1837" s="48"/>
      <c r="I1837" s="1074"/>
      <c r="J1837" s="49"/>
      <c r="K1837" s="1532"/>
      <c r="L1837" s="49"/>
      <c r="M1837" s="1495"/>
      <c r="N1837" s="49"/>
      <c r="O1837" s="644"/>
      <c r="P1837" s="644"/>
      <c r="Q1837" s="1093"/>
      <c r="R1837" s="644"/>
      <c r="S1837" s="48"/>
      <c r="T1837" s="1144"/>
      <c r="U1837" s="48"/>
      <c r="V1837" s="49"/>
    </row>
    <row r="1838" spans="7:22">
      <c r="G1838" s="48"/>
      <c r="H1838" s="48"/>
      <c r="I1838" s="1074"/>
      <c r="J1838" s="49"/>
      <c r="K1838" s="1495"/>
      <c r="L1838" s="49"/>
      <c r="M1838" s="1498"/>
      <c r="N1838" s="49"/>
      <c r="O1838" s="644"/>
      <c r="P1838" s="644"/>
      <c r="Q1838" s="1076"/>
      <c r="R1838" s="644"/>
      <c r="S1838" s="48"/>
      <c r="T1838" s="1144"/>
      <c r="U1838" s="48"/>
      <c r="V1838" s="49"/>
    </row>
    <row r="1839" spans="7:22">
      <c r="G1839" s="48"/>
      <c r="H1839" s="48"/>
      <c r="I1839" s="1074"/>
      <c r="J1839" s="49"/>
      <c r="K1839" s="1532"/>
      <c r="L1839" s="49"/>
      <c r="M1839" s="1498"/>
      <c r="N1839" s="49"/>
      <c r="O1839" s="644"/>
      <c r="P1839" s="644"/>
      <c r="Q1839" s="644"/>
      <c r="R1839" s="644"/>
      <c r="S1839" s="48"/>
      <c r="T1839" s="1144"/>
      <c r="U1839" s="48"/>
      <c r="V1839" s="49"/>
    </row>
    <row r="1840" spans="7:22">
      <c r="G1840" s="48"/>
      <c r="H1840" s="48"/>
      <c r="I1840" s="48"/>
      <c r="J1840" s="49"/>
      <c r="K1840" s="1495"/>
      <c r="L1840" s="49"/>
      <c r="M1840" s="1498"/>
      <c r="N1840" s="49"/>
      <c r="O1840" s="644"/>
      <c r="P1840" s="644"/>
      <c r="Q1840" s="644"/>
      <c r="R1840" s="644"/>
      <c r="S1840" s="48"/>
      <c r="T1840" s="1144"/>
      <c r="U1840" s="48"/>
      <c r="V1840" s="49"/>
    </row>
    <row r="1841" spans="7:22">
      <c r="G1841" s="48"/>
      <c r="H1841" s="48"/>
      <c r="I1841" s="48"/>
      <c r="J1841" s="49"/>
      <c r="K1841" s="1498"/>
      <c r="L1841" s="49"/>
      <c r="M1841" s="1498"/>
      <c r="N1841" s="49"/>
      <c r="O1841" s="644"/>
      <c r="P1841" s="644"/>
      <c r="Q1841" s="644"/>
      <c r="R1841" s="644"/>
      <c r="S1841" s="48"/>
      <c r="T1841" s="1144"/>
      <c r="U1841" s="48"/>
      <c r="V1841" s="49"/>
    </row>
    <row r="1842" spans="7:22">
      <c r="G1842" s="48"/>
      <c r="H1842" s="48"/>
      <c r="I1842" s="48"/>
      <c r="J1842" s="49"/>
      <c r="K1842" s="1498"/>
      <c r="L1842" s="49"/>
      <c r="M1842" s="1498"/>
      <c r="N1842" s="49"/>
      <c r="O1842" s="644"/>
      <c r="P1842" s="644"/>
      <c r="Q1842" s="644"/>
      <c r="R1842" s="644"/>
      <c r="S1842" s="48"/>
      <c r="T1842" s="1144"/>
      <c r="U1842" s="48"/>
      <c r="V1842" s="48"/>
    </row>
    <row r="1843" spans="7:22">
      <c r="G1843" s="48"/>
      <c r="H1843" s="48"/>
      <c r="I1843" s="48"/>
      <c r="J1843" s="49"/>
      <c r="K1843" s="49"/>
      <c r="L1843" s="49"/>
      <c r="M1843" s="1498"/>
      <c r="N1843" s="49"/>
      <c r="O1843" s="644"/>
      <c r="P1843" s="644"/>
      <c r="Q1843" s="644"/>
      <c r="R1843" s="644"/>
      <c r="S1843" s="48"/>
      <c r="T1843" s="1144"/>
      <c r="U1843" s="48"/>
      <c r="V1843" s="48"/>
    </row>
    <row r="1844" spans="7:22">
      <c r="G1844" s="48"/>
      <c r="H1844" s="48"/>
      <c r="I1844" s="48"/>
      <c r="J1844" s="954">
        <f>SUM(J1832:J1840)</f>
        <v>5225000</v>
      </c>
      <c r="K1844" s="954"/>
      <c r="L1844" s="954">
        <f>SUM(L1832:L1843)</f>
        <v>5100000</v>
      </c>
      <c r="M1844" s="1498"/>
      <c r="N1844" s="954">
        <f>SUM(N1832:N1843)</f>
        <v>145500000</v>
      </c>
      <c r="O1844" s="644"/>
      <c r="P1844" s="969">
        <f>SUM(P1832:P1838)</f>
        <v>3550000</v>
      </c>
      <c r="Q1844" s="969"/>
      <c r="R1844" s="969">
        <f>SUM(R1832:R1838)</f>
        <v>933000</v>
      </c>
      <c r="S1844" s="48"/>
      <c r="T1844" s="1144">
        <f>SUM(T1832:T1843)</f>
        <v>1000</v>
      </c>
      <c r="U1844" s="48"/>
      <c r="V1844" s="878">
        <f>SUM(V1832:V1843)</f>
        <v>0</v>
      </c>
    </row>
    <row r="1845" spans="7:22">
      <c r="T1845" s="1143"/>
    </row>
    <row r="1846" spans="7:22">
      <c r="T1846" s="1143"/>
    </row>
    <row r="1847" spans="7:22">
      <c r="R1847" s="661"/>
      <c r="T1847" s="1143"/>
    </row>
    <row r="1848" spans="7:22">
      <c r="T1848" s="1143"/>
    </row>
    <row r="1849" spans="7:22">
      <c r="T1849" s="1143"/>
    </row>
    <row r="1850" spans="7:22">
      <c r="I1850" s="946"/>
      <c r="M1850" s="1533" t="s">
        <v>3699</v>
      </c>
      <c r="N1850" s="3">
        <v>0</v>
      </c>
      <c r="O1850" s="1535" t="s">
        <v>3741</v>
      </c>
      <c r="P1850" s="1512"/>
      <c r="S1850" s="906" t="s">
        <v>4049</v>
      </c>
      <c r="T1850" s="1107">
        <f>T1844-V1844</f>
        <v>1000</v>
      </c>
    </row>
    <row r="1851" spans="7:22">
      <c r="G1851" s="1574" t="s">
        <v>3530</v>
      </c>
      <c r="H1851" s="1574"/>
      <c r="I1851" s="1574"/>
      <c r="J1851" s="3">
        <f>J1844+L1844</f>
        <v>10325000</v>
      </c>
      <c r="K1851" s="1009"/>
      <c r="L1851" s="3"/>
      <c r="M1851" s="1533" t="s">
        <v>3664</v>
      </c>
      <c r="N1851" s="1527">
        <f>N1850*0.99</f>
        <v>0</v>
      </c>
      <c r="O1851" s="1535" t="s">
        <v>4066</v>
      </c>
      <c r="P1851" s="1512">
        <v>26086000</v>
      </c>
      <c r="T1851" s="1143"/>
    </row>
    <row r="1852" spans="7:22">
      <c r="G1852" s="1574" t="s">
        <v>3512</v>
      </c>
      <c r="H1852" s="1574"/>
      <c r="I1852" s="1574"/>
      <c r="J1852" s="3">
        <f>N1844-J1851</f>
        <v>135175000</v>
      </c>
      <c r="K1852" s="1009"/>
      <c r="L1852" s="3"/>
      <c r="M1852" s="1528"/>
      <c r="O1852" s="1529"/>
      <c r="Q1852" s="661"/>
      <c r="T1852" s="1143"/>
    </row>
    <row r="1853" spans="7:22">
      <c r="G1853" s="1574" t="s">
        <v>3531</v>
      </c>
      <c r="H1853" s="1574"/>
      <c r="I1853" s="1574"/>
      <c r="J1853" s="3">
        <f>T1850</f>
        <v>1000</v>
      </c>
      <c r="Q1853" s="3"/>
      <c r="T1853" s="1143"/>
    </row>
    <row r="1854" spans="7:22">
      <c r="G1854" s="5"/>
      <c r="H1854" s="5"/>
      <c r="I1854" s="1142"/>
      <c r="T1854" s="1143"/>
    </row>
    <row r="1862" spans="7:22">
      <c r="G1862" s="1008">
        <v>45980</v>
      </c>
      <c r="H1862" s="1169"/>
      <c r="I1862" s="1575" t="s">
        <v>3510</v>
      </c>
      <c r="J1862" s="1576"/>
      <c r="K1862" s="1575" t="s">
        <v>3509</v>
      </c>
      <c r="L1862" s="1576"/>
      <c r="M1862" s="1575" t="s">
        <v>3541</v>
      </c>
      <c r="N1862" s="1576"/>
      <c r="O1862" s="1577" t="s">
        <v>3598</v>
      </c>
      <c r="P1862" s="1578"/>
      <c r="Q1862" s="1579" t="s">
        <v>3599</v>
      </c>
      <c r="R1862" s="1580"/>
      <c r="S1862" s="1583" t="s">
        <v>3953</v>
      </c>
      <c r="T1862" s="1583"/>
      <c r="U1862" s="1583" t="s">
        <v>3954</v>
      </c>
      <c r="V1862" s="1583"/>
    </row>
    <row r="1863" spans="7:22">
      <c r="G1863" s="1097"/>
      <c r="H1863" s="1097"/>
      <c r="I1863" s="1155" t="s">
        <v>4118</v>
      </c>
      <c r="J1863" s="990">
        <v>30690000</v>
      </c>
      <c r="K1863" s="1495" t="s">
        <v>4116</v>
      </c>
      <c r="L1863" s="49">
        <v>5500000</v>
      </c>
      <c r="M1863" s="1495" t="s">
        <v>3512</v>
      </c>
      <c r="N1863" s="49">
        <v>135175000</v>
      </c>
      <c r="O1863" s="1383" t="s">
        <v>3546</v>
      </c>
      <c r="P1863" s="644">
        <v>660000</v>
      </c>
      <c r="Q1863" s="1154" t="s">
        <v>4115</v>
      </c>
      <c r="R1863" s="644">
        <v>371000</v>
      </c>
      <c r="S1863" s="48" t="s">
        <v>4114</v>
      </c>
      <c r="T1863" s="1144">
        <v>1300</v>
      </c>
      <c r="U1863" s="1153" t="s">
        <v>3856</v>
      </c>
      <c r="V1863" s="49">
        <v>2400</v>
      </c>
    </row>
    <row r="1864" spans="7:22">
      <c r="G1864" s="1098"/>
      <c r="H1864" s="1098"/>
      <c r="I1864" s="1158" t="s">
        <v>4119</v>
      </c>
      <c r="J1864" s="49">
        <v>50000000</v>
      </c>
      <c r="K1864" s="1495"/>
      <c r="L1864" s="49"/>
      <c r="M1864" s="1493" t="s">
        <v>3996</v>
      </c>
      <c r="N1864" s="49">
        <v>7000000</v>
      </c>
      <c r="O1864" s="1180" t="s">
        <v>4122</v>
      </c>
      <c r="P1864" s="644">
        <v>26086000</v>
      </c>
      <c r="Q1864" s="1154" t="s">
        <v>3312</v>
      </c>
      <c r="R1864" s="644">
        <v>1000000</v>
      </c>
      <c r="S1864" s="48" t="s">
        <v>3512</v>
      </c>
      <c r="T1864" s="1144">
        <v>5400</v>
      </c>
      <c r="U1864" s="48"/>
      <c r="V1864" s="49"/>
    </row>
    <row r="1865" spans="7:22">
      <c r="G1865" s="48"/>
      <c r="H1865" s="48"/>
      <c r="I1865" s="1159" t="s">
        <v>4120</v>
      </c>
      <c r="J1865" s="49">
        <v>50000000</v>
      </c>
      <c r="K1865" s="1495"/>
      <c r="L1865" s="49"/>
      <c r="M1865" s="1493" t="s">
        <v>4117</v>
      </c>
      <c r="N1865" s="49">
        <v>8000000</v>
      </c>
      <c r="O1865" s="1180"/>
      <c r="P1865" s="644"/>
      <c r="Q1865" s="1154" t="s">
        <v>4121</v>
      </c>
      <c r="R1865" s="644">
        <v>1670000</v>
      </c>
      <c r="S1865" s="1141"/>
      <c r="T1865" s="1144"/>
      <c r="U1865" s="1078"/>
      <c r="V1865" s="49"/>
    </row>
    <row r="1866" spans="7:22">
      <c r="G1866" s="48"/>
      <c r="H1866" s="48"/>
      <c r="I1866" s="1098"/>
      <c r="K1866" s="1495"/>
      <c r="L1866" s="49"/>
      <c r="M1866" s="1493"/>
      <c r="N1866" s="49">
        <v>1500000</v>
      </c>
      <c r="O1866" s="644"/>
      <c r="P1866" s="644"/>
      <c r="Q1866" s="1103"/>
      <c r="R1866" s="644"/>
      <c r="S1866" s="48"/>
      <c r="T1866" s="1144"/>
      <c r="U1866" s="48"/>
      <c r="V1866" s="49"/>
    </row>
    <row r="1867" spans="7:22">
      <c r="G1867" s="48"/>
      <c r="H1867" s="48"/>
      <c r="I1867" s="1074"/>
      <c r="J1867" s="990"/>
      <c r="K1867" s="1495"/>
      <c r="L1867" s="49"/>
      <c r="M1867" s="1498"/>
      <c r="N1867" s="49"/>
      <c r="O1867" s="644"/>
      <c r="P1867" s="644"/>
      <c r="Q1867" s="1103"/>
      <c r="R1867" s="644"/>
      <c r="S1867" s="48"/>
      <c r="T1867" s="1144"/>
      <c r="U1867" s="48"/>
      <c r="V1867" s="49"/>
    </row>
    <row r="1868" spans="7:22">
      <c r="G1868" s="48"/>
      <c r="H1868" s="48"/>
      <c r="I1868" s="1074"/>
      <c r="J1868" s="49"/>
      <c r="K1868" s="1532"/>
      <c r="L1868" s="49"/>
      <c r="M1868" s="1495"/>
      <c r="N1868" s="49"/>
      <c r="O1868" s="644"/>
      <c r="P1868" s="644"/>
      <c r="Q1868" s="1093"/>
      <c r="R1868" s="644"/>
      <c r="S1868" s="48"/>
      <c r="T1868" s="1144"/>
      <c r="U1868" s="48"/>
      <c r="V1868" s="49"/>
    </row>
    <row r="1869" spans="7:22">
      <c r="G1869" s="48"/>
      <c r="H1869" s="48"/>
      <c r="I1869" s="1074"/>
      <c r="J1869" s="49"/>
      <c r="K1869" s="1495"/>
      <c r="L1869" s="49"/>
      <c r="M1869" s="1498"/>
      <c r="N1869" s="49"/>
      <c r="O1869" s="644"/>
      <c r="P1869" s="644"/>
      <c r="Q1869" s="1076"/>
      <c r="R1869" s="644"/>
      <c r="S1869" s="48"/>
      <c r="T1869" s="1144"/>
      <c r="U1869" s="48"/>
      <c r="V1869" s="49"/>
    </row>
    <row r="1870" spans="7:22">
      <c r="G1870" s="48"/>
      <c r="H1870" s="48"/>
      <c r="I1870" s="1074"/>
      <c r="J1870" s="49"/>
      <c r="K1870" s="1532"/>
      <c r="L1870" s="49"/>
      <c r="M1870" s="1498"/>
      <c r="N1870" s="49"/>
      <c r="O1870" s="644"/>
      <c r="P1870" s="644"/>
      <c r="Q1870" s="644"/>
      <c r="R1870" s="644"/>
      <c r="S1870" s="48"/>
      <c r="T1870" s="1144"/>
      <c r="U1870" s="48"/>
      <c r="V1870" s="49"/>
    </row>
    <row r="1871" spans="7:22">
      <c r="G1871" s="48"/>
      <c r="H1871" s="48"/>
      <c r="I1871" s="48"/>
      <c r="J1871" s="49"/>
      <c r="K1871" s="1495"/>
      <c r="L1871" s="49"/>
      <c r="M1871" s="1498"/>
      <c r="N1871" s="49"/>
      <c r="O1871" s="644"/>
      <c r="P1871" s="644"/>
      <c r="Q1871" s="644"/>
      <c r="R1871" s="644"/>
      <c r="S1871" s="48"/>
      <c r="T1871" s="1144"/>
      <c r="U1871" s="48"/>
      <c r="V1871" s="49"/>
    </row>
    <row r="1872" spans="7:22">
      <c r="G1872" s="48"/>
      <c r="H1872" s="48"/>
      <c r="I1872" s="48"/>
      <c r="J1872" s="49"/>
      <c r="K1872" s="1498"/>
      <c r="L1872" s="49"/>
      <c r="M1872" s="1498"/>
      <c r="N1872" s="49"/>
      <c r="O1872" s="644"/>
      <c r="P1872" s="644"/>
      <c r="Q1872" s="644"/>
      <c r="R1872" s="644"/>
      <c r="S1872" s="48"/>
      <c r="T1872" s="1144"/>
      <c r="U1872" s="48"/>
      <c r="V1872" s="49"/>
    </row>
    <row r="1873" spans="7:22">
      <c r="G1873" s="48"/>
      <c r="H1873" s="48"/>
      <c r="I1873" s="48"/>
      <c r="J1873" s="49"/>
      <c r="K1873" s="1498"/>
      <c r="L1873" s="49"/>
      <c r="M1873" s="1498"/>
      <c r="N1873" s="49"/>
      <c r="O1873" s="644"/>
      <c r="P1873" s="644"/>
      <c r="Q1873" s="644"/>
      <c r="R1873" s="644"/>
      <c r="S1873" s="48"/>
      <c r="T1873" s="1144"/>
      <c r="U1873" s="48"/>
      <c r="V1873" s="48"/>
    </row>
    <row r="1874" spans="7:22">
      <c r="G1874" s="48"/>
      <c r="H1874" s="48"/>
      <c r="I1874" s="48"/>
      <c r="J1874" s="49"/>
      <c r="K1874" s="49"/>
      <c r="L1874" s="49"/>
      <c r="M1874" s="1498"/>
      <c r="N1874" s="49"/>
      <c r="O1874" s="644"/>
      <c r="P1874" s="644"/>
      <c r="Q1874" s="644"/>
      <c r="R1874" s="644"/>
      <c r="S1874" s="48"/>
      <c r="T1874" s="1144"/>
      <c r="U1874" s="48"/>
      <c r="V1874" s="48"/>
    </row>
    <row r="1875" spans="7:22">
      <c r="G1875" s="48"/>
      <c r="H1875" s="48"/>
      <c r="I1875" s="48"/>
      <c r="J1875" s="954">
        <f>SUM(J1863:J1871)</f>
        <v>130690000</v>
      </c>
      <c r="K1875" s="954"/>
      <c r="L1875" s="954">
        <f>SUM(L1863:L1874)</f>
        <v>5500000</v>
      </c>
      <c r="M1875" s="1498"/>
      <c r="N1875" s="954">
        <f>SUM(N1863:N1874)</f>
        <v>151675000</v>
      </c>
      <c r="O1875" s="644"/>
      <c r="P1875" s="969">
        <f>SUM(P1863:P1869)</f>
        <v>26746000</v>
      </c>
      <c r="Q1875" s="969"/>
      <c r="R1875" s="969">
        <f>SUM(R1863:R1869)</f>
        <v>3041000</v>
      </c>
      <c r="S1875" s="48"/>
      <c r="T1875" s="1144">
        <f>SUM(T1863:T1874)</f>
        <v>6700</v>
      </c>
      <c r="U1875" s="48"/>
      <c r="V1875" s="878">
        <f>SUM(V1863:V1874)</f>
        <v>2400</v>
      </c>
    </row>
    <row r="1876" spans="7:22">
      <c r="T1876" s="1143"/>
    </row>
    <row r="1877" spans="7:22">
      <c r="T1877" s="1143"/>
    </row>
    <row r="1878" spans="7:22">
      <c r="R1878" s="661"/>
      <c r="T1878" s="1143"/>
    </row>
    <row r="1879" spans="7:22">
      <c r="T1879" s="1143"/>
    </row>
    <row r="1880" spans="7:22">
      <c r="T1880" s="1143"/>
    </row>
    <row r="1881" spans="7:22">
      <c r="I1881" s="946"/>
      <c r="M1881" s="1533" t="s">
        <v>3699</v>
      </c>
      <c r="N1881" s="3">
        <v>0</v>
      </c>
      <c r="O1881" s="1535" t="s">
        <v>3741</v>
      </c>
      <c r="P1881" s="1512">
        <f>P1875-R1875</f>
        <v>23705000</v>
      </c>
      <c r="S1881" s="906" t="s">
        <v>4049</v>
      </c>
      <c r="T1881" s="1107">
        <f>T1875-V1875</f>
        <v>4300</v>
      </c>
    </row>
    <row r="1882" spans="7:22">
      <c r="G1882" s="1574" t="s">
        <v>3530</v>
      </c>
      <c r="H1882" s="1574"/>
      <c r="I1882" s="1574"/>
      <c r="J1882" s="3">
        <f>J1875+L1875</f>
        <v>136190000</v>
      </c>
      <c r="K1882" s="1009"/>
      <c r="L1882" s="3"/>
      <c r="M1882" s="1533" t="s">
        <v>3664</v>
      </c>
      <c r="N1882" s="1527">
        <f>N1881*0.99</f>
        <v>0</v>
      </c>
      <c r="O1882" s="1535" t="s">
        <v>4066</v>
      </c>
      <c r="P1882" s="1512"/>
      <c r="T1882" s="1143"/>
    </row>
    <row r="1883" spans="7:22">
      <c r="G1883" s="1574" t="s">
        <v>3512</v>
      </c>
      <c r="H1883" s="1574"/>
      <c r="I1883" s="1574"/>
      <c r="J1883" s="3">
        <f>N1875-J1882</f>
        <v>15485000</v>
      </c>
      <c r="K1883" s="1009"/>
      <c r="L1883" s="3"/>
      <c r="M1883" s="1528"/>
      <c r="O1883" s="1529"/>
      <c r="Q1883" s="661"/>
      <c r="T1883" s="1143"/>
    </row>
    <row r="1884" spans="7:22">
      <c r="G1884" s="1574" t="s">
        <v>3531</v>
      </c>
      <c r="H1884" s="1574"/>
      <c r="I1884" s="1574"/>
      <c r="J1884" s="3">
        <f>T1881</f>
        <v>4300</v>
      </c>
      <c r="Q1884" s="3"/>
      <c r="T1884" s="1143"/>
    </row>
    <row r="1885" spans="7:22">
      <c r="G1885" s="5"/>
      <c r="H1885" s="5"/>
      <c r="I1885" s="1142"/>
      <c r="T1885" s="1143"/>
    </row>
    <row r="1901" spans="7:22">
      <c r="G1901" s="1008">
        <v>45982</v>
      </c>
      <c r="H1901" s="1169"/>
      <c r="I1901" s="1575" t="s">
        <v>3510</v>
      </c>
      <c r="J1901" s="1576"/>
      <c r="K1901" s="1575" t="s">
        <v>3509</v>
      </c>
      <c r="L1901" s="1576"/>
      <c r="M1901" s="1575" t="s">
        <v>3541</v>
      </c>
      <c r="N1901" s="1576"/>
      <c r="O1901" s="1577" t="s">
        <v>3598</v>
      </c>
      <c r="P1901" s="1578"/>
      <c r="Q1901" s="1579" t="s">
        <v>3599</v>
      </c>
      <c r="R1901" s="1580"/>
      <c r="S1901" s="1583" t="s">
        <v>3953</v>
      </c>
      <c r="T1901" s="1583"/>
      <c r="U1901" s="1583" t="s">
        <v>3954</v>
      </c>
      <c r="V1901" s="1583"/>
    </row>
    <row r="1902" spans="7:22">
      <c r="G1902" s="1097"/>
      <c r="H1902" s="1170" t="s">
        <v>4130</v>
      </c>
      <c r="I1902" s="1170" t="s">
        <v>4129</v>
      </c>
      <c r="J1902" s="990">
        <v>30000000</v>
      </c>
      <c r="K1902" s="1495" t="s">
        <v>4137</v>
      </c>
      <c r="L1902" s="49">
        <v>1000000</v>
      </c>
      <c r="M1902" s="1495" t="s">
        <v>4126</v>
      </c>
      <c r="N1902" s="49">
        <v>13000000</v>
      </c>
      <c r="O1902" s="1383" t="s">
        <v>4123</v>
      </c>
      <c r="P1902" s="644">
        <v>5000000</v>
      </c>
      <c r="Q1902" s="1163" t="s">
        <v>4124</v>
      </c>
      <c r="R1902" s="644">
        <v>400000</v>
      </c>
      <c r="S1902" s="1175" t="s">
        <v>3955</v>
      </c>
      <c r="T1902" s="49">
        <v>4800</v>
      </c>
      <c r="U1902" s="48" t="s">
        <v>3363</v>
      </c>
      <c r="V1902" s="48">
        <v>100</v>
      </c>
    </row>
    <row r="1903" spans="7:22">
      <c r="G1903" s="1098"/>
      <c r="H1903" s="1172" t="s">
        <v>4131</v>
      </c>
      <c r="I1903" s="1171" t="s">
        <v>4133</v>
      </c>
      <c r="J1903" s="990">
        <v>30200000</v>
      </c>
      <c r="K1903" s="1495" t="s">
        <v>4139</v>
      </c>
      <c r="L1903" s="49">
        <v>10000000</v>
      </c>
      <c r="M1903" s="1493" t="s">
        <v>4128</v>
      </c>
      <c r="N1903" s="49">
        <v>5000000</v>
      </c>
      <c r="O1903" s="1164" t="s">
        <v>4125</v>
      </c>
      <c r="P1903" s="644">
        <v>500000</v>
      </c>
      <c r="Q1903" s="1163" t="s">
        <v>4051</v>
      </c>
      <c r="R1903" s="644">
        <v>20480000</v>
      </c>
      <c r="S1903" s="48"/>
      <c r="T1903" s="1151"/>
      <c r="U1903" s="48"/>
      <c r="V1903" s="49"/>
    </row>
    <row r="1904" spans="7:22">
      <c r="G1904" s="48"/>
      <c r="H1904" s="48"/>
      <c r="I1904" s="1172" t="s">
        <v>4134</v>
      </c>
      <c r="J1904" s="49">
        <v>27600000</v>
      </c>
      <c r="K1904" s="1495"/>
      <c r="L1904" s="49"/>
      <c r="M1904" s="1493" t="s">
        <v>4135</v>
      </c>
      <c r="N1904" s="49">
        <v>4000000</v>
      </c>
      <c r="O1904" s="1180" t="s">
        <v>4127</v>
      </c>
      <c r="P1904" s="644">
        <v>520000</v>
      </c>
      <c r="Q1904" s="1173" t="s">
        <v>4132</v>
      </c>
      <c r="R1904" s="644">
        <v>500000</v>
      </c>
      <c r="S1904" s="1141"/>
      <c r="T1904" s="1151"/>
      <c r="U1904" s="1078"/>
      <c r="V1904" s="49"/>
    </row>
    <row r="1905" spans="7:22">
      <c r="G1905" s="48"/>
      <c r="H1905" s="48"/>
      <c r="I1905" s="1172" t="s">
        <v>4136</v>
      </c>
      <c r="J1905" s="3">
        <v>29600000</v>
      </c>
      <c r="K1905" s="1495"/>
      <c r="L1905" s="49"/>
      <c r="M1905" s="1493" t="s">
        <v>3897</v>
      </c>
      <c r="N1905" s="49">
        <v>653000000</v>
      </c>
      <c r="O1905" s="644"/>
      <c r="P1905" s="644"/>
      <c r="Q1905" s="1103"/>
      <c r="R1905" s="644"/>
      <c r="S1905" s="48"/>
      <c r="T1905" s="1151"/>
      <c r="U1905" s="48"/>
      <c r="V1905" s="49"/>
    </row>
    <row r="1906" spans="7:22">
      <c r="G1906" s="48"/>
      <c r="H1906" s="48"/>
      <c r="I1906" s="1074"/>
      <c r="J1906" s="990"/>
      <c r="K1906" s="1495"/>
      <c r="L1906" s="49"/>
      <c r="M1906" s="1498" t="s">
        <v>4138</v>
      </c>
      <c r="N1906" s="49">
        <v>2600000</v>
      </c>
      <c r="O1906" s="644"/>
      <c r="P1906" s="644"/>
      <c r="Q1906" s="1103"/>
      <c r="R1906" s="644"/>
      <c r="S1906" s="48"/>
      <c r="T1906" s="1151"/>
      <c r="U1906" s="48"/>
      <c r="V1906" s="49"/>
    </row>
    <row r="1907" spans="7:22">
      <c r="G1907" s="48"/>
      <c r="H1907" s="48"/>
      <c r="I1907" s="1074"/>
      <c r="J1907" s="49"/>
      <c r="K1907" s="1532"/>
      <c r="L1907" s="49"/>
      <c r="M1907" s="1495" t="s">
        <v>4140</v>
      </c>
      <c r="N1907" s="49">
        <v>1000000</v>
      </c>
      <c r="O1907" s="644"/>
      <c r="P1907" s="644"/>
      <c r="Q1907" s="1093"/>
      <c r="R1907" s="644"/>
      <c r="S1907" s="48"/>
      <c r="T1907" s="1151"/>
      <c r="U1907" s="48"/>
      <c r="V1907" s="49"/>
    </row>
    <row r="1908" spans="7:22">
      <c r="G1908" s="48"/>
      <c r="H1908" s="48"/>
      <c r="I1908" s="1074"/>
      <c r="J1908" s="49"/>
      <c r="K1908" s="1495"/>
      <c r="L1908" s="49"/>
      <c r="M1908" s="1498" t="s">
        <v>4141</v>
      </c>
      <c r="N1908" s="49">
        <v>15900000</v>
      </c>
      <c r="O1908" s="644"/>
      <c r="P1908" s="644"/>
      <c r="Q1908" s="1076"/>
      <c r="R1908" s="644"/>
      <c r="S1908" s="48"/>
      <c r="T1908" s="1151"/>
      <c r="U1908" s="48"/>
      <c r="V1908" s="49"/>
    </row>
    <row r="1909" spans="7:22">
      <c r="G1909" s="48"/>
      <c r="H1909" s="48"/>
      <c r="I1909" s="1074"/>
      <c r="J1909" s="49"/>
      <c r="K1909" s="1532"/>
      <c r="L1909" s="49"/>
      <c r="M1909" s="1498"/>
      <c r="N1909" s="49">
        <v>8000000</v>
      </c>
      <c r="O1909" s="644"/>
      <c r="P1909" s="644"/>
      <c r="Q1909" s="644"/>
      <c r="R1909" s="644"/>
      <c r="S1909" s="48"/>
      <c r="T1909" s="1151"/>
      <c r="U1909" s="48"/>
      <c r="V1909" s="49"/>
    </row>
    <row r="1910" spans="7:22">
      <c r="G1910" s="48"/>
      <c r="H1910" s="48"/>
      <c r="I1910" s="48"/>
      <c r="J1910" s="49"/>
      <c r="K1910" s="1495"/>
      <c r="L1910" s="49"/>
      <c r="M1910" s="1498"/>
      <c r="N1910" s="49"/>
      <c r="O1910" s="644"/>
      <c r="P1910" s="644"/>
      <c r="Q1910" s="644"/>
      <c r="R1910" s="644"/>
      <c r="S1910" s="48"/>
      <c r="T1910" s="1151"/>
      <c r="U1910" s="48"/>
      <c r="V1910" s="49"/>
    </row>
    <row r="1911" spans="7:22">
      <c r="G1911" s="48"/>
      <c r="H1911" s="48"/>
      <c r="I1911" s="48"/>
      <c r="J1911" s="49"/>
      <c r="K1911" s="1498"/>
      <c r="L1911" s="49"/>
      <c r="M1911" s="1498"/>
      <c r="N1911" s="49"/>
      <c r="O1911" s="644"/>
      <c r="P1911" s="644"/>
      <c r="Q1911" s="644"/>
      <c r="R1911" s="644"/>
      <c r="S1911" s="48"/>
      <c r="T1911" s="1151"/>
      <c r="U1911" s="48"/>
      <c r="V1911" s="49"/>
    </row>
    <row r="1912" spans="7:22">
      <c r="G1912" s="48"/>
      <c r="H1912" s="48"/>
      <c r="I1912" s="48"/>
      <c r="J1912" s="49"/>
      <c r="K1912" s="1498"/>
      <c r="L1912" s="49"/>
      <c r="M1912" s="1498"/>
      <c r="N1912" s="49"/>
      <c r="O1912" s="644"/>
      <c r="P1912" s="644"/>
      <c r="Q1912" s="644"/>
      <c r="R1912" s="644"/>
      <c r="S1912" s="48"/>
      <c r="T1912" s="1151"/>
      <c r="U1912" s="48"/>
      <c r="V1912" s="48"/>
    </row>
    <row r="1913" spans="7:22">
      <c r="G1913" s="48"/>
      <c r="H1913" s="48"/>
      <c r="I1913" s="48"/>
      <c r="J1913" s="49"/>
      <c r="K1913" s="49"/>
      <c r="L1913" s="49"/>
      <c r="M1913" s="1498"/>
      <c r="N1913" s="49"/>
      <c r="O1913" s="644"/>
      <c r="P1913" s="644"/>
      <c r="Q1913" s="644"/>
      <c r="R1913" s="644"/>
      <c r="S1913" s="48"/>
      <c r="T1913" s="1151"/>
      <c r="U1913" s="48"/>
      <c r="V1913" s="48"/>
    </row>
    <row r="1914" spans="7:22">
      <c r="G1914" s="48"/>
      <c r="H1914" s="48"/>
      <c r="I1914" s="48"/>
      <c r="J1914" s="954">
        <f>SUM(J1902:J1910)</f>
        <v>117400000</v>
      </c>
      <c r="K1914" s="954"/>
      <c r="L1914" s="954">
        <f>SUM(L1902:L1913)</f>
        <v>11000000</v>
      </c>
      <c r="M1914" s="1498"/>
      <c r="N1914" s="954">
        <f>SUM(N1902:N1913)</f>
        <v>702500000</v>
      </c>
      <c r="O1914" s="644"/>
      <c r="P1914" s="969">
        <f>SUM(P1902:P1908)</f>
        <v>6020000</v>
      </c>
      <c r="Q1914" s="969"/>
      <c r="R1914" s="969">
        <f>SUM(R1902:R1908)</f>
        <v>21380000</v>
      </c>
      <c r="S1914" s="48"/>
      <c r="T1914" s="1151">
        <f>SUM(T1902:T1913)</f>
        <v>4800</v>
      </c>
      <c r="U1914" s="48"/>
      <c r="V1914" s="878">
        <f>SUM(V1902:V1913)</f>
        <v>100</v>
      </c>
    </row>
    <row r="1915" spans="7:22">
      <c r="T1915" s="1150"/>
    </row>
    <row r="1916" spans="7:22">
      <c r="T1916" s="1150"/>
    </row>
    <row r="1917" spans="7:22">
      <c r="R1917" s="661"/>
      <c r="T1917" s="1150"/>
    </row>
    <row r="1918" spans="7:22">
      <c r="T1918" s="1150"/>
    </row>
    <row r="1919" spans="7:22">
      <c r="T1919" s="1150"/>
    </row>
    <row r="1920" spans="7:22">
      <c r="I1920" s="946"/>
      <c r="M1920" s="1533" t="s">
        <v>3699</v>
      </c>
      <c r="N1920" s="3">
        <v>0</v>
      </c>
      <c r="O1920" s="1535" t="s">
        <v>3741</v>
      </c>
      <c r="P1920" s="1512"/>
      <c r="S1920" s="906" t="s">
        <v>4049</v>
      </c>
      <c r="T1920" s="1107">
        <f>T1914-V1914</f>
        <v>4700</v>
      </c>
    </row>
    <row r="1921" spans="7:22">
      <c r="G1921" s="1574" t="s">
        <v>3530</v>
      </c>
      <c r="H1921" s="1574"/>
      <c r="I1921" s="1574"/>
      <c r="J1921" s="3">
        <f>J1914+L1914</f>
        <v>128400000</v>
      </c>
      <c r="K1921" s="1009"/>
      <c r="L1921" s="3"/>
      <c r="M1921" s="1533" t="s">
        <v>3664</v>
      </c>
      <c r="N1921" s="1527">
        <v>653000000</v>
      </c>
      <c r="O1921" s="1535" t="s">
        <v>4066</v>
      </c>
      <c r="P1921" s="1512">
        <v>8200000</v>
      </c>
      <c r="T1921" s="1150"/>
    </row>
    <row r="1922" spans="7:22">
      <c r="G1922" s="1574" t="s">
        <v>3512</v>
      </c>
      <c r="H1922" s="1574"/>
      <c r="I1922" s="1574"/>
      <c r="J1922" s="3">
        <f>N1914-J1921</f>
        <v>574100000</v>
      </c>
      <c r="K1922" s="1009"/>
      <c r="L1922" s="3"/>
      <c r="M1922" s="1528"/>
      <c r="O1922" s="1529"/>
      <c r="Q1922" s="661"/>
      <c r="T1922" s="1150"/>
    </row>
    <row r="1923" spans="7:22">
      <c r="G1923" s="1574" t="s">
        <v>3531</v>
      </c>
      <c r="H1923" s="1574"/>
      <c r="I1923" s="1574"/>
      <c r="J1923" s="3">
        <f>T1920</f>
        <v>4700</v>
      </c>
      <c r="Q1923" s="3"/>
      <c r="T1923" s="1150"/>
    </row>
    <row r="1924" spans="7:22">
      <c r="G1924" s="5"/>
      <c r="H1924" s="5"/>
      <c r="I1924" s="1149"/>
      <c r="T1924" s="1150"/>
    </row>
    <row r="1931" spans="7:22">
      <c r="G1931" s="1008">
        <v>45985</v>
      </c>
      <c r="H1931" s="1169"/>
      <c r="I1931" s="1575" t="s">
        <v>3510</v>
      </c>
      <c r="J1931" s="1576"/>
      <c r="K1931" s="1575" t="s">
        <v>3509</v>
      </c>
      <c r="L1931" s="1576"/>
      <c r="M1931" s="1575" t="s">
        <v>3541</v>
      </c>
      <c r="N1931" s="1576"/>
      <c r="O1931" s="1577" t="s">
        <v>3598</v>
      </c>
      <c r="P1931" s="1578"/>
      <c r="Q1931" s="1579" t="s">
        <v>3599</v>
      </c>
      <c r="R1931" s="1580"/>
      <c r="S1931" s="1583" t="s">
        <v>3953</v>
      </c>
      <c r="T1931" s="1583"/>
      <c r="U1931" s="1583" t="s">
        <v>3954</v>
      </c>
      <c r="V1931" s="1583"/>
    </row>
    <row r="1932" spans="7:22">
      <c r="G1932" s="1097"/>
      <c r="H1932" s="1170"/>
      <c r="I1932" s="1170"/>
      <c r="J1932" s="990"/>
      <c r="K1932" s="1495"/>
      <c r="L1932" s="49"/>
      <c r="M1932" s="1495" t="s">
        <v>4144</v>
      </c>
      <c r="N1932" s="49">
        <v>25000000</v>
      </c>
      <c r="O1932" s="1383" t="s">
        <v>4142</v>
      </c>
      <c r="P1932" s="644">
        <v>2400000</v>
      </c>
      <c r="Q1932" s="1163"/>
      <c r="R1932" s="644"/>
      <c r="S1932" s="1175" t="s">
        <v>4143</v>
      </c>
      <c r="T1932" s="49">
        <v>800</v>
      </c>
      <c r="U1932" s="48"/>
      <c r="V1932" s="48"/>
    </row>
    <row r="1933" spans="7:22">
      <c r="G1933" s="1098"/>
      <c r="H1933" s="1172"/>
      <c r="I1933" s="1171"/>
      <c r="J1933" s="990"/>
      <c r="K1933" s="1495"/>
      <c r="L1933" s="49"/>
      <c r="M1933" s="1493"/>
      <c r="N1933" s="49"/>
      <c r="O1933" s="1164"/>
      <c r="P1933" s="644"/>
      <c r="Q1933" s="1163"/>
      <c r="R1933" s="644"/>
      <c r="S1933" s="48"/>
      <c r="T1933" s="1162"/>
      <c r="U1933" s="48"/>
      <c r="V1933" s="49"/>
    </row>
    <row r="1934" spans="7:22">
      <c r="G1934" s="48"/>
      <c r="H1934" s="48"/>
      <c r="I1934" s="1172"/>
      <c r="J1934" s="49"/>
      <c r="K1934" s="1495"/>
      <c r="L1934" s="49"/>
      <c r="M1934" s="1493"/>
      <c r="N1934" s="49"/>
      <c r="O1934" s="1180"/>
      <c r="P1934" s="644"/>
      <c r="Q1934" s="1173"/>
      <c r="R1934" s="644"/>
      <c r="S1934" s="1141"/>
      <c r="T1934" s="1162"/>
      <c r="U1934" s="1078"/>
      <c r="V1934" s="49"/>
    </row>
    <row r="1935" spans="7:22">
      <c r="G1935" s="48"/>
      <c r="H1935" s="48"/>
      <c r="I1935" s="1172"/>
      <c r="K1935" s="1495"/>
      <c r="L1935" s="49"/>
      <c r="M1935" s="1493"/>
      <c r="N1935" s="49"/>
      <c r="O1935" s="644"/>
      <c r="P1935" s="644"/>
      <c r="Q1935" s="1103"/>
      <c r="R1935" s="644"/>
      <c r="S1935" s="48"/>
      <c r="T1935" s="1162"/>
      <c r="U1935" s="48"/>
      <c r="V1935" s="49"/>
    </row>
    <row r="1936" spans="7:22">
      <c r="G1936" s="48"/>
      <c r="H1936" s="48"/>
      <c r="I1936" s="1074"/>
      <c r="J1936" s="990"/>
      <c r="K1936" s="1495"/>
      <c r="L1936" s="49"/>
      <c r="M1936" s="1498"/>
      <c r="N1936" s="49"/>
      <c r="O1936" s="644"/>
      <c r="P1936" s="644"/>
      <c r="Q1936" s="1103"/>
      <c r="R1936" s="644"/>
      <c r="S1936" s="48"/>
      <c r="T1936" s="1162"/>
      <c r="U1936" s="48"/>
      <c r="V1936" s="49"/>
    </row>
    <row r="1937" spans="7:22">
      <c r="G1937" s="48"/>
      <c r="H1937" s="48"/>
      <c r="I1937" s="1074"/>
      <c r="J1937" s="49"/>
      <c r="K1937" s="1532"/>
      <c r="L1937" s="49"/>
      <c r="M1937" s="1495"/>
      <c r="N1937" s="49"/>
      <c r="O1937" s="644"/>
      <c r="P1937" s="644"/>
      <c r="Q1937" s="1093"/>
      <c r="R1937" s="644"/>
      <c r="S1937" s="48"/>
      <c r="T1937" s="1162"/>
      <c r="U1937" s="48"/>
      <c r="V1937" s="49"/>
    </row>
    <row r="1938" spans="7:22">
      <c r="G1938" s="48"/>
      <c r="H1938" s="48"/>
      <c r="I1938" s="1074"/>
      <c r="J1938" s="49"/>
      <c r="K1938" s="1495"/>
      <c r="L1938" s="49"/>
      <c r="M1938" s="1498"/>
      <c r="N1938" s="49"/>
      <c r="O1938" s="644"/>
      <c r="P1938" s="644"/>
      <c r="Q1938" s="1076"/>
      <c r="R1938" s="644"/>
      <c r="S1938" s="48"/>
      <c r="T1938" s="1162"/>
      <c r="U1938" s="48"/>
      <c r="V1938" s="49"/>
    </row>
    <row r="1939" spans="7:22">
      <c r="G1939" s="48"/>
      <c r="H1939" s="48"/>
      <c r="I1939" s="1074"/>
      <c r="J1939" s="49"/>
      <c r="K1939" s="1532"/>
      <c r="L1939" s="49"/>
      <c r="M1939" s="1498"/>
      <c r="N1939" s="49"/>
      <c r="O1939" s="644"/>
      <c r="P1939" s="644"/>
      <c r="Q1939" s="644"/>
      <c r="R1939" s="644"/>
      <c r="S1939" s="48"/>
      <c r="T1939" s="1162"/>
      <c r="U1939" s="48"/>
      <c r="V1939" s="49"/>
    </row>
    <row r="1940" spans="7:22">
      <c r="G1940" s="48"/>
      <c r="H1940" s="48"/>
      <c r="I1940" s="48"/>
      <c r="J1940" s="49"/>
      <c r="K1940" s="1495"/>
      <c r="L1940" s="49"/>
      <c r="M1940" s="1498"/>
      <c r="N1940" s="49"/>
      <c r="O1940" s="644"/>
      <c r="P1940" s="644"/>
      <c r="Q1940" s="644"/>
      <c r="R1940" s="644"/>
      <c r="S1940" s="48"/>
      <c r="T1940" s="1162"/>
      <c r="U1940" s="48"/>
      <c r="V1940" s="49"/>
    </row>
    <row r="1941" spans="7:22">
      <c r="G1941" s="48"/>
      <c r="H1941" s="48"/>
      <c r="I1941" s="48"/>
      <c r="J1941" s="49"/>
      <c r="K1941" s="1498"/>
      <c r="L1941" s="49"/>
      <c r="M1941" s="1498"/>
      <c r="N1941" s="49"/>
      <c r="O1941" s="644"/>
      <c r="P1941" s="644"/>
      <c r="Q1941" s="644"/>
      <c r="R1941" s="644"/>
      <c r="S1941" s="48"/>
      <c r="T1941" s="1162"/>
      <c r="U1941" s="48"/>
      <c r="V1941" s="49"/>
    </row>
    <row r="1942" spans="7:22">
      <c r="G1942" s="48"/>
      <c r="H1942" s="48"/>
      <c r="I1942" s="48"/>
      <c r="J1942" s="49"/>
      <c r="K1942" s="1498"/>
      <c r="L1942" s="49"/>
      <c r="M1942" s="1498"/>
      <c r="N1942" s="49"/>
      <c r="O1942" s="644"/>
      <c r="P1942" s="644"/>
      <c r="Q1942" s="644"/>
      <c r="R1942" s="644"/>
      <c r="S1942" s="48"/>
      <c r="T1942" s="1162"/>
      <c r="U1942" s="48"/>
      <c r="V1942" s="48"/>
    </row>
    <row r="1943" spans="7:22">
      <c r="G1943" s="48"/>
      <c r="H1943" s="48"/>
      <c r="I1943" s="48"/>
      <c r="J1943" s="49"/>
      <c r="K1943" s="49"/>
      <c r="L1943" s="49"/>
      <c r="M1943" s="1498"/>
      <c r="N1943" s="49"/>
      <c r="O1943" s="644"/>
      <c r="P1943" s="644"/>
      <c r="Q1943" s="644"/>
      <c r="R1943" s="644"/>
      <c r="S1943" s="48"/>
      <c r="T1943" s="1162"/>
      <c r="U1943" s="48"/>
      <c r="V1943" s="48"/>
    </row>
    <row r="1944" spans="7:22">
      <c r="G1944" s="48"/>
      <c r="H1944" s="48"/>
      <c r="I1944" s="48"/>
      <c r="J1944" s="954">
        <f>SUM(J1932:J1940)</f>
        <v>0</v>
      </c>
      <c r="K1944" s="954"/>
      <c r="L1944" s="954">
        <f>SUM(L1932:L1943)</f>
        <v>0</v>
      </c>
      <c r="M1944" s="1498"/>
      <c r="N1944" s="954">
        <f>SUM(N1932:N1943)</f>
        <v>25000000</v>
      </c>
      <c r="O1944" s="644"/>
      <c r="P1944" s="969">
        <f>SUM(P1932:P1938)</f>
        <v>2400000</v>
      </c>
      <c r="Q1944" s="969"/>
      <c r="R1944" s="969">
        <f>SUM(R1932:R1938)</f>
        <v>0</v>
      </c>
      <c r="S1944" s="48"/>
      <c r="T1944" s="1162">
        <f>SUM(T1932:T1943)</f>
        <v>800</v>
      </c>
      <c r="U1944" s="48"/>
      <c r="V1944" s="878">
        <f>SUM(V1932:V1943)</f>
        <v>0</v>
      </c>
    </row>
    <row r="1945" spans="7:22">
      <c r="T1945" s="1161"/>
    </row>
    <row r="1946" spans="7:22">
      <c r="T1946" s="1161"/>
    </row>
    <row r="1947" spans="7:22">
      <c r="R1947" s="661"/>
      <c r="T1947" s="1161"/>
    </row>
    <row r="1948" spans="7:22">
      <c r="T1948" s="1161"/>
    </row>
    <row r="1949" spans="7:22">
      <c r="T1949" s="1161"/>
    </row>
    <row r="1950" spans="7:22">
      <c r="I1950" s="946"/>
      <c r="M1950" s="1533" t="s">
        <v>3699</v>
      </c>
      <c r="N1950" s="3">
        <v>0</v>
      </c>
      <c r="O1950" s="1535" t="s">
        <v>3741</v>
      </c>
      <c r="P1950" s="1512"/>
      <c r="S1950" s="906" t="s">
        <v>4049</v>
      </c>
      <c r="T1950" s="1107">
        <f>T1944-V1944</f>
        <v>800</v>
      </c>
    </row>
    <row r="1951" spans="7:22">
      <c r="G1951" s="1574" t="s">
        <v>3530</v>
      </c>
      <c r="H1951" s="1574"/>
      <c r="I1951" s="1574"/>
      <c r="J1951" s="3">
        <f>J1944+L1944</f>
        <v>0</v>
      </c>
      <c r="K1951" s="1009"/>
      <c r="L1951" s="3"/>
      <c r="M1951" s="1533" t="s">
        <v>3664</v>
      </c>
      <c r="N1951" s="1527">
        <v>653000000</v>
      </c>
      <c r="O1951" s="1535" t="s">
        <v>4066</v>
      </c>
      <c r="P1951" s="1512"/>
      <c r="T1951" s="1161"/>
    </row>
    <row r="1952" spans="7:22">
      <c r="G1952" s="1574" t="s">
        <v>3512</v>
      </c>
      <c r="H1952" s="1574"/>
      <c r="I1952" s="1574"/>
      <c r="J1952" s="3">
        <f>N1944-J1951</f>
        <v>25000000</v>
      </c>
      <c r="K1952" s="1009"/>
      <c r="L1952" s="3"/>
      <c r="M1952" s="1528"/>
      <c r="O1952" s="1529"/>
      <c r="Q1952" s="661"/>
      <c r="T1952" s="1161"/>
    </row>
    <row r="1953" spans="7:22">
      <c r="G1953" s="1574" t="s">
        <v>3531</v>
      </c>
      <c r="H1953" s="1574"/>
      <c r="I1953" s="1574"/>
      <c r="J1953" s="3">
        <f>T1950</f>
        <v>800</v>
      </c>
      <c r="Q1953" s="3"/>
      <c r="T1953" s="1161"/>
    </row>
    <row r="1954" spans="7:22">
      <c r="G1954" s="5"/>
      <c r="H1954" s="5"/>
      <c r="I1954" s="1160"/>
      <c r="T1954" s="1161"/>
    </row>
    <row r="1968" spans="7:22">
      <c r="G1968" s="1008">
        <v>45986</v>
      </c>
      <c r="H1968" s="1169"/>
      <c r="I1968" s="1575" t="s">
        <v>3510</v>
      </c>
      <c r="J1968" s="1576"/>
      <c r="K1968" s="1575" t="s">
        <v>3509</v>
      </c>
      <c r="L1968" s="1576"/>
      <c r="M1968" s="1575" t="s">
        <v>3541</v>
      </c>
      <c r="N1968" s="1576"/>
      <c r="O1968" s="1577" t="s">
        <v>3598</v>
      </c>
      <c r="P1968" s="1578"/>
      <c r="Q1968" s="1579" t="s">
        <v>3599</v>
      </c>
      <c r="R1968" s="1580"/>
      <c r="S1968" s="1583" t="s">
        <v>3953</v>
      </c>
      <c r="T1968" s="1583"/>
      <c r="U1968" s="1583" t="s">
        <v>3954</v>
      </c>
      <c r="V1968" s="1583"/>
    </row>
    <row r="1969" spans="7:22">
      <c r="G1969" s="1097"/>
      <c r="H1969" s="1170"/>
      <c r="I1969" s="1174" t="s">
        <v>4149</v>
      </c>
      <c r="J1969" s="49">
        <v>93000000</v>
      </c>
      <c r="K1969" s="1495"/>
      <c r="L1969" s="49"/>
      <c r="M1969" s="1495" t="s">
        <v>3512</v>
      </c>
      <c r="N1969" s="49">
        <v>210000000</v>
      </c>
      <c r="O1969" s="1383"/>
      <c r="P1969" s="644"/>
      <c r="Q1969" s="1173" t="s">
        <v>3532</v>
      </c>
      <c r="R1969" s="644">
        <f>630000+630000</f>
        <v>1260000</v>
      </c>
      <c r="S1969" s="1175" t="s">
        <v>4148</v>
      </c>
      <c r="T1969" s="49">
        <v>2500</v>
      </c>
      <c r="U1969" s="48"/>
      <c r="V1969" s="48"/>
    </row>
    <row r="1970" spans="7:22">
      <c r="G1970" s="1098"/>
      <c r="H1970" s="1172"/>
      <c r="I1970" s="1174" t="s">
        <v>4153</v>
      </c>
      <c r="J1970" s="49">
        <v>95800000</v>
      </c>
      <c r="K1970" s="1495"/>
      <c r="L1970" s="49"/>
      <c r="M1970" s="1493" t="s">
        <v>4150</v>
      </c>
      <c r="N1970" s="49">
        <v>1000000</v>
      </c>
      <c r="O1970" s="1164"/>
      <c r="P1970" s="644"/>
      <c r="Q1970" s="1173" t="s">
        <v>3532</v>
      </c>
      <c r="R1970" s="644">
        <v>1400000</v>
      </c>
      <c r="S1970" s="48"/>
      <c r="T1970" s="1162"/>
      <c r="U1970" s="48"/>
      <c r="V1970" s="49"/>
    </row>
    <row r="1971" spans="7:22">
      <c r="G1971" s="48"/>
      <c r="H1971" s="48"/>
      <c r="I1971" s="1172" t="s">
        <v>4155</v>
      </c>
      <c r="J1971" s="49">
        <v>22200000</v>
      </c>
      <c r="K1971" s="1495"/>
      <c r="L1971" s="49"/>
      <c r="M1971" s="1493"/>
      <c r="N1971" s="49"/>
      <c r="O1971" s="1180"/>
      <c r="P1971" s="644"/>
      <c r="Q1971" s="1173" t="s">
        <v>3404</v>
      </c>
      <c r="R1971" s="644">
        <f>500000+300000+100000</f>
        <v>900000</v>
      </c>
      <c r="S1971" s="1141"/>
      <c r="T1971" s="1162"/>
      <c r="U1971" s="1078"/>
      <c r="V1971" s="49"/>
    </row>
    <row r="1972" spans="7:22">
      <c r="G1972" s="48"/>
      <c r="H1972" s="48"/>
      <c r="I1972" s="1172"/>
      <c r="K1972" s="1495"/>
      <c r="L1972" s="49"/>
      <c r="M1972" s="1493"/>
      <c r="N1972" s="49"/>
      <c r="O1972" s="644"/>
      <c r="P1972" s="644"/>
      <c r="Q1972" s="1176" t="s">
        <v>4147</v>
      </c>
      <c r="R1972" s="644">
        <v>7500000</v>
      </c>
      <c r="S1972" s="48"/>
      <c r="T1972" s="1162"/>
      <c r="U1972" s="48"/>
      <c r="V1972" s="49"/>
    </row>
    <row r="1973" spans="7:22">
      <c r="G1973" s="48"/>
      <c r="H1973" s="48"/>
      <c r="I1973" s="1074"/>
      <c r="J1973" s="990"/>
      <c r="K1973" s="1495"/>
      <c r="L1973" s="49"/>
      <c r="M1973" s="1498"/>
      <c r="N1973" s="49"/>
      <c r="O1973" s="644"/>
      <c r="P1973" s="644"/>
      <c r="Q1973" s="1176" t="s">
        <v>4151</v>
      </c>
      <c r="R1973" s="644">
        <v>1000000</v>
      </c>
      <c r="S1973" s="48"/>
      <c r="T1973" s="1162"/>
      <c r="U1973" s="48"/>
      <c r="V1973" s="49"/>
    </row>
    <row r="1974" spans="7:22">
      <c r="G1974" s="48"/>
      <c r="H1974" s="48"/>
      <c r="I1974" s="1074"/>
      <c r="J1974" s="49"/>
      <c r="K1974" s="1532"/>
      <c r="L1974" s="49"/>
      <c r="M1974" s="1495"/>
      <c r="N1974" s="49"/>
      <c r="O1974" s="644"/>
      <c r="P1974" s="644"/>
      <c r="Q1974" s="1176" t="s">
        <v>4154</v>
      </c>
      <c r="R1974" s="644">
        <v>1224000</v>
      </c>
      <c r="S1974" s="48"/>
      <c r="T1974" s="1162"/>
      <c r="U1974" s="48"/>
      <c r="V1974" s="49"/>
    </row>
    <row r="1975" spans="7:22">
      <c r="G1975" s="48"/>
      <c r="H1975" s="48"/>
      <c r="I1975" s="1074"/>
      <c r="J1975" s="49"/>
      <c r="K1975" s="1495"/>
      <c r="L1975" s="49"/>
      <c r="M1975" s="1498"/>
      <c r="N1975" s="49"/>
      <c r="O1975" s="644"/>
      <c r="P1975" s="644"/>
      <c r="Q1975" s="1076"/>
      <c r="R1975" s="644"/>
      <c r="S1975" s="48"/>
      <c r="T1975" s="1162"/>
      <c r="U1975" s="48"/>
      <c r="V1975" s="49"/>
    </row>
    <row r="1976" spans="7:22">
      <c r="G1976" s="48"/>
      <c r="H1976" s="48"/>
      <c r="I1976" s="1074"/>
      <c r="J1976" s="49"/>
      <c r="K1976" s="1532"/>
      <c r="L1976" s="49"/>
      <c r="M1976" s="1498"/>
      <c r="N1976" s="49"/>
      <c r="O1976" s="644"/>
      <c r="P1976" s="644"/>
      <c r="Q1976" s="644"/>
      <c r="R1976" s="644"/>
      <c r="S1976" s="48"/>
      <c r="T1976" s="1162"/>
      <c r="U1976" s="48"/>
      <c r="V1976" s="49"/>
    </row>
    <row r="1977" spans="7:22">
      <c r="G1977" s="48"/>
      <c r="H1977" s="48"/>
      <c r="I1977" s="48"/>
      <c r="J1977" s="49"/>
      <c r="K1977" s="1495"/>
      <c r="L1977" s="49"/>
      <c r="M1977" s="1498"/>
      <c r="N1977" s="49"/>
      <c r="O1977" s="644"/>
      <c r="P1977" s="644"/>
      <c r="Q1977" s="644"/>
      <c r="R1977" s="644"/>
      <c r="S1977" s="48"/>
      <c r="T1977" s="1162"/>
      <c r="U1977" s="48"/>
      <c r="V1977" s="49"/>
    </row>
    <row r="1978" spans="7:22">
      <c r="G1978" s="48"/>
      <c r="H1978" s="48"/>
      <c r="I1978" s="48"/>
      <c r="J1978" s="49"/>
      <c r="K1978" s="1498"/>
      <c r="L1978" s="49"/>
      <c r="M1978" s="1498"/>
      <c r="N1978" s="49"/>
      <c r="O1978" s="644"/>
      <c r="P1978" s="644"/>
      <c r="Q1978" s="644"/>
      <c r="R1978" s="644"/>
      <c r="S1978" s="48"/>
      <c r="T1978" s="1162"/>
      <c r="U1978" s="48"/>
      <c r="V1978" s="49"/>
    </row>
    <row r="1979" spans="7:22">
      <c r="G1979" s="48"/>
      <c r="H1979" s="48"/>
      <c r="I1979" s="48"/>
      <c r="J1979" s="49"/>
      <c r="K1979" s="1498"/>
      <c r="L1979" s="49"/>
      <c r="M1979" s="1498"/>
      <c r="N1979" s="49"/>
      <c r="O1979" s="644"/>
      <c r="P1979" s="644"/>
      <c r="Q1979" s="644"/>
      <c r="R1979" s="644"/>
      <c r="S1979" s="48"/>
      <c r="T1979" s="1162"/>
      <c r="U1979" s="48"/>
      <c r="V1979" s="48"/>
    </row>
    <row r="1980" spans="7:22">
      <c r="G1980" s="48"/>
      <c r="H1980" s="48"/>
      <c r="I1980" s="48"/>
      <c r="J1980" s="49"/>
      <c r="K1980" s="49"/>
      <c r="L1980" s="49"/>
      <c r="M1980" s="1498"/>
      <c r="N1980" s="49"/>
      <c r="O1980" s="644"/>
      <c r="P1980" s="644"/>
      <c r="Q1980" s="644"/>
      <c r="R1980" s="644"/>
      <c r="S1980" s="48"/>
      <c r="T1980" s="1162"/>
      <c r="U1980" s="48"/>
      <c r="V1980" s="48"/>
    </row>
    <row r="1981" spans="7:22">
      <c r="G1981" s="48"/>
      <c r="H1981" s="48"/>
      <c r="I1981" s="48"/>
      <c r="J1981" s="954">
        <f>SUM(J1969:J1977)</f>
        <v>211000000</v>
      </c>
      <c r="K1981" s="954"/>
      <c r="L1981" s="954">
        <f>SUM(L1969:L1980)</f>
        <v>0</v>
      </c>
      <c r="M1981" s="1498"/>
      <c r="N1981" s="954">
        <f>SUM(N1969:N1980)</f>
        <v>211000000</v>
      </c>
      <c r="O1981" s="644"/>
      <c r="P1981" s="969">
        <f>SUM(P1969:P1975)</f>
        <v>0</v>
      </c>
      <c r="Q1981" s="969"/>
      <c r="R1981" s="969">
        <f>SUM(R1969:R1975)</f>
        <v>13284000</v>
      </c>
      <c r="S1981" s="48"/>
      <c r="T1981" s="1162">
        <f>SUM(T1969:T1980)</f>
        <v>2500</v>
      </c>
      <c r="U1981" s="48"/>
      <c r="V1981" s="878">
        <f>SUM(V1969:V1980)</f>
        <v>0</v>
      </c>
    </row>
    <row r="1982" spans="7:22">
      <c r="T1982" s="1161"/>
    </row>
    <row r="1983" spans="7:22">
      <c r="T1983" s="1161"/>
    </row>
    <row r="1984" spans="7:22">
      <c r="R1984" s="661"/>
      <c r="T1984" s="1161"/>
    </row>
    <row r="1985" spans="7:20">
      <c r="T1985" s="1161"/>
    </row>
    <row r="1986" spans="7:20">
      <c r="T1986" s="1161"/>
    </row>
    <row r="1987" spans="7:20">
      <c r="I1987" s="946"/>
      <c r="M1987" s="1533" t="s">
        <v>3699</v>
      </c>
      <c r="O1987" s="1535" t="s">
        <v>3741</v>
      </c>
      <c r="P1987" s="1512"/>
      <c r="S1987" s="906" t="s">
        <v>4049</v>
      </c>
      <c r="T1987" s="1107">
        <f>T1981-V1981</f>
        <v>2500</v>
      </c>
    </row>
    <row r="1988" spans="7:20">
      <c r="G1988" s="1574" t="s">
        <v>3530</v>
      </c>
      <c r="H1988" s="1574"/>
      <c r="I1988" s="1574"/>
      <c r="J1988" s="3">
        <f>J1981+L1981</f>
        <v>211000000</v>
      </c>
      <c r="K1988" s="1009"/>
      <c r="L1988" s="3"/>
      <c r="M1988" s="1533" t="s">
        <v>3664</v>
      </c>
      <c r="N1988" s="1527"/>
      <c r="O1988" s="1535" t="s">
        <v>4066</v>
      </c>
      <c r="P1988" s="1512"/>
      <c r="T1988" s="1161"/>
    </row>
    <row r="1989" spans="7:20">
      <c r="G1989" s="1574" t="s">
        <v>3512</v>
      </c>
      <c r="H1989" s="1574"/>
      <c r="I1989" s="1574"/>
      <c r="J1989" s="3">
        <f>N1981-J1988</f>
        <v>0</v>
      </c>
      <c r="K1989" s="1009"/>
      <c r="L1989" s="3"/>
      <c r="M1989" s="1528"/>
      <c r="O1989" s="1529"/>
      <c r="Q1989" s="661"/>
      <c r="T1989" s="1161"/>
    </row>
    <row r="1990" spans="7:20">
      <c r="G1990" s="1574" t="s">
        <v>3531</v>
      </c>
      <c r="H1990" s="1574"/>
      <c r="I1990" s="1574"/>
      <c r="J1990" s="3">
        <f>T1987</f>
        <v>2500</v>
      </c>
      <c r="Q1990" s="3"/>
      <c r="T1990" s="1161"/>
    </row>
    <row r="1991" spans="7:20">
      <c r="G1991" s="5"/>
      <c r="H1991" s="5"/>
      <c r="I1991" s="1160"/>
      <c r="T1991" s="1161"/>
    </row>
    <row r="2006" spans="7:22">
      <c r="G2006" s="1008">
        <v>45987</v>
      </c>
      <c r="H2006" s="1169"/>
      <c r="I2006" s="1575" t="s">
        <v>3510</v>
      </c>
      <c r="J2006" s="1576"/>
      <c r="K2006" s="1575" t="s">
        <v>3509</v>
      </c>
      <c r="L2006" s="1576"/>
      <c r="M2006" s="1575" t="s">
        <v>3541</v>
      </c>
      <c r="N2006" s="1576"/>
      <c r="O2006" s="1577" t="s">
        <v>3598</v>
      </c>
      <c r="P2006" s="1578"/>
      <c r="Q2006" s="1579" t="s">
        <v>3599</v>
      </c>
      <c r="R2006" s="1580"/>
      <c r="S2006" s="1583" t="s">
        <v>3953</v>
      </c>
      <c r="T2006" s="1583"/>
      <c r="U2006" s="1583" t="s">
        <v>3954</v>
      </c>
      <c r="V2006" s="1583"/>
    </row>
    <row r="2007" spans="7:22">
      <c r="G2007" s="1097"/>
      <c r="H2007" s="1170"/>
      <c r="I2007" s="1174" t="s">
        <v>4162</v>
      </c>
      <c r="J2007" s="49">
        <v>28050000</v>
      </c>
      <c r="K2007" s="1495" t="s">
        <v>4160</v>
      </c>
      <c r="L2007" s="49">
        <v>1000000</v>
      </c>
      <c r="M2007" s="1495" t="s">
        <v>3512</v>
      </c>
      <c r="N2007" s="49">
        <v>200000000</v>
      </c>
      <c r="O2007" s="1383" t="s">
        <v>3829</v>
      </c>
      <c r="P2007" s="644">
        <v>60000000</v>
      </c>
      <c r="Q2007" s="1173" t="s">
        <v>3899</v>
      </c>
      <c r="R2007" s="644">
        <v>2600000</v>
      </c>
      <c r="S2007" s="1175" t="s">
        <v>3512</v>
      </c>
      <c r="T2007" s="49">
        <v>9000</v>
      </c>
      <c r="V2007" s="48"/>
    </row>
    <row r="2008" spans="7:22">
      <c r="G2008" s="1098"/>
      <c r="H2008" s="1172"/>
      <c r="I2008" s="1174" t="s">
        <v>4163</v>
      </c>
      <c r="J2008" s="49">
        <v>30000000</v>
      </c>
      <c r="K2008" s="1495" t="s">
        <v>4161</v>
      </c>
      <c r="L2008" s="49">
        <v>4400000</v>
      </c>
      <c r="M2008" s="1493"/>
      <c r="N2008" s="49"/>
      <c r="O2008" s="1164"/>
      <c r="P2008" s="644"/>
      <c r="Q2008" s="1173" t="s">
        <v>3363</v>
      </c>
      <c r="R2008" s="644">
        <v>60000</v>
      </c>
      <c r="S2008" s="48" t="s">
        <v>4156</v>
      </c>
      <c r="T2008" s="1162">
        <v>1000</v>
      </c>
      <c r="U2008" s="48" t="s">
        <v>4158</v>
      </c>
      <c r="V2008" s="49">
        <v>2000</v>
      </c>
    </row>
    <row r="2009" spans="7:22">
      <c r="G2009" s="48"/>
      <c r="H2009" s="48"/>
      <c r="I2009" s="1172" t="s">
        <v>4164</v>
      </c>
      <c r="J2009" s="49">
        <v>27700000</v>
      </c>
      <c r="K2009" s="1495" t="s">
        <v>4165</v>
      </c>
      <c r="L2009" s="49">
        <v>1000000</v>
      </c>
      <c r="M2009" s="1493"/>
      <c r="N2009" s="49"/>
      <c r="O2009" s="1180"/>
      <c r="P2009" s="644"/>
      <c r="Q2009" s="1173" t="s">
        <v>3455</v>
      </c>
      <c r="R2009" s="644">
        <v>700000</v>
      </c>
      <c r="S2009" s="1141"/>
      <c r="T2009" s="1162"/>
      <c r="U2009" s="1078"/>
      <c r="V2009" s="49"/>
    </row>
    <row r="2010" spans="7:22">
      <c r="G2010" s="48"/>
      <c r="H2010" s="48"/>
      <c r="I2010" s="1174" t="s">
        <v>4159</v>
      </c>
      <c r="J2010" s="49">
        <v>20000000</v>
      </c>
      <c r="K2010" s="1495" t="s">
        <v>4166</v>
      </c>
      <c r="L2010" s="49">
        <v>1000000</v>
      </c>
      <c r="M2010" s="1493"/>
      <c r="N2010" s="49"/>
      <c r="O2010" s="644"/>
      <c r="P2010" s="644"/>
      <c r="Q2010" s="1176" t="s">
        <v>4051</v>
      </c>
      <c r="R2010" s="644">
        <v>28000000</v>
      </c>
      <c r="S2010" s="48"/>
      <c r="T2010" s="1162"/>
      <c r="U2010" s="48"/>
      <c r="V2010" s="49"/>
    </row>
    <row r="2011" spans="7:22">
      <c r="G2011" s="48"/>
      <c r="H2011" s="48"/>
      <c r="I2011" s="1172" t="s">
        <v>4167</v>
      </c>
      <c r="J2011" s="990">
        <v>85000000</v>
      </c>
      <c r="K2011" s="1495" t="s">
        <v>3363</v>
      </c>
      <c r="L2011" s="49">
        <v>300000</v>
      </c>
      <c r="M2011" s="1498"/>
      <c r="N2011" s="49"/>
      <c r="O2011" s="644"/>
      <c r="P2011" s="644"/>
      <c r="Q2011" s="1176" t="s">
        <v>4051</v>
      </c>
      <c r="R2011" s="644">
        <v>10000000</v>
      </c>
      <c r="S2011" s="48"/>
      <c r="T2011" s="1162"/>
      <c r="U2011" s="48"/>
      <c r="V2011" s="49"/>
    </row>
    <row r="2012" spans="7:22">
      <c r="G2012" s="48"/>
      <c r="H2012" s="48"/>
      <c r="I2012" s="1172"/>
      <c r="J2012" s="49"/>
      <c r="K2012" s="1532" t="s">
        <v>4168</v>
      </c>
      <c r="L2012" s="49">
        <v>200000</v>
      </c>
      <c r="M2012" s="1495"/>
      <c r="N2012" s="49"/>
      <c r="O2012" s="644"/>
      <c r="P2012" s="644"/>
      <c r="Q2012" s="1176" t="s">
        <v>4051</v>
      </c>
      <c r="R2012" s="644">
        <v>3690000</v>
      </c>
      <c r="S2012" s="48"/>
      <c r="T2012" s="1162"/>
      <c r="U2012" s="48"/>
      <c r="V2012" s="49"/>
    </row>
    <row r="2013" spans="7:22">
      <c r="G2013" s="48"/>
      <c r="H2013" s="48"/>
      <c r="I2013" s="1074"/>
      <c r="J2013" s="49"/>
      <c r="K2013" s="1495"/>
      <c r="L2013" s="49"/>
      <c r="M2013" s="1498"/>
      <c r="N2013" s="49"/>
      <c r="O2013" s="644"/>
      <c r="P2013" s="644"/>
      <c r="Q2013" s="1176" t="s">
        <v>4051</v>
      </c>
      <c r="R2013" s="644">
        <v>5000000</v>
      </c>
      <c r="S2013" s="48"/>
      <c r="T2013" s="1162"/>
      <c r="U2013" s="48"/>
      <c r="V2013" s="49"/>
    </row>
    <row r="2014" spans="7:22">
      <c r="G2014" s="48"/>
      <c r="H2014" s="48"/>
      <c r="I2014" s="1074"/>
      <c r="J2014" s="49"/>
      <c r="K2014" s="1532"/>
      <c r="L2014" s="49"/>
      <c r="M2014" s="1498"/>
      <c r="N2014" s="49"/>
      <c r="O2014" s="644"/>
      <c r="P2014" s="644"/>
      <c r="Q2014" s="644" t="s">
        <v>4167</v>
      </c>
      <c r="R2014" s="644">
        <v>8000000</v>
      </c>
      <c r="S2014" s="48"/>
      <c r="T2014" s="1162"/>
      <c r="U2014" s="48"/>
      <c r="V2014" s="49"/>
    </row>
    <row r="2015" spans="7:22">
      <c r="G2015" s="48"/>
      <c r="H2015" s="48"/>
      <c r="I2015" s="48"/>
      <c r="J2015" s="49"/>
      <c r="K2015" s="1495"/>
      <c r="L2015" s="49"/>
      <c r="M2015" s="1498"/>
      <c r="N2015" s="49"/>
      <c r="O2015" s="644"/>
      <c r="P2015" s="644"/>
      <c r="Q2015" s="644"/>
      <c r="R2015" s="644"/>
      <c r="S2015" s="48"/>
      <c r="T2015" s="1162"/>
      <c r="U2015" s="48"/>
      <c r="V2015" s="49"/>
    </row>
    <row r="2016" spans="7:22">
      <c r="G2016" s="48"/>
      <c r="H2016" s="48"/>
      <c r="I2016" s="48"/>
      <c r="J2016" s="49"/>
      <c r="K2016" s="1498"/>
      <c r="L2016" s="49"/>
      <c r="M2016" s="1498"/>
      <c r="N2016" s="49"/>
      <c r="O2016" s="644"/>
      <c r="P2016" s="644"/>
      <c r="Q2016" s="644"/>
      <c r="R2016" s="644"/>
      <c r="S2016" s="48"/>
      <c r="T2016" s="1162"/>
      <c r="U2016" s="48"/>
      <c r="V2016" s="49"/>
    </row>
    <row r="2017" spans="7:22">
      <c r="G2017" s="48"/>
      <c r="H2017" s="48"/>
      <c r="I2017" s="48"/>
      <c r="J2017" s="49"/>
      <c r="K2017" s="1498"/>
      <c r="L2017" s="49"/>
      <c r="M2017" s="1498"/>
      <c r="N2017" s="49"/>
      <c r="O2017" s="644"/>
      <c r="P2017" s="644"/>
      <c r="Q2017" s="644"/>
      <c r="R2017" s="644"/>
      <c r="S2017" s="48"/>
      <c r="T2017" s="1162"/>
      <c r="U2017" s="48"/>
      <c r="V2017" s="48"/>
    </row>
    <row r="2018" spans="7:22">
      <c r="G2018" s="48"/>
      <c r="H2018" s="48"/>
      <c r="I2018" s="48"/>
      <c r="J2018" s="49"/>
      <c r="K2018" s="49"/>
      <c r="L2018" s="49"/>
      <c r="M2018" s="1498"/>
      <c r="N2018" s="49"/>
      <c r="O2018" s="644"/>
      <c r="P2018" s="644"/>
      <c r="Q2018" s="644"/>
      <c r="R2018" s="644"/>
      <c r="S2018" s="48"/>
      <c r="T2018" s="1162"/>
      <c r="U2018" s="48"/>
      <c r="V2018" s="48"/>
    </row>
    <row r="2019" spans="7:22">
      <c r="G2019" s="48"/>
      <c r="H2019" s="48"/>
      <c r="I2019" s="48"/>
      <c r="J2019" s="954">
        <f>SUM(J2007:J2015)</f>
        <v>190750000</v>
      </c>
      <c r="K2019" s="954"/>
      <c r="L2019" s="954">
        <f>SUM(L2007:L2018)</f>
        <v>7900000</v>
      </c>
      <c r="M2019" s="1498"/>
      <c r="N2019" s="954">
        <f>SUM(N2007:N2018)</f>
        <v>200000000</v>
      </c>
      <c r="O2019" s="644"/>
      <c r="P2019" s="969">
        <f>SUM(P2007:P2013)</f>
        <v>60000000</v>
      </c>
      <c r="Q2019" s="969"/>
      <c r="R2019" s="969">
        <f>SUM(R2007:R2013)</f>
        <v>50050000</v>
      </c>
      <c r="S2019" s="48"/>
      <c r="T2019" s="1178">
        <f>SUM(T2007:T2018)</f>
        <v>10000</v>
      </c>
      <c r="U2019" s="48"/>
      <c r="V2019" s="878">
        <f>SUM(V2007:V2018)</f>
        <v>2000</v>
      </c>
    </row>
    <row r="2020" spans="7:22">
      <c r="T2020" s="1161"/>
    </row>
    <row r="2021" spans="7:22">
      <c r="T2021" s="1161"/>
    </row>
    <row r="2022" spans="7:22">
      <c r="R2022" s="661"/>
      <c r="T2022" s="1161"/>
    </row>
    <row r="2023" spans="7:22">
      <c r="T2023" s="1161"/>
    </row>
    <row r="2024" spans="7:22">
      <c r="T2024" s="1161"/>
    </row>
    <row r="2025" spans="7:22">
      <c r="I2025" s="946"/>
      <c r="M2025" s="1533" t="s">
        <v>3699</v>
      </c>
      <c r="O2025" s="1535" t="s">
        <v>3741</v>
      </c>
      <c r="P2025" s="1512">
        <v>0</v>
      </c>
      <c r="S2025" s="906" t="s">
        <v>4049</v>
      </c>
      <c r="T2025" s="1107">
        <f>T2019-V2019</f>
        <v>8000</v>
      </c>
    </row>
    <row r="2026" spans="7:22">
      <c r="G2026" s="1574" t="s">
        <v>3530</v>
      </c>
      <c r="H2026" s="1574"/>
      <c r="I2026" s="1574"/>
      <c r="J2026" s="3">
        <f>J2019+L2019</f>
        <v>198650000</v>
      </c>
      <c r="K2026" s="1009"/>
      <c r="L2026" s="3"/>
      <c r="M2026" s="1533" t="s">
        <v>3664</v>
      </c>
      <c r="N2026" s="1527"/>
      <c r="O2026" s="1535" t="s">
        <v>4066</v>
      </c>
      <c r="P2026" s="1512">
        <v>25071000</v>
      </c>
      <c r="T2026" s="1161"/>
    </row>
    <row r="2027" spans="7:22">
      <c r="G2027" s="1574" t="s">
        <v>3512</v>
      </c>
      <c r="H2027" s="1574"/>
      <c r="I2027" s="1574"/>
      <c r="J2027" s="3">
        <f>N2019-J2026</f>
        <v>1350000</v>
      </c>
      <c r="K2027" s="1009"/>
      <c r="L2027" s="3"/>
      <c r="M2027" s="1528"/>
      <c r="O2027" s="1529"/>
      <c r="Q2027" s="661"/>
      <c r="T2027" s="1161"/>
    </row>
    <row r="2028" spans="7:22">
      <c r="G2028" s="1574" t="s">
        <v>3531</v>
      </c>
      <c r="H2028" s="1574"/>
      <c r="I2028" s="1574"/>
      <c r="J2028" s="3">
        <f>T2025</f>
        <v>8000</v>
      </c>
      <c r="Q2028" s="3"/>
      <c r="T2028" s="1161"/>
    </row>
    <row r="2029" spans="7:22">
      <c r="G2029" s="5"/>
      <c r="H2029" s="5"/>
      <c r="I2029" s="1160"/>
      <c r="T2029" s="1161"/>
    </row>
    <row r="2039" spans="7:22">
      <c r="G2039" s="1008">
        <v>45988</v>
      </c>
      <c r="H2039" s="1169"/>
      <c r="I2039" s="1575" t="s">
        <v>3510</v>
      </c>
      <c r="J2039" s="1576"/>
      <c r="K2039" s="1575" t="s">
        <v>3509</v>
      </c>
      <c r="L2039" s="1576"/>
      <c r="M2039" s="1575" t="s">
        <v>3541</v>
      </c>
      <c r="N2039" s="1576"/>
      <c r="O2039" s="1577" t="s">
        <v>3598</v>
      </c>
      <c r="P2039" s="1578"/>
      <c r="Q2039" s="1579" t="s">
        <v>3599</v>
      </c>
      <c r="R2039" s="1580"/>
      <c r="S2039" s="1583" t="s">
        <v>3953</v>
      </c>
      <c r="T2039" s="1583"/>
      <c r="U2039" s="1583" t="s">
        <v>3954</v>
      </c>
      <c r="V2039" s="1583"/>
    </row>
    <row r="2040" spans="7:22">
      <c r="G2040" s="1097"/>
      <c r="H2040" s="1170"/>
      <c r="I2040" s="1174" t="s">
        <v>4051</v>
      </c>
      <c r="J2040" s="49">
        <v>170000000</v>
      </c>
      <c r="K2040" s="1495" t="s">
        <v>4170</v>
      </c>
      <c r="L2040" s="49">
        <v>6500000</v>
      </c>
      <c r="M2040" s="1495" t="s">
        <v>3512</v>
      </c>
      <c r="N2040" s="49">
        <v>200000000</v>
      </c>
      <c r="O2040" s="1383"/>
      <c r="P2040" s="644"/>
      <c r="Q2040" s="1173" t="s">
        <v>3312</v>
      </c>
      <c r="R2040" s="644">
        <v>500000</v>
      </c>
      <c r="S2040" s="1175" t="s">
        <v>4169</v>
      </c>
      <c r="T2040" s="49">
        <v>4000</v>
      </c>
      <c r="U2040" t="s">
        <v>3856</v>
      </c>
      <c r="V2040" s="48">
        <v>2500</v>
      </c>
    </row>
    <row r="2041" spans="7:22">
      <c r="G2041" s="1098"/>
      <c r="H2041" s="1172"/>
      <c r="I2041" s="1174" t="s">
        <v>4172</v>
      </c>
      <c r="J2041" s="49">
        <v>93000000</v>
      </c>
      <c r="K2041" s="1495" t="s">
        <v>3363</v>
      </c>
      <c r="L2041" s="49">
        <v>1000000</v>
      </c>
      <c r="M2041" s="1493" t="s">
        <v>3897</v>
      </c>
      <c r="N2041" s="49">
        <v>563400000</v>
      </c>
      <c r="O2041" s="1164"/>
      <c r="P2041" s="644"/>
      <c r="Q2041" s="1173" t="s">
        <v>3394</v>
      </c>
      <c r="R2041" s="644">
        <v>400000</v>
      </c>
      <c r="S2041" s="48" t="s">
        <v>4176</v>
      </c>
      <c r="T2041" s="1162">
        <v>2000</v>
      </c>
      <c r="U2041" s="48"/>
      <c r="V2041" s="49"/>
    </row>
    <row r="2042" spans="7:22">
      <c r="G2042" s="48"/>
      <c r="H2042" s="48"/>
      <c r="I2042" s="1172" t="s">
        <v>4171</v>
      </c>
      <c r="J2042" s="49">
        <v>72000000</v>
      </c>
      <c r="K2042" s="1495" t="s">
        <v>3532</v>
      </c>
      <c r="L2042" s="49">
        <v>500000</v>
      </c>
      <c r="M2042" s="1493"/>
      <c r="N2042" s="49"/>
      <c r="O2042" s="1180"/>
      <c r="P2042" s="644"/>
      <c r="Q2042" s="1173" t="s">
        <v>3394</v>
      </c>
      <c r="R2042" s="644">
        <v>200000</v>
      </c>
      <c r="S2042" s="1179" t="s">
        <v>3955</v>
      </c>
      <c r="T2042" s="1162">
        <v>8000</v>
      </c>
      <c r="U2042" s="1078"/>
      <c r="V2042" s="49"/>
    </row>
    <row r="2043" spans="7:22">
      <c r="G2043" s="48"/>
      <c r="H2043" s="48"/>
      <c r="I2043" s="1174" t="s">
        <v>4173</v>
      </c>
      <c r="J2043" s="49">
        <v>23000000</v>
      </c>
      <c r="K2043" s="1495" t="s">
        <v>3659</v>
      </c>
      <c r="L2043" s="49">
        <v>1000000</v>
      </c>
      <c r="M2043" s="1493"/>
      <c r="N2043" s="49"/>
      <c r="O2043" s="644"/>
      <c r="P2043" s="644"/>
      <c r="Q2043" s="1176"/>
      <c r="R2043" s="644"/>
      <c r="S2043" s="48"/>
      <c r="T2043" s="1162"/>
      <c r="U2043" s="48"/>
      <c r="V2043" s="49"/>
    </row>
    <row r="2044" spans="7:22">
      <c r="G2044" s="48"/>
      <c r="H2044" s="48"/>
      <c r="I2044" s="1172" t="s">
        <v>4174</v>
      </c>
      <c r="J2044" s="990">
        <v>30270000</v>
      </c>
      <c r="K2044" s="1495"/>
      <c r="L2044" s="49"/>
      <c r="M2044" s="1498"/>
      <c r="N2044" s="49"/>
      <c r="O2044" s="644"/>
      <c r="P2044" s="644"/>
      <c r="Q2044" s="1176"/>
      <c r="R2044" s="644"/>
      <c r="S2044" s="48"/>
      <c r="T2044" s="1162"/>
      <c r="U2044" s="48"/>
      <c r="V2044" s="49"/>
    </row>
    <row r="2045" spans="7:22">
      <c r="G2045" s="48"/>
      <c r="H2045" s="48"/>
      <c r="I2045" s="1172" t="s">
        <v>4175</v>
      </c>
      <c r="J2045" s="49">
        <v>23000000</v>
      </c>
      <c r="K2045" s="1532"/>
      <c r="L2045" s="49"/>
      <c r="M2045" s="1495"/>
      <c r="N2045" s="49"/>
      <c r="O2045" s="644"/>
      <c r="P2045" s="644"/>
      <c r="Q2045" s="1176"/>
      <c r="R2045" s="644"/>
      <c r="S2045" s="48"/>
      <c r="T2045" s="1162"/>
      <c r="U2045" s="48"/>
      <c r="V2045" s="49"/>
    </row>
    <row r="2046" spans="7:22">
      <c r="G2046" s="48"/>
      <c r="H2046" s="48"/>
      <c r="I2046" s="1074"/>
      <c r="J2046" s="49"/>
      <c r="K2046" s="1495"/>
      <c r="L2046" s="49"/>
      <c r="M2046" s="1498"/>
      <c r="N2046" s="49"/>
      <c r="O2046" s="644"/>
      <c r="P2046" s="644"/>
      <c r="Q2046" s="1176"/>
      <c r="R2046" s="644"/>
      <c r="S2046" s="48"/>
      <c r="T2046" s="1162"/>
      <c r="U2046" s="48"/>
      <c r="V2046" s="49"/>
    </row>
    <row r="2047" spans="7:22">
      <c r="G2047" s="48"/>
      <c r="H2047" s="48"/>
      <c r="I2047" s="1074"/>
      <c r="J2047" s="49"/>
      <c r="K2047" s="1532"/>
      <c r="L2047" s="49"/>
      <c r="M2047" s="1498"/>
      <c r="N2047" s="49"/>
      <c r="O2047" s="644"/>
      <c r="P2047" s="644"/>
      <c r="Q2047" s="644"/>
      <c r="R2047" s="644"/>
      <c r="S2047" s="48"/>
      <c r="T2047" s="1162"/>
      <c r="U2047" s="48"/>
      <c r="V2047" s="49"/>
    </row>
    <row r="2048" spans="7:22">
      <c r="G2048" s="48"/>
      <c r="H2048" s="48"/>
      <c r="I2048" s="48"/>
      <c r="J2048" s="49"/>
      <c r="K2048" s="1495"/>
      <c r="L2048" s="49"/>
      <c r="M2048" s="1498"/>
      <c r="N2048" s="49"/>
      <c r="O2048" s="644"/>
      <c r="P2048" s="644"/>
      <c r="Q2048" s="644"/>
      <c r="R2048" s="644"/>
      <c r="S2048" s="48"/>
      <c r="T2048" s="1162"/>
      <c r="U2048" s="48"/>
      <c r="V2048" s="49"/>
    </row>
    <row r="2049" spans="7:22">
      <c r="G2049" s="48"/>
      <c r="H2049" s="48"/>
      <c r="I2049" s="48"/>
      <c r="J2049" s="49"/>
      <c r="K2049" s="1498"/>
      <c r="L2049" s="49"/>
      <c r="M2049" s="1498"/>
      <c r="N2049" s="49"/>
      <c r="O2049" s="644"/>
      <c r="P2049" s="644"/>
      <c r="Q2049" s="644"/>
      <c r="R2049" s="644"/>
      <c r="S2049" s="48"/>
      <c r="T2049" s="1162"/>
      <c r="U2049" s="48"/>
      <c r="V2049" s="49"/>
    </row>
    <row r="2050" spans="7:22">
      <c r="G2050" s="48"/>
      <c r="H2050" s="48"/>
      <c r="I2050" s="48"/>
      <c r="J2050" s="49"/>
      <c r="K2050" s="1498"/>
      <c r="L2050" s="49"/>
      <c r="M2050" s="1498"/>
      <c r="N2050" s="49"/>
      <c r="O2050" s="644"/>
      <c r="P2050" s="644"/>
      <c r="Q2050" s="644"/>
      <c r="R2050" s="644"/>
      <c r="S2050" s="48"/>
      <c r="T2050" s="1162"/>
      <c r="U2050" s="48"/>
      <c r="V2050" s="48"/>
    </row>
    <row r="2051" spans="7:22">
      <c r="G2051" s="48"/>
      <c r="H2051" s="48"/>
      <c r="I2051" s="48"/>
      <c r="J2051" s="49"/>
      <c r="K2051" s="49"/>
      <c r="L2051" s="49"/>
      <c r="M2051" s="1498"/>
      <c r="N2051" s="49"/>
      <c r="O2051" s="644"/>
      <c r="P2051" s="644"/>
      <c r="Q2051" s="644"/>
      <c r="R2051" s="644"/>
      <c r="S2051" s="48"/>
      <c r="T2051" s="1162"/>
      <c r="U2051" s="48"/>
      <c r="V2051" s="48"/>
    </row>
    <row r="2052" spans="7:22">
      <c r="G2052" s="48"/>
      <c r="H2052" s="48"/>
      <c r="I2052" s="48"/>
      <c r="J2052" s="954">
        <f>SUM(J2040:J2048)</f>
        <v>411270000</v>
      </c>
      <c r="K2052" s="954"/>
      <c r="L2052" s="954">
        <f>SUM(L2040:L2051)</f>
        <v>9000000</v>
      </c>
      <c r="M2052" s="1498"/>
      <c r="N2052" s="954">
        <f>SUM(N2040:N2051)</f>
        <v>763400000</v>
      </c>
      <c r="O2052" s="644"/>
      <c r="P2052" s="969">
        <f>SUM(P2040:P2046)</f>
        <v>0</v>
      </c>
      <c r="Q2052" s="969"/>
      <c r="R2052" s="969">
        <f>SUM(R2040:R2046)</f>
        <v>1100000</v>
      </c>
      <c r="S2052" s="48"/>
      <c r="T2052" s="1178">
        <f>SUM(T2040:T2051)</f>
        <v>14000</v>
      </c>
      <c r="U2052" s="48"/>
      <c r="V2052" s="878">
        <f>SUM(V2040:V2051)</f>
        <v>2500</v>
      </c>
    </row>
    <row r="2053" spans="7:22">
      <c r="T2053" s="1161"/>
    </row>
    <row r="2054" spans="7:22">
      <c r="T2054" s="1161"/>
    </row>
    <row r="2055" spans="7:22">
      <c r="R2055" s="661"/>
      <c r="T2055" s="1161"/>
    </row>
    <row r="2056" spans="7:22">
      <c r="T2056" s="1161"/>
    </row>
    <row r="2057" spans="7:22">
      <c r="T2057" s="1161"/>
    </row>
    <row r="2058" spans="7:22">
      <c r="I2058" s="946"/>
      <c r="M2058" s="1533" t="s">
        <v>3699</v>
      </c>
      <c r="O2058" s="1535" t="s">
        <v>3741</v>
      </c>
      <c r="P2058" s="1512">
        <v>0</v>
      </c>
      <c r="S2058" s="906" t="s">
        <v>4049</v>
      </c>
      <c r="T2058" s="1107">
        <f>T2052-V2052</f>
        <v>11500</v>
      </c>
    </row>
    <row r="2059" spans="7:22">
      <c r="G2059" s="1574" t="s">
        <v>3530</v>
      </c>
      <c r="H2059" s="1574"/>
      <c r="I2059" s="1574"/>
      <c r="J2059" s="3">
        <f>J2052+L2052</f>
        <v>420270000</v>
      </c>
      <c r="K2059" s="1009"/>
      <c r="L2059" s="3"/>
      <c r="M2059" s="1533" t="s">
        <v>3664</v>
      </c>
      <c r="N2059" s="1527"/>
      <c r="O2059" s="1535" t="s">
        <v>4066</v>
      </c>
      <c r="P2059" s="1512">
        <v>14941000</v>
      </c>
      <c r="T2059" s="1161"/>
    </row>
    <row r="2060" spans="7:22">
      <c r="G2060" s="1574" t="s">
        <v>3512</v>
      </c>
      <c r="H2060" s="1574"/>
      <c r="I2060" s="1574"/>
      <c r="J2060" s="3">
        <f>N2052-J2059</f>
        <v>343130000</v>
      </c>
      <c r="K2060" s="1009"/>
      <c r="L2060" s="3"/>
      <c r="M2060" s="1528"/>
      <c r="O2060" s="1529"/>
      <c r="Q2060" s="661"/>
      <c r="T2060" s="1161"/>
    </row>
    <row r="2061" spans="7:22">
      <c r="G2061" s="1574" t="s">
        <v>3531</v>
      </c>
      <c r="H2061" s="1574"/>
      <c r="I2061" s="1574"/>
      <c r="J2061" s="3">
        <f>T2058</f>
        <v>11500</v>
      </c>
      <c r="Q2061" s="3"/>
      <c r="T2061" s="1161"/>
    </row>
    <row r="2062" spans="7:22">
      <c r="G2062" s="5"/>
      <c r="H2062" s="5"/>
      <c r="I2062" s="1160"/>
      <c r="T2062" s="1161"/>
    </row>
    <row r="2066" spans="7:22">
      <c r="J2066" s="3">
        <v>12000</v>
      </c>
      <c r="K2066" s="3">
        <f>J2066*3000</f>
        <v>36000000</v>
      </c>
    </row>
    <row r="2067" spans="7:22">
      <c r="J2067" s="3">
        <v>11950</v>
      </c>
      <c r="K2067" s="3">
        <f>J2067*3000</f>
        <v>35850000</v>
      </c>
    </row>
    <row r="2068" spans="7:22">
      <c r="K2068" s="3">
        <f>K2066-K2067</f>
        <v>150000</v>
      </c>
    </row>
    <row r="2073" spans="7:22">
      <c r="G2073" s="1008">
        <v>45989</v>
      </c>
      <c r="H2073" s="1169"/>
      <c r="I2073" s="1575" t="s">
        <v>3510</v>
      </c>
      <c r="J2073" s="1576"/>
      <c r="K2073" s="1575" t="s">
        <v>3509</v>
      </c>
      <c r="L2073" s="1576"/>
      <c r="M2073" s="1575" t="s">
        <v>3541</v>
      </c>
      <c r="N2073" s="1576"/>
      <c r="O2073" s="1577" t="s">
        <v>3598</v>
      </c>
      <c r="P2073" s="1578"/>
      <c r="Q2073" s="1579" t="s">
        <v>3599</v>
      </c>
      <c r="R2073" s="1580"/>
      <c r="S2073" s="1583" t="s">
        <v>3953</v>
      </c>
      <c r="T2073" s="1583"/>
      <c r="U2073" s="1583" t="s">
        <v>3954</v>
      </c>
      <c r="V2073" s="1583"/>
    </row>
    <row r="2074" spans="7:22">
      <c r="G2074" s="1097"/>
      <c r="H2074" s="1170"/>
      <c r="I2074" s="1174" t="s">
        <v>4187</v>
      </c>
      <c r="J2074" s="49">
        <v>20700000</v>
      </c>
      <c r="K2074" s="1495" t="s">
        <v>4179</v>
      </c>
      <c r="L2074" s="49">
        <v>1600000</v>
      </c>
      <c r="M2074" s="1495" t="s">
        <v>3512</v>
      </c>
      <c r="N2074" s="49">
        <v>344000000</v>
      </c>
      <c r="O2074" s="1383" t="s">
        <v>3363</v>
      </c>
      <c r="P2074" s="644">
        <v>967000</v>
      </c>
      <c r="Q2074" s="1173" t="s">
        <v>4178</v>
      </c>
      <c r="R2074" s="644">
        <v>4500000</v>
      </c>
      <c r="S2074" s="1175" t="s">
        <v>4182</v>
      </c>
      <c r="T2074" s="49">
        <v>11500</v>
      </c>
      <c r="U2074" t="s">
        <v>4183</v>
      </c>
      <c r="V2074" s="48">
        <v>14000</v>
      </c>
    </row>
    <row r="2075" spans="7:22">
      <c r="G2075" s="1098"/>
      <c r="H2075" s="1172"/>
      <c r="I2075" s="1174" t="s">
        <v>4188</v>
      </c>
      <c r="J2075" s="49">
        <v>29700000</v>
      </c>
      <c r="K2075" s="1495" t="s">
        <v>4180</v>
      </c>
      <c r="L2075" s="49">
        <v>6180000</v>
      </c>
      <c r="M2075" s="1493"/>
      <c r="N2075" s="49"/>
      <c r="O2075" s="1383" t="s">
        <v>3363</v>
      </c>
      <c r="P2075" s="644">
        <v>1500000</v>
      </c>
      <c r="Q2075" s="1173" t="s">
        <v>3455</v>
      </c>
      <c r="R2075" s="644">
        <v>1000000</v>
      </c>
      <c r="S2075" s="48" t="s">
        <v>4156</v>
      </c>
      <c r="T2075" s="49">
        <v>3300</v>
      </c>
      <c r="U2075" s="48" t="s">
        <v>3404</v>
      </c>
      <c r="V2075" s="49">
        <v>100</v>
      </c>
    </row>
    <row r="2076" spans="7:22">
      <c r="G2076" s="48"/>
      <c r="H2076" s="48"/>
      <c r="I2076" s="1172" t="s">
        <v>4189</v>
      </c>
      <c r="J2076" s="49">
        <v>31350000</v>
      </c>
      <c r="K2076" s="1495" t="s">
        <v>4181</v>
      </c>
      <c r="L2076" s="49">
        <v>375000</v>
      </c>
      <c r="M2076" s="1493"/>
      <c r="N2076" s="49"/>
      <c r="O2076" s="1180" t="s">
        <v>3512</v>
      </c>
      <c r="P2076" s="644">
        <v>5533000</v>
      </c>
      <c r="Q2076" s="1173" t="s">
        <v>4193</v>
      </c>
      <c r="R2076" s="644">
        <v>2500000</v>
      </c>
      <c r="S2076" s="1179" t="s">
        <v>4184</v>
      </c>
      <c r="T2076" s="1162">
        <v>600</v>
      </c>
      <c r="U2076" s="1078"/>
      <c r="V2076" s="49"/>
    </row>
    <row r="2077" spans="7:22">
      <c r="G2077" s="48"/>
      <c r="H2077" s="48"/>
      <c r="I2077" s="1174" t="s">
        <v>4191</v>
      </c>
      <c r="J2077" s="49">
        <v>25750000</v>
      </c>
      <c r="K2077" s="1495" t="s">
        <v>4186</v>
      </c>
      <c r="L2077" s="49">
        <v>7170000</v>
      </c>
      <c r="M2077" s="1493"/>
      <c r="N2077" s="49"/>
      <c r="O2077" s="644"/>
      <c r="P2077" s="644"/>
      <c r="Q2077" s="1176"/>
      <c r="R2077" s="644"/>
      <c r="S2077" s="48" t="s">
        <v>4185</v>
      </c>
      <c r="T2077" s="1162">
        <v>700</v>
      </c>
      <c r="U2077" s="48"/>
      <c r="V2077" s="49"/>
    </row>
    <row r="2078" spans="7:22">
      <c r="G2078" s="48"/>
      <c r="H2078" s="48"/>
      <c r="I2078" s="1172" t="s">
        <v>4192</v>
      </c>
      <c r="J2078" s="990">
        <v>20700000</v>
      </c>
      <c r="K2078" s="1495" t="s">
        <v>4186</v>
      </c>
      <c r="L2078" s="49">
        <v>8400000</v>
      </c>
      <c r="M2078" s="1498"/>
      <c r="N2078" s="49"/>
      <c r="O2078" s="644"/>
      <c r="P2078" s="644"/>
      <c r="Q2078" s="1176"/>
      <c r="R2078" s="644"/>
      <c r="S2078" s="48" t="s">
        <v>4185</v>
      </c>
      <c r="T2078" s="1162">
        <v>100</v>
      </c>
      <c r="U2078" s="48"/>
      <c r="V2078" s="49"/>
    </row>
    <row r="2079" spans="7:22">
      <c r="G2079" s="48"/>
      <c r="H2079" s="48"/>
      <c r="I2079" s="1172"/>
      <c r="J2079" s="49"/>
      <c r="K2079" s="1495" t="s">
        <v>4186</v>
      </c>
      <c r="L2079" s="49">
        <v>1200000</v>
      </c>
      <c r="M2079" s="1495"/>
      <c r="N2079" s="49"/>
      <c r="O2079" s="644"/>
      <c r="P2079" s="644"/>
      <c r="Q2079" s="1176"/>
      <c r="R2079" s="644"/>
      <c r="S2079" s="48" t="s">
        <v>4185</v>
      </c>
      <c r="T2079" s="1162">
        <v>3000</v>
      </c>
      <c r="U2079" s="48"/>
      <c r="V2079" s="49"/>
    </row>
    <row r="2080" spans="7:22">
      <c r="G2080" s="48"/>
      <c r="H2080" s="48"/>
      <c r="I2080" s="1074"/>
      <c r="J2080" s="49"/>
      <c r="K2080" s="1495" t="s">
        <v>3532</v>
      </c>
      <c r="L2080" s="49">
        <v>3500000</v>
      </c>
      <c r="M2080" s="1498"/>
      <c r="N2080" s="49"/>
      <c r="O2080" s="644"/>
      <c r="P2080" s="644"/>
      <c r="Q2080" s="1176"/>
      <c r="R2080" s="644"/>
      <c r="S2080" s="48"/>
      <c r="T2080" s="1162"/>
      <c r="U2080" s="48"/>
      <c r="V2080" s="49"/>
    </row>
    <row r="2081" spans="7:22">
      <c r="G2081" s="48"/>
      <c r="H2081" s="48"/>
      <c r="I2081" s="1074"/>
      <c r="J2081" s="49"/>
      <c r="K2081" s="1532" t="s">
        <v>4186</v>
      </c>
      <c r="L2081" s="49">
        <v>35900000</v>
      </c>
      <c r="M2081" s="1498"/>
      <c r="N2081" s="49"/>
      <c r="O2081" s="644"/>
      <c r="P2081" s="644"/>
      <c r="Q2081" s="644"/>
      <c r="R2081" s="644"/>
      <c r="S2081" s="48"/>
      <c r="T2081" s="1162"/>
      <c r="U2081" s="48"/>
      <c r="V2081" s="49"/>
    </row>
    <row r="2082" spans="7:22">
      <c r="G2082" s="48"/>
      <c r="H2082" s="48"/>
      <c r="I2082" s="48"/>
      <c r="J2082" s="49"/>
      <c r="K2082" s="1495" t="s">
        <v>3659</v>
      </c>
      <c r="L2082" s="49">
        <v>2000000</v>
      </c>
      <c r="M2082" s="1498"/>
      <c r="N2082" s="49"/>
      <c r="O2082" s="644"/>
      <c r="P2082" s="644"/>
      <c r="Q2082" s="644"/>
      <c r="R2082" s="644"/>
      <c r="S2082" s="48"/>
      <c r="T2082" s="1162"/>
      <c r="U2082" s="48"/>
      <c r="V2082" s="49"/>
    </row>
    <row r="2083" spans="7:22">
      <c r="G2083" s="48"/>
      <c r="H2083" s="48"/>
      <c r="I2083" s="48"/>
      <c r="J2083" s="49"/>
      <c r="K2083" s="1495" t="s">
        <v>4190</v>
      </c>
      <c r="L2083" s="49">
        <v>2000000</v>
      </c>
      <c r="M2083" s="1498"/>
      <c r="N2083" s="49"/>
      <c r="O2083" s="644"/>
      <c r="P2083" s="644"/>
      <c r="Q2083" s="644"/>
      <c r="R2083" s="644"/>
      <c r="S2083" s="48"/>
      <c r="T2083" s="1162"/>
      <c r="U2083" s="48"/>
      <c r="V2083" s="49"/>
    </row>
    <row r="2084" spans="7:22">
      <c r="G2084" s="48"/>
      <c r="H2084" s="48"/>
      <c r="I2084" s="48"/>
      <c r="J2084" s="49"/>
      <c r="K2084" s="1498"/>
      <c r="L2084" s="49"/>
      <c r="M2084" s="1498"/>
      <c r="N2084" s="49"/>
      <c r="O2084" s="644"/>
      <c r="P2084" s="644"/>
      <c r="Q2084" s="644"/>
      <c r="R2084" s="644"/>
      <c r="S2084" s="48"/>
      <c r="T2084" s="1162"/>
      <c r="U2084" s="48"/>
      <c r="V2084" s="48"/>
    </row>
    <row r="2085" spans="7:22">
      <c r="G2085" s="48"/>
      <c r="H2085" s="48"/>
      <c r="I2085" s="48"/>
      <c r="J2085" s="49"/>
      <c r="K2085" s="49"/>
      <c r="L2085" s="49"/>
      <c r="M2085" s="1498"/>
      <c r="N2085" s="49"/>
      <c r="O2085" s="644"/>
      <c r="P2085" s="644"/>
      <c r="Q2085" s="644"/>
      <c r="R2085" s="644"/>
      <c r="S2085" s="48"/>
      <c r="T2085" s="1162"/>
      <c r="U2085" s="48"/>
      <c r="V2085" s="48"/>
    </row>
    <row r="2086" spans="7:22">
      <c r="G2086" s="48"/>
      <c r="H2086" s="48"/>
      <c r="I2086" s="48"/>
      <c r="J2086" s="954">
        <f>SUM(J2074:J2082)</f>
        <v>128200000</v>
      </c>
      <c r="K2086" s="954"/>
      <c r="L2086" s="954">
        <f>SUM(L2074:L2085)</f>
        <v>68325000</v>
      </c>
      <c r="M2086" s="1498"/>
      <c r="N2086" s="954">
        <f>SUM(N2074:N2085)</f>
        <v>344000000</v>
      </c>
      <c r="O2086" s="644"/>
      <c r="P2086" s="969">
        <f>SUM(P2074:P2080)</f>
        <v>8000000</v>
      </c>
      <c r="Q2086" s="969"/>
      <c r="R2086" s="969">
        <f>SUM(R2074:R2080)</f>
        <v>8000000</v>
      </c>
      <c r="S2086" s="48"/>
      <c r="T2086" s="1178">
        <f>SUM(T2074:T2085)</f>
        <v>19200</v>
      </c>
      <c r="U2086" s="48"/>
      <c r="V2086" s="878">
        <f>SUM(V2074:V2085)</f>
        <v>14100</v>
      </c>
    </row>
    <row r="2087" spans="7:22">
      <c r="T2087" s="1161"/>
    </row>
    <row r="2088" spans="7:22">
      <c r="T2088" s="1161"/>
    </row>
    <row r="2089" spans="7:22">
      <c r="R2089" s="661"/>
      <c r="T2089" s="1161"/>
    </row>
    <row r="2090" spans="7:22">
      <c r="T2090" s="1161"/>
    </row>
    <row r="2091" spans="7:22">
      <c r="T2091" s="1161"/>
    </row>
    <row r="2092" spans="7:22">
      <c r="I2092" s="946"/>
      <c r="M2092" s="1533" t="s">
        <v>3699</v>
      </c>
      <c r="O2092" s="1535" t="s">
        <v>3741</v>
      </c>
      <c r="P2092" s="1512">
        <f>P2086-R2086</f>
        <v>0</v>
      </c>
      <c r="S2092" s="906" t="s">
        <v>4049</v>
      </c>
      <c r="T2092" s="1107">
        <f>T2086-V2086</f>
        <v>5100</v>
      </c>
    </row>
    <row r="2093" spans="7:22">
      <c r="G2093" s="1574" t="s">
        <v>3530</v>
      </c>
      <c r="H2093" s="1574"/>
      <c r="I2093" s="1574"/>
      <c r="J2093" s="3">
        <f>J2086+L2086</f>
        <v>196525000</v>
      </c>
      <c r="K2093" s="1009"/>
      <c r="L2093" s="3"/>
      <c r="M2093" s="1533" t="s">
        <v>3664</v>
      </c>
      <c r="N2093" s="1527"/>
      <c r="O2093" s="1535" t="s">
        <v>4066</v>
      </c>
      <c r="P2093" s="1512">
        <v>0</v>
      </c>
      <c r="T2093" s="1161"/>
    </row>
    <row r="2094" spans="7:22">
      <c r="G2094" s="1574" t="s">
        <v>3512</v>
      </c>
      <c r="H2094" s="1574"/>
      <c r="I2094" s="1574"/>
      <c r="J2094" s="3">
        <f>N2086-J2093</f>
        <v>147475000</v>
      </c>
      <c r="K2094" s="1009"/>
      <c r="L2094" s="3"/>
      <c r="M2094" s="1528"/>
      <c r="O2094" s="1529"/>
      <c r="Q2094" s="661"/>
      <c r="T2094" s="1161"/>
    </row>
    <row r="2095" spans="7:22">
      <c r="G2095" s="1574" t="s">
        <v>3531</v>
      </c>
      <c r="H2095" s="1574"/>
      <c r="I2095" s="1574"/>
      <c r="J2095" s="3">
        <f>T2092</f>
        <v>5100</v>
      </c>
      <c r="Q2095" s="3"/>
      <c r="T2095" s="1161"/>
    </row>
    <row r="2096" spans="7:22">
      <c r="G2096" s="5"/>
      <c r="H2096" s="5"/>
      <c r="I2096" s="1160" t="s">
        <v>4067</v>
      </c>
      <c r="J2096" s="3">
        <v>1675000</v>
      </c>
      <c r="T2096" s="1161"/>
    </row>
    <row r="2097" spans="7:22">
      <c r="K2097" s="3">
        <v>145800000</v>
      </c>
      <c r="L2097" s="1527">
        <v>20700000</v>
      </c>
    </row>
    <row r="2098" spans="7:22">
      <c r="K2098" s="3">
        <f>J2094-K2097</f>
        <v>1675000</v>
      </c>
      <c r="L2098" s="1527">
        <f>K2097-L2097</f>
        <v>125100000</v>
      </c>
    </row>
    <row r="2112" spans="7:22">
      <c r="G2112" s="1008">
        <v>45991</v>
      </c>
      <c r="H2112" s="1169"/>
      <c r="I2112" s="1575" t="s">
        <v>3510</v>
      </c>
      <c r="J2112" s="1576"/>
      <c r="K2112" s="1575" t="s">
        <v>3509</v>
      </c>
      <c r="L2112" s="1576"/>
      <c r="M2112" s="1575" t="s">
        <v>3541</v>
      </c>
      <c r="N2112" s="1576"/>
      <c r="O2112" s="1577" t="s">
        <v>3598</v>
      </c>
      <c r="P2112" s="1578"/>
      <c r="Q2112" s="1579" t="s">
        <v>3599</v>
      </c>
      <c r="R2112" s="1580"/>
      <c r="S2112" s="1583" t="s">
        <v>3953</v>
      </c>
      <c r="T2112" s="1583"/>
      <c r="U2112" s="1583" t="s">
        <v>3954</v>
      </c>
      <c r="V2112" s="1583"/>
    </row>
    <row r="2113" spans="7:22">
      <c r="G2113" s="1097"/>
      <c r="H2113" s="1170"/>
      <c r="I2113" s="1174" t="s">
        <v>4194</v>
      </c>
      <c r="J2113" s="49">
        <v>61380000</v>
      </c>
      <c r="K2113" s="1495"/>
      <c r="L2113" s="49"/>
      <c r="M2113" s="1495" t="s">
        <v>3512</v>
      </c>
      <c r="N2113" s="49">
        <v>145000000</v>
      </c>
      <c r="O2113" s="1383" t="s">
        <v>3829</v>
      </c>
      <c r="P2113" s="644">
        <v>14000000</v>
      </c>
      <c r="Q2113" s="1173" t="s">
        <v>3532</v>
      </c>
      <c r="R2113" s="644">
        <v>1500000</v>
      </c>
      <c r="S2113" s="1175"/>
      <c r="T2113" s="49"/>
      <c r="V2113" s="48"/>
    </row>
    <row r="2114" spans="7:22">
      <c r="G2114" s="1098"/>
      <c r="H2114" s="1172"/>
      <c r="I2114" s="1174"/>
      <c r="J2114" s="49"/>
      <c r="K2114" s="1495"/>
      <c r="L2114" s="49"/>
      <c r="M2114" s="1493" t="s">
        <v>4195</v>
      </c>
      <c r="N2114" s="49">
        <v>16000000</v>
      </c>
      <c r="O2114" s="1383"/>
      <c r="P2114" s="644">
        <v>1000000</v>
      </c>
      <c r="Q2114" s="1173" t="s">
        <v>4196</v>
      </c>
      <c r="R2114" s="644">
        <v>1020000</v>
      </c>
      <c r="S2114" s="48"/>
      <c r="T2114" s="49"/>
      <c r="U2114" s="48"/>
      <c r="V2114" s="49"/>
    </row>
    <row r="2115" spans="7:22">
      <c r="G2115" s="48"/>
      <c r="H2115" s="48"/>
      <c r="I2115" s="1172"/>
      <c r="J2115" s="49"/>
      <c r="K2115" s="1495"/>
      <c r="L2115" s="49"/>
      <c r="M2115" s="1493"/>
      <c r="N2115" s="49"/>
      <c r="O2115" s="1180"/>
      <c r="P2115" s="644"/>
      <c r="Q2115" s="1173" t="s">
        <v>4147</v>
      </c>
      <c r="R2115" s="644">
        <v>7500000</v>
      </c>
      <c r="S2115" s="1179"/>
      <c r="T2115" s="1162"/>
      <c r="U2115" s="1078"/>
      <c r="V2115" s="49"/>
    </row>
    <row r="2116" spans="7:22">
      <c r="G2116" s="48"/>
      <c r="H2116" s="48"/>
      <c r="I2116" s="1174"/>
      <c r="J2116" s="49"/>
      <c r="K2116" s="1495"/>
      <c r="L2116" s="49"/>
      <c r="M2116" s="1493"/>
      <c r="N2116" s="49"/>
      <c r="O2116" s="644"/>
      <c r="P2116" s="644"/>
      <c r="Q2116" s="1176" t="s">
        <v>4197</v>
      </c>
      <c r="R2116" s="644">
        <v>400000</v>
      </c>
      <c r="S2116" s="48"/>
      <c r="T2116" s="1162"/>
      <c r="U2116" s="48"/>
      <c r="V2116" s="49"/>
    </row>
    <row r="2117" spans="7:22">
      <c r="G2117" s="48"/>
      <c r="H2117" s="48"/>
      <c r="I2117" s="1172"/>
      <c r="J2117" s="990"/>
      <c r="K2117" s="1495"/>
      <c r="L2117" s="49"/>
      <c r="M2117" s="1498"/>
      <c r="N2117" s="49"/>
      <c r="O2117" s="644"/>
      <c r="P2117" s="644"/>
      <c r="Q2117" s="1176" t="s">
        <v>3401</v>
      </c>
      <c r="R2117" s="644">
        <v>95000</v>
      </c>
      <c r="S2117" s="48"/>
      <c r="T2117" s="1162"/>
      <c r="U2117" s="48"/>
      <c r="V2117" s="49"/>
    </row>
    <row r="2118" spans="7:22">
      <c r="G2118" s="48"/>
      <c r="H2118" s="48"/>
      <c r="I2118" s="1172"/>
      <c r="J2118" s="49"/>
      <c r="K2118" s="1495"/>
      <c r="L2118" s="49"/>
      <c r="M2118" s="1495"/>
      <c r="N2118" s="49"/>
      <c r="O2118" s="644"/>
      <c r="P2118" s="644"/>
      <c r="Q2118" s="1176" t="s">
        <v>3455</v>
      </c>
      <c r="R2118" s="644">
        <v>100000</v>
      </c>
      <c r="S2118" s="48"/>
      <c r="T2118" s="1162"/>
      <c r="U2118" s="48"/>
      <c r="V2118" s="49"/>
    </row>
    <row r="2119" spans="7:22">
      <c r="G2119" s="48"/>
      <c r="H2119" s="48"/>
      <c r="I2119" s="1074"/>
      <c r="J2119" s="49"/>
      <c r="K2119" s="1495"/>
      <c r="L2119" s="49"/>
      <c r="M2119" s="1498"/>
      <c r="N2119" s="49"/>
      <c r="O2119" s="644"/>
      <c r="P2119" s="644"/>
      <c r="Q2119" s="1176"/>
      <c r="R2119" s="644"/>
      <c r="S2119" s="48"/>
      <c r="T2119" s="1162"/>
      <c r="U2119" s="48"/>
      <c r="V2119" s="49"/>
    </row>
    <row r="2120" spans="7:22">
      <c r="G2120" s="48"/>
      <c r="H2120" s="48"/>
      <c r="I2120" s="1074"/>
      <c r="J2120" s="49"/>
      <c r="K2120" s="1532"/>
      <c r="L2120" s="49"/>
      <c r="M2120" s="1498"/>
      <c r="N2120" s="49"/>
      <c r="O2120" s="644"/>
      <c r="P2120" s="644"/>
      <c r="Q2120" s="644"/>
      <c r="R2120" s="644"/>
      <c r="S2120" s="48"/>
      <c r="T2120" s="1162"/>
      <c r="U2120" s="48"/>
      <c r="V2120" s="49"/>
    </row>
    <row r="2121" spans="7:22">
      <c r="G2121" s="48"/>
      <c r="H2121" s="48"/>
      <c r="I2121" s="48"/>
      <c r="J2121" s="49"/>
      <c r="K2121" s="1495"/>
      <c r="L2121" s="49"/>
      <c r="M2121" s="1498"/>
      <c r="N2121" s="49"/>
      <c r="O2121" s="644"/>
      <c r="P2121" s="644"/>
      <c r="Q2121" s="644"/>
      <c r="R2121" s="644"/>
      <c r="S2121" s="48"/>
      <c r="T2121" s="1162"/>
      <c r="U2121" s="48"/>
      <c r="V2121" s="49"/>
    </row>
    <row r="2122" spans="7:22">
      <c r="G2122" s="48"/>
      <c r="H2122" s="48"/>
      <c r="I2122" s="48"/>
      <c r="J2122" s="49"/>
      <c r="K2122" s="1495"/>
      <c r="L2122" s="49"/>
      <c r="M2122" s="1498"/>
      <c r="N2122" s="49"/>
      <c r="O2122" s="644"/>
      <c r="P2122" s="644"/>
      <c r="Q2122" s="644"/>
      <c r="R2122" s="644"/>
      <c r="S2122" s="48"/>
      <c r="T2122" s="1162"/>
      <c r="U2122" s="48"/>
      <c r="V2122" s="49"/>
    </row>
    <row r="2123" spans="7:22">
      <c r="G2123" s="48"/>
      <c r="H2123" s="48"/>
      <c r="I2123" s="48"/>
      <c r="J2123" s="49"/>
      <c r="K2123" s="1498"/>
      <c r="L2123" s="49"/>
      <c r="M2123" s="1498"/>
      <c r="N2123" s="49"/>
      <c r="O2123" s="644"/>
      <c r="P2123" s="644"/>
      <c r="Q2123" s="644"/>
      <c r="R2123" s="644"/>
      <c r="S2123" s="48"/>
      <c r="T2123" s="1162"/>
      <c r="U2123" s="48"/>
      <c r="V2123" s="48"/>
    </row>
    <row r="2124" spans="7:22">
      <c r="G2124" s="48"/>
      <c r="H2124" s="48"/>
      <c r="I2124" s="48"/>
      <c r="J2124" s="49"/>
      <c r="K2124" s="49"/>
      <c r="L2124" s="49"/>
      <c r="M2124" s="1498"/>
      <c r="N2124" s="49"/>
      <c r="O2124" s="644"/>
      <c r="P2124" s="644"/>
      <c r="Q2124" s="644"/>
      <c r="R2124" s="644"/>
      <c r="S2124" s="48"/>
      <c r="T2124" s="1162"/>
      <c r="U2124" s="48"/>
      <c r="V2124" s="48"/>
    </row>
    <row r="2125" spans="7:22">
      <c r="G2125" s="48"/>
      <c r="H2125" s="48"/>
      <c r="I2125" s="48"/>
      <c r="J2125" s="954">
        <f>SUM(J2113:J2121)</f>
        <v>61380000</v>
      </c>
      <c r="K2125" s="954"/>
      <c r="L2125" s="954">
        <f>SUM(L2113:L2124)</f>
        <v>0</v>
      </c>
      <c r="M2125" s="1498"/>
      <c r="N2125" s="954">
        <f>SUM(N2113:N2124)</f>
        <v>161000000</v>
      </c>
      <c r="O2125" s="644"/>
      <c r="P2125" s="969">
        <f>SUM(P2113:P2119)</f>
        <v>15000000</v>
      </c>
      <c r="Q2125" s="969"/>
      <c r="R2125" s="969">
        <f>SUM(R2113:R2119)</f>
        <v>10615000</v>
      </c>
      <c r="S2125" s="48"/>
      <c r="T2125" s="1178">
        <f>SUM(T2113:T2124)</f>
        <v>0</v>
      </c>
      <c r="U2125" s="48"/>
      <c r="V2125" s="878">
        <f>SUM(V2113:V2124)</f>
        <v>0</v>
      </c>
    </row>
    <row r="2126" spans="7:22">
      <c r="T2126" s="1161"/>
    </row>
    <row r="2127" spans="7:22">
      <c r="T2127" s="1161"/>
    </row>
    <row r="2128" spans="7:22">
      <c r="R2128" s="661"/>
      <c r="T2128" s="1161"/>
    </row>
    <row r="2129" spans="7:24">
      <c r="T2129" s="1161"/>
    </row>
    <row r="2130" spans="7:24">
      <c r="T2130" s="1161"/>
    </row>
    <row r="2131" spans="7:24">
      <c r="I2131" s="946"/>
      <c r="M2131" s="1533" t="s">
        <v>3699</v>
      </c>
      <c r="O2131" s="1535" t="s">
        <v>3741</v>
      </c>
      <c r="P2131" s="1512">
        <f>P2125-R2125</f>
        <v>4385000</v>
      </c>
      <c r="S2131" s="906" t="s">
        <v>4049</v>
      </c>
      <c r="T2131" s="1107">
        <f>T2125-V2125</f>
        <v>0</v>
      </c>
    </row>
    <row r="2132" spans="7:24">
      <c r="G2132" s="1574" t="s">
        <v>3530</v>
      </c>
      <c r="H2132" s="1574"/>
      <c r="I2132" s="1574"/>
      <c r="J2132" s="3">
        <f>J2125+L2125</f>
        <v>61380000</v>
      </c>
      <c r="K2132" s="1009"/>
      <c r="L2132" s="3"/>
      <c r="M2132" s="1533" t="s">
        <v>3664</v>
      </c>
      <c r="N2132" s="1527"/>
      <c r="O2132" s="1535" t="s">
        <v>4066</v>
      </c>
      <c r="P2132" s="1512">
        <v>0</v>
      </c>
      <c r="T2132" s="1161"/>
    </row>
    <row r="2133" spans="7:24">
      <c r="G2133" s="1574" t="s">
        <v>3512</v>
      </c>
      <c r="H2133" s="1574"/>
      <c r="I2133" s="1574"/>
      <c r="J2133" s="3">
        <f>N2125-J2132</f>
        <v>99620000</v>
      </c>
      <c r="K2133" s="1009"/>
      <c r="L2133" s="3"/>
      <c r="M2133" s="1528"/>
      <c r="O2133" s="1529"/>
      <c r="Q2133" s="661"/>
      <c r="T2133" s="1161"/>
    </row>
    <row r="2134" spans="7:24">
      <c r="G2134" s="1574" t="s">
        <v>3531</v>
      </c>
      <c r="H2134" s="1574"/>
      <c r="I2134" s="1574"/>
      <c r="J2134" s="3">
        <f>T2131</f>
        <v>0</v>
      </c>
      <c r="Q2134" s="3"/>
      <c r="T2134" s="1161"/>
    </row>
    <row r="2135" spans="7:24">
      <c r="G2135" s="5"/>
      <c r="H2135" s="5"/>
      <c r="I2135" s="1160" t="s">
        <v>4067</v>
      </c>
      <c r="J2135" s="3">
        <v>1675000</v>
      </c>
      <c r="T2135" s="1161"/>
    </row>
    <row r="2143" spans="7:24">
      <c r="G2143" s="1008">
        <v>45992</v>
      </c>
      <c r="H2143" s="1169"/>
      <c r="I2143" s="1575" t="s">
        <v>3510</v>
      </c>
      <c r="J2143" s="1576"/>
      <c r="K2143" s="1575" t="s">
        <v>3509</v>
      </c>
      <c r="L2143" s="1576"/>
      <c r="M2143" s="1575" t="s">
        <v>3541</v>
      </c>
      <c r="N2143" s="1576"/>
      <c r="O2143" s="1577" t="s">
        <v>3598</v>
      </c>
      <c r="P2143" s="1578"/>
      <c r="Q2143" s="1579" t="s">
        <v>3599</v>
      </c>
      <c r="R2143" s="1580"/>
      <c r="S2143" s="1583" t="s">
        <v>3953</v>
      </c>
      <c r="T2143" s="1583"/>
      <c r="U2143" s="1583" t="s">
        <v>3954</v>
      </c>
      <c r="V2143" s="1583"/>
      <c r="W2143" s="1584" t="s">
        <v>4201</v>
      </c>
      <c r="X2143" s="1585"/>
    </row>
    <row r="2144" spans="7:24">
      <c r="G2144" s="1097"/>
      <c r="H2144" s="1170"/>
      <c r="I2144" s="1174" t="s">
        <v>4202</v>
      </c>
      <c r="J2144" s="49">
        <v>29700000</v>
      </c>
      <c r="K2144" s="49" t="s">
        <v>3532</v>
      </c>
      <c r="L2144" s="49">
        <v>1000000</v>
      </c>
      <c r="M2144" s="1495" t="s">
        <v>4198</v>
      </c>
      <c r="N2144" s="49">
        <v>2000000</v>
      </c>
      <c r="O2144" s="1383"/>
      <c r="P2144" s="644"/>
      <c r="Q2144" s="1173"/>
      <c r="R2144" s="644"/>
      <c r="S2144" s="1175"/>
      <c r="T2144" s="49"/>
      <c r="V2144" s="48"/>
      <c r="W2144" s="1174" t="s">
        <v>4200</v>
      </c>
      <c r="X2144" s="49">
        <v>20000000</v>
      </c>
    </row>
    <row r="2145" spans="7:24">
      <c r="G2145" s="1098"/>
      <c r="H2145" s="1172"/>
      <c r="I2145" s="1174"/>
      <c r="J2145" s="49"/>
      <c r="K2145" s="1495"/>
      <c r="L2145" s="49"/>
      <c r="M2145" s="1493" t="s">
        <v>3512</v>
      </c>
      <c r="N2145" s="49">
        <v>69000000</v>
      </c>
      <c r="O2145" s="1383"/>
      <c r="P2145" s="644"/>
      <c r="Q2145" s="1173"/>
      <c r="R2145" s="644"/>
      <c r="S2145" s="48"/>
      <c r="T2145" s="49"/>
      <c r="U2145" s="48"/>
      <c r="V2145" s="49"/>
      <c r="W2145" s="48"/>
      <c r="X2145" s="48"/>
    </row>
    <row r="2146" spans="7:24">
      <c r="G2146" s="48"/>
      <c r="H2146" s="48"/>
      <c r="I2146" s="1172"/>
      <c r="J2146" s="49"/>
      <c r="K2146" s="1495"/>
      <c r="L2146" s="49"/>
      <c r="M2146" s="1493" t="s">
        <v>4199</v>
      </c>
      <c r="N2146" s="49">
        <v>37000000</v>
      </c>
      <c r="O2146" s="1180"/>
      <c r="P2146" s="644"/>
      <c r="Q2146" s="1173"/>
      <c r="R2146" s="644"/>
      <c r="S2146" s="1179"/>
      <c r="T2146" s="1162"/>
      <c r="U2146" s="1078"/>
      <c r="V2146" s="49"/>
      <c r="W2146" s="48"/>
      <c r="X2146" s="48"/>
    </row>
    <row r="2147" spans="7:24">
      <c r="G2147" s="48"/>
      <c r="H2147" s="48"/>
      <c r="I2147" s="1174"/>
      <c r="J2147" s="49"/>
      <c r="K2147" s="1495"/>
      <c r="L2147" s="49"/>
      <c r="M2147" s="1493"/>
      <c r="N2147" s="49"/>
      <c r="O2147" s="644"/>
      <c r="P2147" s="644"/>
      <c r="Q2147" s="1173"/>
      <c r="R2147" s="644"/>
      <c r="S2147" s="48"/>
      <c r="T2147" s="1162"/>
      <c r="U2147" s="48"/>
      <c r="V2147" s="49"/>
      <c r="W2147" s="48"/>
      <c r="X2147" s="48"/>
    </row>
    <row r="2148" spans="7:24">
      <c r="G2148" s="48"/>
      <c r="H2148" s="48"/>
      <c r="I2148" s="1172"/>
      <c r="J2148" s="990"/>
      <c r="K2148" s="1495"/>
      <c r="L2148" s="49"/>
      <c r="M2148" s="1498"/>
      <c r="N2148" s="49"/>
      <c r="O2148" s="644"/>
      <c r="P2148" s="644"/>
      <c r="Q2148" s="1173"/>
      <c r="R2148" s="644"/>
      <c r="S2148" s="48"/>
      <c r="T2148" s="1162"/>
      <c r="U2148" s="48"/>
      <c r="V2148" s="49"/>
      <c r="W2148" s="48"/>
      <c r="X2148" s="48"/>
    </row>
    <row r="2149" spans="7:24">
      <c r="G2149" s="48"/>
      <c r="H2149" s="48"/>
      <c r="I2149" s="1172"/>
      <c r="J2149" s="49"/>
      <c r="K2149" s="1495"/>
      <c r="L2149" s="49"/>
      <c r="M2149" s="1495"/>
      <c r="N2149" s="49"/>
      <c r="O2149" s="644"/>
      <c r="P2149" s="644"/>
      <c r="Q2149" s="1176"/>
      <c r="R2149" s="644"/>
      <c r="S2149" s="48"/>
      <c r="T2149" s="1162"/>
      <c r="U2149" s="48"/>
      <c r="V2149" s="49"/>
      <c r="W2149" s="48"/>
      <c r="X2149" s="48"/>
    </row>
    <row r="2150" spans="7:24">
      <c r="G2150" s="48"/>
      <c r="H2150" s="48"/>
      <c r="I2150" s="1074"/>
      <c r="J2150" s="49"/>
      <c r="K2150" s="1495"/>
      <c r="L2150" s="49"/>
      <c r="M2150" s="1498"/>
      <c r="N2150" s="49"/>
      <c r="O2150" s="644"/>
      <c r="P2150" s="644"/>
      <c r="Q2150" s="1176"/>
      <c r="R2150" s="644"/>
      <c r="S2150" s="48"/>
      <c r="T2150" s="1162"/>
      <c r="U2150" s="48"/>
      <c r="V2150" s="49"/>
      <c r="W2150" s="48"/>
      <c r="X2150" s="48"/>
    </row>
    <row r="2151" spans="7:24">
      <c r="G2151" s="48"/>
      <c r="H2151" s="48"/>
      <c r="I2151" s="1074"/>
      <c r="J2151" s="49"/>
      <c r="K2151" s="1532"/>
      <c r="L2151" s="49"/>
      <c r="M2151" s="1498"/>
      <c r="N2151" s="49"/>
      <c r="O2151" s="644"/>
      <c r="P2151" s="644"/>
      <c r="Q2151" s="644"/>
      <c r="R2151" s="644"/>
      <c r="S2151" s="48"/>
      <c r="T2151" s="1162"/>
      <c r="U2151" s="48"/>
      <c r="V2151" s="49"/>
      <c r="W2151" s="48"/>
      <c r="X2151" s="48"/>
    </row>
    <row r="2152" spans="7:24">
      <c r="G2152" s="48"/>
      <c r="H2152" s="48"/>
      <c r="I2152" s="48"/>
      <c r="J2152" s="49"/>
      <c r="K2152" s="1495"/>
      <c r="L2152" s="49"/>
      <c r="M2152" s="1498"/>
      <c r="N2152" s="49"/>
      <c r="O2152" s="644"/>
      <c r="P2152" s="644"/>
      <c r="Q2152" s="644"/>
      <c r="R2152" s="644"/>
      <c r="S2152" s="48"/>
      <c r="T2152" s="1162"/>
      <c r="U2152" s="48"/>
      <c r="V2152" s="49"/>
      <c r="W2152" s="48"/>
      <c r="X2152" s="48"/>
    </row>
    <row r="2153" spans="7:24">
      <c r="G2153" s="48"/>
      <c r="H2153" s="48"/>
      <c r="I2153" s="48"/>
      <c r="J2153" s="49"/>
      <c r="K2153" s="1495"/>
      <c r="L2153" s="49"/>
      <c r="M2153" s="1498"/>
      <c r="N2153" s="49"/>
      <c r="O2153" s="644"/>
      <c r="P2153" s="644"/>
      <c r="Q2153" s="644"/>
      <c r="R2153" s="644"/>
      <c r="S2153" s="48"/>
      <c r="T2153" s="1162"/>
      <c r="U2153" s="48"/>
      <c r="V2153" s="49"/>
      <c r="W2153" s="48"/>
      <c r="X2153" s="48"/>
    </row>
    <row r="2154" spans="7:24">
      <c r="G2154" s="48"/>
      <c r="H2154" s="48"/>
      <c r="I2154" s="48"/>
      <c r="J2154" s="49"/>
      <c r="K2154" s="1498"/>
      <c r="L2154" s="49"/>
      <c r="M2154" s="1498"/>
      <c r="N2154" s="49"/>
      <c r="O2154" s="644"/>
      <c r="P2154" s="644"/>
      <c r="Q2154" s="644"/>
      <c r="R2154" s="644"/>
      <c r="S2154" s="48"/>
      <c r="T2154" s="1162"/>
      <c r="U2154" s="48"/>
      <c r="V2154" s="48"/>
      <c r="W2154" s="48"/>
      <c r="X2154" s="48"/>
    </row>
    <row r="2155" spans="7:24">
      <c r="G2155" s="48"/>
      <c r="H2155" s="48"/>
      <c r="I2155" s="48"/>
      <c r="J2155" s="49"/>
      <c r="K2155" s="49"/>
      <c r="L2155" s="49"/>
      <c r="M2155" s="1498"/>
      <c r="N2155" s="49"/>
      <c r="O2155" s="644"/>
      <c r="P2155" s="644"/>
      <c r="Q2155" s="644"/>
      <c r="R2155" s="644"/>
      <c r="S2155" s="48"/>
      <c r="T2155" s="1162"/>
      <c r="U2155" s="48"/>
      <c r="V2155" s="48"/>
      <c r="W2155" s="48"/>
      <c r="X2155" s="48"/>
    </row>
    <row r="2156" spans="7:24">
      <c r="G2156" s="48"/>
      <c r="H2156" s="48"/>
      <c r="I2156" s="48"/>
      <c r="J2156" s="954">
        <f>SUM(J2144:J2152)</f>
        <v>29700000</v>
      </c>
      <c r="K2156" s="954"/>
      <c r="L2156" s="954">
        <f>SUM(L2144:L2155)</f>
        <v>1000000</v>
      </c>
      <c r="M2156" s="1498"/>
      <c r="N2156" s="954">
        <f>SUM(N2144:N2155)</f>
        <v>108000000</v>
      </c>
      <c r="O2156" s="644"/>
      <c r="P2156" s="969">
        <f>SUM(P2144:P2150)</f>
        <v>0</v>
      </c>
      <c r="Q2156" s="969"/>
      <c r="R2156" s="969">
        <f>SUM(R2144:R2150)</f>
        <v>0</v>
      </c>
      <c r="S2156" s="48"/>
      <c r="T2156" s="1178">
        <f>SUM(T2144:T2155)</f>
        <v>0</v>
      </c>
      <c r="U2156" s="48"/>
      <c r="V2156" s="878">
        <f>SUM(V2144:V2155)</f>
        <v>0</v>
      </c>
      <c r="W2156" s="48"/>
      <c r="X2156" s="878">
        <f>X2144</f>
        <v>20000000</v>
      </c>
    </row>
    <row r="2157" spans="7:24">
      <c r="T2157" s="1161"/>
    </row>
    <row r="2158" spans="7:24">
      <c r="T2158" s="1161"/>
    </row>
    <row r="2159" spans="7:24">
      <c r="R2159" s="661"/>
      <c r="T2159" s="1161"/>
    </row>
    <row r="2160" spans="7:24">
      <c r="T2160" s="1161"/>
    </row>
    <row r="2161" spans="7:20">
      <c r="T2161" s="1161"/>
    </row>
    <row r="2162" spans="7:20">
      <c r="I2162" s="946"/>
      <c r="M2162" s="1533" t="s">
        <v>3699</v>
      </c>
      <c r="O2162" s="1535" t="s">
        <v>3741</v>
      </c>
      <c r="P2162" s="1512">
        <f>P2156-R2156</f>
        <v>0</v>
      </c>
      <c r="S2162" s="906" t="s">
        <v>4049</v>
      </c>
      <c r="T2162" s="1107">
        <f>T2156-V2156</f>
        <v>0</v>
      </c>
    </row>
    <row r="2163" spans="7:20">
      <c r="G2163" s="1574" t="s">
        <v>3530</v>
      </c>
      <c r="H2163" s="1574"/>
      <c r="I2163" s="1574"/>
      <c r="J2163" s="3">
        <f>J2156+L2156</f>
        <v>30700000</v>
      </c>
      <c r="K2163" s="1009"/>
      <c r="L2163" s="3"/>
      <c r="M2163" s="1533" t="s">
        <v>3664</v>
      </c>
      <c r="N2163" s="1527"/>
      <c r="O2163" s="1535" t="s">
        <v>4066</v>
      </c>
      <c r="P2163" s="1512">
        <v>0</v>
      </c>
      <c r="T2163" s="1161"/>
    </row>
    <row r="2164" spans="7:20">
      <c r="G2164" s="1574" t="s">
        <v>3512</v>
      </c>
      <c r="H2164" s="1574"/>
      <c r="I2164" s="1574"/>
      <c r="J2164" s="3">
        <f>N2156-J2163</f>
        <v>77300000</v>
      </c>
      <c r="K2164" s="1009"/>
      <c r="L2164" s="3"/>
      <c r="M2164" s="1528"/>
      <c r="O2164" s="1529"/>
      <c r="Q2164" s="661"/>
      <c r="T2164" s="1161"/>
    </row>
    <row r="2165" spans="7:20">
      <c r="G2165" s="1574" t="s">
        <v>3531</v>
      </c>
      <c r="H2165" s="1574"/>
      <c r="I2165" s="1574"/>
      <c r="J2165" s="3">
        <f>T2162</f>
        <v>0</v>
      </c>
      <c r="Q2165" s="3"/>
      <c r="T2165" s="1161"/>
    </row>
    <row r="2166" spans="7:20">
      <c r="G2166" s="5"/>
      <c r="H2166" s="5"/>
      <c r="I2166" s="1160" t="s">
        <v>4067</v>
      </c>
      <c r="T2166" s="1161"/>
    </row>
    <row r="2180" spans="7:24">
      <c r="G2180" s="1008">
        <v>45993</v>
      </c>
      <c r="H2180" s="1169"/>
      <c r="I2180" s="1575" t="s">
        <v>3510</v>
      </c>
      <c r="J2180" s="1576"/>
      <c r="K2180" s="1575" t="s">
        <v>3509</v>
      </c>
      <c r="L2180" s="1576"/>
      <c r="M2180" s="1575" t="s">
        <v>3541</v>
      </c>
      <c r="N2180" s="1576"/>
      <c r="O2180" s="1577" t="s">
        <v>3598</v>
      </c>
      <c r="P2180" s="1578"/>
      <c r="Q2180" s="1579" t="s">
        <v>3599</v>
      </c>
      <c r="R2180" s="1580"/>
      <c r="S2180" s="1583" t="s">
        <v>3953</v>
      </c>
      <c r="T2180" s="1583"/>
      <c r="U2180" s="1583" t="s">
        <v>3954</v>
      </c>
      <c r="V2180" s="1583"/>
      <c r="W2180" s="1584" t="s">
        <v>4201</v>
      </c>
      <c r="X2180" s="1585"/>
    </row>
    <row r="2181" spans="7:24">
      <c r="G2181" s="1097"/>
      <c r="H2181" s="1170"/>
      <c r="I2181" s="1174" t="s">
        <v>4206</v>
      </c>
      <c r="J2181" s="49">
        <v>30360000</v>
      </c>
      <c r="K2181" s="49" t="s">
        <v>3753</v>
      </c>
      <c r="L2181" s="49">
        <v>200000</v>
      </c>
      <c r="M2181" s="1495" t="s">
        <v>3512</v>
      </c>
      <c r="N2181" s="49">
        <v>77300000</v>
      </c>
      <c r="O2181" s="1383"/>
      <c r="P2181" s="644">
        <v>2750000</v>
      </c>
      <c r="Q2181" s="1173" t="s">
        <v>4205</v>
      </c>
      <c r="R2181" s="644">
        <v>370000</v>
      </c>
      <c r="S2181" t="s">
        <v>4203</v>
      </c>
      <c r="T2181" s="48">
        <v>1000</v>
      </c>
      <c r="U2181" t="s">
        <v>4204</v>
      </c>
      <c r="V2181" s="48">
        <v>500</v>
      </c>
      <c r="W2181" s="1174"/>
      <c r="X2181" s="49"/>
    </row>
    <row r="2182" spans="7:24">
      <c r="G2182" s="1098"/>
      <c r="H2182" s="1172"/>
      <c r="I2182" s="1174" t="s">
        <v>4207</v>
      </c>
      <c r="J2182" s="49">
        <v>10000000</v>
      </c>
      <c r="K2182" s="1495" t="s">
        <v>3312</v>
      </c>
      <c r="L2182" s="49">
        <v>2000000</v>
      </c>
      <c r="M2182" s="1493" t="s">
        <v>4208</v>
      </c>
      <c r="N2182" s="49">
        <v>2000000</v>
      </c>
      <c r="O2182" s="1383"/>
      <c r="P2182" s="644"/>
      <c r="Q2182" s="1173" t="s">
        <v>3808</v>
      </c>
      <c r="R2182" s="644">
        <v>1600000</v>
      </c>
      <c r="S2182" s="49" t="s">
        <v>3955</v>
      </c>
      <c r="T2182" s="1019">
        <v>5100</v>
      </c>
      <c r="U2182" s="48"/>
      <c r="V2182" s="49"/>
      <c r="W2182" s="48"/>
      <c r="X2182" s="48"/>
    </row>
    <row r="2183" spans="7:24">
      <c r="G2183" s="48"/>
      <c r="H2183" s="48"/>
      <c r="I2183" s="1172"/>
      <c r="J2183" s="49"/>
      <c r="K2183" s="1495"/>
      <c r="L2183" s="49">
        <v>300000</v>
      </c>
      <c r="M2183" s="1493"/>
      <c r="N2183" s="49"/>
      <c r="O2183" s="1180"/>
      <c r="P2183" s="644"/>
      <c r="Q2183" s="1173" t="s">
        <v>3312</v>
      </c>
      <c r="R2183" s="644">
        <v>2000000</v>
      </c>
      <c r="S2183" s="1179"/>
      <c r="T2183" s="1162"/>
      <c r="U2183" s="1078"/>
      <c r="V2183" s="49"/>
      <c r="W2183" s="48"/>
      <c r="X2183" s="48"/>
    </row>
    <row r="2184" spans="7:24">
      <c r="G2184" s="48"/>
      <c r="H2184" s="48"/>
      <c r="I2184" s="1174"/>
      <c r="J2184" s="49"/>
      <c r="K2184" s="1495"/>
      <c r="L2184" s="49"/>
      <c r="M2184" s="1493"/>
      <c r="N2184" s="49"/>
      <c r="O2184" s="644"/>
      <c r="P2184" s="644"/>
      <c r="Q2184" s="1173" t="s">
        <v>3363</v>
      </c>
      <c r="R2184" s="644">
        <v>100000</v>
      </c>
      <c r="S2184" s="48"/>
      <c r="T2184" s="1162"/>
      <c r="U2184" s="48"/>
      <c r="V2184" s="49"/>
      <c r="W2184" s="48"/>
      <c r="X2184" s="48"/>
    </row>
    <row r="2185" spans="7:24">
      <c r="G2185" s="48"/>
      <c r="H2185" s="48"/>
      <c r="I2185" s="1172"/>
      <c r="J2185" s="990"/>
      <c r="K2185" s="1495"/>
      <c r="L2185" s="49"/>
      <c r="M2185" s="1498"/>
      <c r="N2185" s="49"/>
      <c r="O2185" s="644"/>
      <c r="P2185" s="644"/>
      <c r="Q2185" s="1173"/>
      <c r="R2185" s="644"/>
      <c r="S2185" s="48"/>
      <c r="T2185" s="1162"/>
      <c r="U2185" s="48"/>
      <c r="V2185" s="49"/>
      <c r="W2185" s="48"/>
      <c r="X2185" s="48"/>
    </row>
    <row r="2186" spans="7:24">
      <c r="G2186" s="48"/>
      <c r="H2186" s="48"/>
      <c r="I2186" s="1172"/>
      <c r="J2186" s="49"/>
      <c r="K2186" s="1495"/>
      <c r="L2186" s="49"/>
      <c r="M2186" s="1495"/>
      <c r="N2186" s="49"/>
      <c r="O2186" s="644"/>
      <c r="P2186" s="644"/>
      <c r="Q2186" s="1176"/>
      <c r="R2186" s="644"/>
      <c r="S2186" s="48"/>
      <c r="T2186" s="1162"/>
      <c r="U2186" s="48"/>
      <c r="V2186" s="49"/>
      <c r="W2186" s="48"/>
      <c r="X2186" s="48"/>
    </row>
    <row r="2187" spans="7:24">
      <c r="G2187" s="48"/>
      <c r="H2187" s="48"/>
      <c r="I2187" s="1074"/>
      <c r="J2187" s="49"/>
      <c r="K2187" s="1495"/>
      <c r="L2187" s="49"/>
      <c r="M2187" s="1498"/>
      <c r="N2187" s="49"/>
      <c r="O2187" s="644"/>
      <c r="P2187" s="644"/>
      <c r="Q2187" s="1176"/>
      <c r="R2187" s="644"/>
      <c r="S2187" s="48"/>
      <c r="T2187" s="1162"/>
      <c r="U2187" s="48"/>
      <c r="V2187" s="49"/>
      <c r="W2187" s="48"/>
      <c r="X2187" s="48"/>
    </row>
    <row r="2188" spans="7:24">
      <c r="G2188" s="48"/>
      <c r="H2188" s="48"/>
      <c r="I2188" s="1074"/>
      <c r="J2188" s="49"/>
      <c r="K2188" s="1532"/>
      <c r="L2188" s="49"/>
      <c r="M2188" s="1498"/>
      <c r="N2188" s="49"/>
      <c r="O2188" s="644"/>
      <c r="P2188" s="644"/>
      <c r="Q2188" s="644"/>
      <c r="R2188" s="644"/>
      <c r="S2188" s="48"/>
      <c r="T2188" s="1162"/>
      <c r="U2188" s="48"/>
      <c r="V2188" s="49"/>
      <c r="W2188" s="48"/>
      <c r="X2188" s="48"/>
    </row>
    <row r="2189" spans="7:24">
      <c r="G2189" s="48"/>
      <c r="H2189" s="48"/>
      <c r="I2189" s="48"/>
      <c r="J2189" s="49"/>
      <c r="K2189" s="1495"/>
      <c r="L2189" s="49"/>
      <c r="M2189" s="1498"/>
      <c r="N2189" s="49"/>
      <c r="O2189" s="644"/>
      <c r="P2189" s="644"/>
      <c r="Q2189" s="644"/>
      <c r="R2189" s="644"/>
      <c r="S2189" s="48"/>
      <c r="T2189" s="1162"/>
      <c r="U2189" s="48"/>
      <c r="V2189" s="49"/>
      <c r="W2189" s="48"/>
      <c r="X2189" s="48"/>
    </row>
    <row r="2190" spans="7:24">
      <c r="G2190" s="48"/>
      <c r="H2190" s="48"/>
      <c r="I2190" s="48"/>
      <c r="J2190" s="49"/>
      <c r="K2190" s="1495"/>
      <c r="L2190" s="49"/>
      <c r="M2190" s="1498"/>
      <c r="N2190" s="49"/>
      <c r="O2190" s="644"/>
      <c r="P2190" s="644"/>
      <c r="Q2190" s="644"/>
      <c r="R2190" s="644"/>
      <c r="S2190" s="48"/>
      <c r="T2190" s="1162"/>
      <c r="U2190" s="48"/>
      <c r="V2190" s="49"/>
      <c r="W2190" s="48"/>
      <c r="X2190" s="48"/>
    </row>
    <row r="2191" spans="7:24">
      <c r="G2191" s="48"/>
      <c r="H2191" s="48"/>
      <c r="I2191" s="48"/>
      <c r="J2191" s="49"/>
      <c r="K2191" s="1498"/>
      <c r="L2191" s="49"/>
      <c r="M2191" s="1498"/>
      <c r="N2191" s="49"/>
      <c r="O2191" s="644"/>
      <c r="P2191" s="644"/>
      <c r="Q2191" s="644"/>
      <c r="R2191" s="644"/>
      <c r="S2191" s="48"/>
      <c r="T2191" s="1162"/>
      <c r="U2191" s="48"/>
      <c r="V2191" s="48"/>
      <c r="W2191" s="48"/>
      <c r="X2191" s="48"/>
    </row>
    <row r="2192" spans="7:24">
      <c r="G2192" s="48"/>
      <c r="H2192" s="48"/>
      <c r="I2192" s="48"/>
      <c r="J2192" s="49"/>
      <c r="K2192" s="49"/>
      <c r="L2192" s="49"/>
      <c r="M2192" s="1498"/>
      <c r="N2192" s="49"/>
      <c r="O2192" s="644"/>
      <c r="P2192" s="644"/>
      <c r="Q2192" s="644"/>
      <c r="R2192" s="644"/>
      <c r="S2192" s="48"/>
      <c r="T2192" s="1162"/>
      <c r="U2192" s="48"/>
      <c r="V2192" s="48"/>
      <c r="W2192" s="48"/>
      <c r="X2192" s="48"/>
    </row>
    <row r="2193" spans="7:24">
      <c r="G2193" s="48"/>
      <c r="H2193" s="48"/>
      <c r="I2193" s="48"/>
      <c r="J2193" s="954">
        <f>SUM(J2181:J2189)</f>
        <v>40360000</v>
      </c>
      <c r="K2193" s="954"/>
      <c r="L2193" s="954">
        <f>SUM(L2181:L2192)</f>
        <v>2500000</v>
      </c>
      <c r="M2193" s="1498"/>
      <c r="N2193" s="954">
        <f>SUM(N2181:N2192)</f>
        <v>79300000</v>
      </c>
      <c r="O2193" s="644"/>
      <c r="P2193" s="969">
        <f>SUM(P2181:P2187)</f>
        <v>2750000</v>
      </c>
      <c r="Q2193" s="969"/>
      <c r="R2193" s="969">
        <f>SUM(R2181:R2187)</f>
        <v>4070000</v>
      </c>
      <c r="S2193" s="48"/>
      <c r="T2193" s="1178">
        <f>SUM(T2181:T2192)</f>
        <v>6100</v>
      </c>
      <c r="U2193" s="48"/>
      <c r="V2193" s="878">
        <f>SUM(V2181:V2192)</f>
        <v>500</v>
      </c>
      <c r="W2193" s="48"/>
      <c r="X2193" s="878">
        <f>X2181</f>
        <v>0</v>
      </c>
    </row>
    <row r="2194" spans="7:24">
      <c r="T2194" s="1161"/>
    </row>
    <row r="2195" spans="7:24">
      <c r="T2195" s="1161"/>
    </row>
    <row r="2196" spans="7:24">
      <c r="R2196" s="661"/>
      <c r="T2196" s="1161"/>
    </row>
    <row r="2197" spans="7:24">
      <c r="T2197" s="1161"/>
    </row>
    <row r="2198" spans="7:24">
      <c r="T2198" s="1161"/>
    </row>
    <row r="2199" spans="7:24">
      <c r="I2199" s="946"/>
      <c r="M2199" s="1533" t="s">
        <v>3699</v>
      </c>
      <c r="O2199" s="1535" t="s">
        <v>3741</v>
      </c>
      <c r="P2199" s="1512"/>
      <c r="S2199" s="906" t="s">
        <v>4049</v>
      </c>
      <c r="T2199" s="1107">
        <f>T2193-V2193</f>
        <v>5600</v>
      </c>
    </row>
    <row r="2200" spans="7:24">
      <c r="G2200" s="1574" t="s">
        <v>3530</v>
      </c>
      <c r="H2200" s="1574"/>
      <c r="I2200" s="1574"/>
      <c r="J2200" s="3">
        <f>J2193+L2193</f>
        <v>42860000</v>
      </c>
      <c r="K2200" s="1009"/>
      <c r="L2200" s="3"/>
      <c r="M2200" s="1533" t="s">
        <v>3664</v>
      </c>
      <c r="N2200" s="1527"/>
      <c r="O2200" s="1535" t="s">
        <v>4066</v>
      </c>
      <c r="P2200" s="1512">
        <f>P2193</f>
        <v>2750000</v>
      </c>
      <c r="T2200" s="1161"/>
    </row>
    <row r="2201" spans="7:24">
      <c r="G2201" s="1574" t="s">
        <v>3512</v>
      </c>
      <c r="H2201" s="1574"/>
      <c r="I2201" s="1574"/>
      <c r="J2201" s="3">
        <f>N2193-J2200</f>
        <v>36440000</v>
      </c>
      <c r="K2201" s="1009"/>
      <c r="L2201" s="3"/>
      <c r="M2201" s="1528"/>
      <c r="O2201" s="1529"/>
      <c r="Q2201" s="661"/>
      <c r="T2201" s="1161"/>
    </row>
    <row r="2202" spans="7:24">
      <c r="G2202" s="1574" t="s">
        <v>3531</v>
      </c>
      <c r="H2202" s="1574"/>
      <c r="I2202" s="1574"/>
      <c r="J2202" s="3">
        <f>T2199</f>
        <v>5600</v>
      </c>
      <c r="Q2202" s="3"/>
      <c r="T2202" s="1161"/>
    </row>
    <row r="2203" spans="7:24">
      <c r="G2203" s="5"/>
      <c r="H2203" s="5"/>
      <c r="I2203" s="1160" t="s">
        <v>4067</v>
      </c>
      <c r="T2203" s="1161"/>
    </row>
    <row r="2204" spans="7:24">
      <c r="J2204" s="3">
        <v>35400000</v>
      </c>
    </row>
    <row r="2205" spans="7:24">
      <c r="J2205" s="3">
        <f>J2201-J2204</f>
        <v>1040000</v>
      </c>
    </row>
    <row r="2218" spans="7:24">
      <c r="G2218" s="1008">
        <v>45994</v>
      </c>
      <c r="H2218" s="1169"/>
      <c r="I2218" s="1575" t="s">
        <v>3510</v>
      </c>
      <c r="J2218" s="1576"/>
      <c r="K2218" s="1575" t="s">
        <v>3509</v>
      </c>
      <c r="L2218" s="1576"/>
      <c r="M2218" s="1575" t="s">
        <v>3541</v>
      </c>
      <c r="N2218" s="1576"/>
      <c r="O2218" s="1577" t="s">
        <v>3598</v>
      </c>
      <c r="P2218" s="1578"/>
      <c r="Q2218" s="1579" t="s">
        <v>3599</v>
      </c>
      <c r="R2218" s="1580"/>
      <c r="S2218" s="1583" t="s">
        <v>3953</v>
      </c>
      <c r="T2218" s="1583"/>
      <c r="U2218" s="1583" t="s">
        <v>3954</v>
      </c>
      <c r="V2218" s="1583"/>
      <c r="W2218" s="1584" t="s">
        <v>4201</v>
      </c>
      <c r="X2218" s="1585"/>
    </row>
    <row r="2219" spans="7:24">
      <c r="G2219" s="1097"/>
      <c r="H2219" s="1170"/>
      <c r="I2219" s="1174" t="s">
        <v>4214</v>
      </c>
      <c r="J2219" s="49">
        <v>82440000</v>
      </c>
      <c r="K2219" s="49" t="s">
        <v>4212</v>
      </c>
      <c r="L2219" s="49">
        <f>200000+200000</f>
        <v>400000</v>
      </c>
      <c r="M2219" s="1495" t="s">
        <v>3512</v>
      </c>
      <c r="N2219" s="49">
        <v>32300000</v>
      </c>
      <c r="O2219" s="1383" t="s">
        <v>4209</v>
      </c>
      <c r="P2219" s="644">
        <v>4000000</v>
      </c>
      <c r="Q2219" s="1173" t="s">
        <v>3613</v>
      </c>
      <c r="R2219" s="644">
        <v>3500000</v>
      </c>
      <c r="S2219" t="s">
        <v>4217</v>
      </c>
      <c r="T2219" s="48">
        <v>1400</v>
      </c>
      <c r="V2219" s="48">
        <v>800</v>
      </c>
      <c r="W2219" s="1174"/>
      <c r="X2219" s="49"/>
    </row>
    <row r="2220" spans="7:24">
      <c r="G2220" s="1098"/>
      <c r="H2220" s="1172"/>
      <c r="I2220" s="1174" t="s">
        <v>4215</v>
      </c>
      <c r="J2220" s="49">
        <v>30690000</v>
      </c>
      <c r="K2220" s="1495" t="s">
        <v>4213</v>
      </c>
      <c r="L2220" s="49">
        <v>100000</v>
      </c>
      <c r="M2220" s="1493" t="s">
        <v>4210</v>
      </c>
      <c r="N2220" s="49">
        <v>3500000</v>
      </c>
      <c r="O2220" s="1383"/>
      <c r="P2220" s="644"/>
      <c r="Q2220" s="1173"/>
      <c r="R2220" s="644"/>
      <c r="S2220" s="49" t="s">
        <v>4219</v>
      </c>
      <c r="T2220" s="906">
        <v>5600</v>
      </c>
      <c r="U2220" s="48"/>
      <c r="V2220" s="49"/>
      <c r="W2220" s="48"/>
      <c r="X2220" s="48"/>
    </row>
    <row r="2221" spans="7:24">
      <c r="G2221" s="48"/>
      <c r="H2221" s="48"/>
      <c r="I2221" s="1172" t="s">
        <v>4216</v>
      </c>
      <c r="J2221" s="49">
        <v>30360000</v>
      </c>
      <c r="K2221" s="1495" t="s">
        <v>3594</v>
      </c>
      <c r="L2221" s="49">
        <v>3800000</v>
      </c>
      <c r="M2221" s="1493" t="s">
        <v>3761</v>
      </c>
      <c r="N2221" s="49">
        <v>60000000</v>
      </c>
      <c r="O2221" s="1180"/>
      <c r="P2221" s="644"/>
      <c r="Q2221" s="1173"/>
      <c r="R2221" s="644"/>
      <c r="S2221" s="1179"/>
      <c r="T2221" s="1162"/>
      <c r="U2221" s="1078"/>
      <c r="V2221" s="49"/>
      <c r="W2221" s="48"/>
      <c r="X2221" s="48"/>
    </row>
    <row r="2222" spans="7:24">
      <c r="G2222" s="48"/>
      <c r="H2222" s="48"/>
      <c r="I2222" s="1174" t="s">
        <v>4218</v>
      </c>
      <c r="J2222" s="49">
        <v>16700000</v>
      </c>
      <c r="K2222" s="1495"/>
      <c r="L2222" s="49"/>
      <c r="M2222" s="1493" t="s">
        <v>3450</v>
      </c>
      <c r="N2222" s="49">
        <v>581900000</v>
      </c>
      <c r="O2222" s="644"/>
      <c r="P2222" s="644"/>
      <c r="Q2222" s="1173"/>
      <c r="R2222" s="644"/>
      <c r="S2222" s="48"/>
      <c r="T2222" s="1162"/>
      <c r="U2222" s="48"/>
      <c r="V2222" s="49"/>
      <c r="W2222" s="48"/>
      <c r="X2222" s="48"/>
    </row>
    <row r="2223" spans="7:24">
      <c r="G2223" s="48"/>
      <c r="H2223" s="48"/>
      <c r="I2223" s="1172"/>
      <c r="J2223" s="990"/>
      <c r="K2223" s="1495"/>
      <c r="L2223" s="49"/>
      <c r="M2223" s="1498"/>
      <c r="N2223" s="49"/>
      <c r="O2223" s="644"/>
      <c r="P2223" s="644"/>
      <c r="Q2223" s="1173"/>
      <c r="R2223" s="644"/>
      <c r="S2223" s="48"/>
      <c r="T2223" s="1162"/>
      <c r="U2223" s="48"/>
      <c r="V2223" s="49"/>
      <c r="W2223" s="48"/>
      <c r="X2223" s="48"/>
    </row>
    <row r="2224" spans="7:24">
      <c r="G2224" s="48"/>
      <c r="H2224" s="48"/>
      <c r="I2224" s="1172"/>
      <c r="J2224" s="49"/>
      <c r="K2224" s="1495"/>
      <c r="L2224" s="49"/>
      <c r="M2224" s="1495"/>
      <c r="N2224" s="49"/>
      <c r="O2224" s="644"/>
      <c r="P2224" s="644"/>
      <c r="Q2224" s="1176"/>
      <c r="R2224" s="644"/>
      <c r="S2224" s="48"/>
      <c r="T2224" s="1162"/>
      <c r="U2224" s="48"/>
      <c r="V2224" s="49"/>
      <c r="W2224" s="48"/>
      <c r="X2224" s="48"/>
    </row>
    <row r="2225" spans="7:24">
      <c r="G2225" s="48"/>
      <c r="H2225" s="48"/>
      <c r="I2225" s="1074"/>
      <c r="J2225" s="49"/>
      <c r="K2225" s="1495"/>
      <c r="L2225" s="49"/>
      <c r="M2225" s="1498"/>
      <c r="N2225" s="49"/>
      <c r="O2225" s="644"/>
      <c r="P2225" s="644"/>
      <c r="Q2225" s="1176"/>
      <c r="R2225" s="644"/>
      <c r="S2225" s="48"/>
      <c r="T2225" s="1162"/>
      <c r="U2225" s="48"/>
      <c r="V2225" s="49"/>
      <c r="W2225" s="48"/>
      <c r="X2225" s="48"/>
    </row>
    <row r="2226" spans="7:24">
      <c r="G2226" s="48"/>
      <c r="H2226" s="48"/>
      <c r="I2226" s="1074"/>
      <c r="J2226" s="49"/>
      <c r="K2226" s="1532"/>
      <c r="L2226" s="49"/>
      <c r="M2226" s="1498"/>
      <c r="N2226" s="49"/>
      <c r="O2226" s="644"/>
      <c r="P2226" s="644"/>
      <c r="Q2226" s="644"/>
      <c r="R2226" s="644"/>
      <c r="S2226" s="48"/>
      <c r="T2226" s="1162"/>
      <c r="U2226" s="48"/>
      <c r="V2226" s="49"/>
      <c r="W2226" s="48"/>
      <c r="X2226" s="48"/>
    </row>
    <row r="2227" spans="7:24">
      <c r="G2227" s="48"/>
      <c r="H2227" s="48"/>
      <c r="I2227" s="48"/>
      <c r="J2227" s="49"/>
      <c r="K2227" s="1495"/>
      <c r="L2227" s="49"/>
      <c r="M2227" s="1498"/>
      <c r="N2227" s="49"/>
      <c r="O2227" s="644"/>
      <c r="P2227" s="644"/>
      <c r="Q2227" s="644"/>
      <c r="R2227" s="644"/>
      <c r="S2227" s="48"/>
      <c r="T2227" s="1162"/>
      <c r="U2227" s="48"/>
      <c r="V2227" s="49"/>
      <c r="W2227" s="48"/>
      <c r="X2227" s="48"/>
    </row>
    <row r="2228" spans="7:24">
      <c r="G2228" s="48"/>
      <c r="H2228" s="48"/>
      <c r="I2228" s="48"/>
      <c r="J2228" s="49"/>
      <c r="K2228" s="1495"/>
      <c r="L2228" s="49"/>
      <c r="M2228" s="1498"/>
      <c r="N2228" s="49"/>
      <c r="O2228" s="644"/>
      <c r="P2228" s="644"/>
      <c r="Q2228" s="644"/>
      <c r="R2228" s="644"/>
      <c r="S2228" s="48"/>
      <c r="T2228" s="1162"/>
      <c r="U2228" s="48"/>
      <c r="V2228" s="49"/>
      <c r="W2228" s="48"/>
      <c r="X2228" s="48"/>
    </row>
    <row r="2229" spans="7:24">
      <c r="G2229" s="48"/>
      <c r="H2229" s="48"/>
      <c r="I2229" s="48"/>
      <c r="J2229" s="49"/>
      <c r="K2229" s="1498"/>
      <c r="L2229" s="49"/>
      <c r="M2229" s="1498"/>
      <c r="N2229" s="49"/>
      <c r="O2229" s="644"/>
      <c r="P2229" s="644"/>
      <c r="Q2229" s="644"/>
      <c r="R2229" s="644"/>
      <c r="S2229" s="48"/>
      <c r="T2229" s="1162"/>
      <c r="U2229" s="48"/>
      <c r="V2229" s="48"/>
      <c r="W2229" s="48"/>
      <c r="X2229" s="48"/>
    </row>
    <row r="2230" spans="7:24">
      <c r="G2230" s="48"/>
      <c r="H2230" s="48"/>
      <c r="I2230" s="48"/>
      <c r="J2230" s="49"/>
      <c r="K2230" s="49"/>
      <c r="L2230" s="49"/>
      <c r="M2230" s="1498"/>
      <c r="N2230" s="49"/>
      <c r="O2230" s="644"/>
      <c r="P2230" s="644"/>
      <c r="Q2230" s="644"/>
      <c r="R2230" s="644"/>
      <c r="S2230" s="48"/>
      <c r="T2230" s="1162"/>
      <c r="U2230" s="48"/>
      <c r="V2230" s="48"/>
      <c r="W2230" s="48"/>
      <c r="X2230" s="48"/>
    </row>
    <row r="2231" spans="7:24">
      <c r="G2231" s="48"/>
      <c r="H2231" s="48"/>
      <c r="I2231" s="48"/>
      <c r="J2231" s="954">
        <f>SUM(J2219:J2227)</f>
        <v>160190000</v>
      </c>
      <c r="K2231" s="954"/>
      <c r="L2231" s="954">
        <f>SUM(L2219:L2230)</f>
        <v>4300000</v>
      </c>
      <c r="M2231" s="1498"/>
      <c r="N2231" s="954">
        <f>SUM(N2219:N2230)</f>
        <v>677700000</v>
      </c>
      <c r="O2231" s="644"/>
      <c r="P2231" s="969">
        <f>SUM(P2219:P2225)</f>
        <v>4000000</v>
      </c>
      <c r="Q2231" s="969"/>
      <c r="R2231" s="969">
        <f>SUM(R2219:R2225)</f>
        <v>3500000</v>
      </c>
      <c r="S2231" s="48"/>
      <c r="T2231" s="1178">
        <f>SUM(T2219:T2230)</f>
        <v>7000</v>
      </c>
      <c r="U2231" s="48"/>
      <c r="V2231" s="878">
        <f>SUM(V2219:V2230)</f>
        <v>800</v>
      </c>
      <c r="W2231" s="48"/>
      <c r="X2231" s="878">
        <f>X2219</f>
        <v>0</v>
      </c>
    </row>
    <row r="2232" spans="7:24">
      <c r="T2232" s="1161"/>
    </row>
    <row r="2233" spans="7:24">
      <c r="T2233" s="1161"/>
    </row>
    <row r="2234" spans="7:24">
      <c r="R2234" s="661"/>
      <c r="T2234" s="1161"/>
    </row>
    <row r="2235" spans="7:24">
      <c r="T2235" s="1161"/>
    </row>
    <row r="2236" spans="7:24">
      <c r="T2236" s="1161"/>
    </row>
    <row r="2237" spans="7:24">
      <c r="I2237" s="946"/>
      <c r="M2237" s="1533" t="s">
        <v>3699</v>
      </c>
      <c r="O2237" s="1535" t="s">
        <v>3741</v>
      </c>
      <c r="P2237" s="1512"/>
      <c r="S2237" s="906" t="s">
        <v>4049</v>
      </c>
      <c r="T2237" s="1107">
        <f>T2231-V2231</f>
        <v>6200</v>
      </c>
    </row>
    <row r="2238" spans="7:24">
      <c r="G2238" s="1574" t="s">
        <v>3530</v>
      </c>
      <c r="H2238" s="1574"/>
      <c r="I2238" s="1574"/>
      <c r="J2238" s="3">
        <f>J2231+L2231</f>
        <v>164490000</v>
      </c>
      <c r="K2238" s="1009"/>
      <c r="L2238" s="3"/>
      <c r="M2238" s="1533" t="s">
        <v>3664</v>
      </c>
      <c r="N2238" s="1527"/>
      <c r="O2238" s="1535" t="s">
        <v>4066</v>
      </c>
      <c r="P2238" s="1512">
        <f>P2231</f>
        <v>4000000</v>
      </c>
      <c r="T2238" s="1161"/>
    </row>
    <row r="2239" spans="7:24">
      <c r="G2239" s="1574" t="s">
        <v>3512</v>
      </c>
      <c r="H2239" s="1574"/>
      <c r="I2239" s="1574"/>
      <c r="J2239" s="3">
        <f>N2231-J2238</f>
        <v>513210000</v>
      </c>
      <c r="K2239" s="1009">
        <f>+J2239-260000</f>
        <v>512950000</v>
      </c>
      <c r="L2239" s="3"/>
      <c r="M2239" s="1528"/>
      <c r="O2239" s="1529"/>
      <c r="Q2239" s="661"/>
      <c r="T2239" s="1161"/>
    </row>
    <row r="2240" spans="7:24">
      <c r="G2240" s="1574" t="s">
        <v>3531</v>
      </c>
      <c r="H2240" s="1574"/>
      <c r="I2240" s="1574"/>
      <c r="J2240" s="3">
        <f>T2237</f>
        <v>6200</v>
      </c>
      <c r="K2240" s="3">
        <f>+K2239-516750000</f>
        <v>-3800000</v>
      </c>
      <c r="Q2240" s="3"/>
      <c r="T2240" s="1161"/>
    </row>
    <row r="2241" spans="7:24">
      <c r="G2241" s="5"/>
      <c r="H2241" s="5"/>
      <c r="I2241" s="1160" t="s">
        <v>4067</v>
      </c>
      <c r="T2241" s="1161"/>
    </row>
    <row r="2243" spans="7:24">
      <c r="J2243" s="3">
        <v>60000000</v>
      </c>
    </row>
    <row r="2244" spans="7:24">
      <c r="J2244" s="3">
        <f>J2239-J2243</f>
        <v>453210000</v>
      </c>
    </row>
    <row r="2247" spans="7:24">
      <c r="G2247" s="1008">
        <v>45995</v>
      </c>
      <c r="H2247" s="1169"/>
      <c r="I2247" s="1575" t="s">
        <v>3510</v>
      </c>
      <c r="J2247" s="1576"/>
      <c r="K2247" s="1575" t="s">
        <v>3509</v>
      </c>
      <c r="L2247" s="1576"/>
      <c r="M2247" s="1575" t="s">
        <v>3541</v>
      </c>
      <c r="N2247" s="1576"/>
      <c r="O2247" s="1577" t="s">
        <v>3598</v>
      </c>
      <c r="P2247" s="1578"/>
      <c r="Q2247" s="1579" t="s">
        <v>3599</v>
      </c>
      <c r="R2247" s="1580"/>
      <c r="S2247" s="1583" t="s">
        <v>3953</v>
      </c>
      <c r="T2247" s="1583"/>
      <c r="U2247" s="1583" t="s">
        <v>3954</v>
      </c>
      <c r="V2247" s="1583"/>
      <c r="W2247" s="1584" t="s">
        <v>4201</v>
      </c>
      <c r="X2247" s="1585"/>
    </row>
    <row r="2248" spans="7:24">
      <c r="G2248" s="1097"/>
      <c r="H2248" s="1170"/>
      <c r="I2248" s="1183" t="s">
        <v>4100</v>
      </c>
      <c r="J2248" s="49">
        <v>61380000</v>
      </c>
      <c r="K2248" s="49" t="s">
        <v>4222</v>
      </c>
      <c r="L2248" s="49">
        <f>12000*400</f>
        <v>4800000</v>
      </c>
      <c r="M2248" s="1495" t="s">
        <v>3512</v>
      </c>
      <c r="N2248" s="49">
        <v>453210000</v>
      </c>
      <c r="O2248" s="1383" t="s">
        <v>4226</v>
      </c>
      <c r="P2248" s="644">
        <v>3355000</v>
      </c>
      <c r="Q2248" s="1186" t="s">
        <v>3532</v>
      </c>
      <c r="R2248" s="644">
        <v>300000</v>
      </c>
      <c r="S2248" s="48" t="s">
        <v>3512</v>
      </c>
      <c r="T2248" s="1191">
        <v>6200</v>
      </c>
      <c r="V2248" s="48"/>
      <c r="W2248" s="1174"/>
      <c r="X2248" s="49"/>
    </row>
    <row r="2249" spans="7:24">
      <c r="G2249" s="1098"/>
      <c r="H2249" s="1172"/>
      <c r="I2249" s="1183" t="s">
        <v>4220</v>
      </c>
      <c r="J2249" s="49">
        <v>93000000</v>
      </c>
      <c r="K2249" s="1495" t="s">
        <v>3808</v>
      </c>
      <c r="L2249" s="49">
        <v>7400000</v>
      </c>
      <c r="M2249" s="1493" t="s">
        <v>4227</v>
      </c>
      <c r="N2249" s="49">
        <v>10000000</v>
      </c>
      <c r="O2249" s="1383" t="s">
        <v>4225</v>
      </c>
      <c r="P2249" s="644">
        <f>1800000+1200000</f>
        <v>3000000</v>
      </c>
      <c r="Q2249" s="1186" t="s">
        <v>3614</v>
      </c>
      <c r="R2249" s="644">
        <v>505000</v>
      </c>
      <c r="S2249" s="48" t="s">
        <v>4223</v>
      </c>
      <c r="T2249" s="1191">
        <v>400</v>
      </c>
      <c r="U2249" s="48"/>
      <c r="V2249" s="49"/>
      <c r="W2249" s="48"/>
      <c r="X2249" s="48"/>
    </row>
    <row r="2250" spans="7:24">
      <c r="G2250" s="48"/>
      <c r="H2250" s="48"/>
      <c r="I2250" s="1184" t="s">
        <v>4221</v>
      </c>
      <c r="J2250" s="49">
        <v>55800000</v>
      </c>
      <c r="K2250" s="1495" t="s">
        <v>4224</v>
      </c>
      <c r="L2250" s="49">
        <v>2000000</v>
      </c>
      <c r="M2250" s="1493" t="s">
        <v>4228</v>
      </c>
      <c r="N2250" s="49">
        <v>1345000</v>
      </c>
      <c r="O2250" s="1180"/>
      <c r="P2250" s="644"/>
      <c r="Q2250" s="1186" t="s">
        <v>3532</v>
      </c>
      <c r="R2250" s="644">
        <v>500000</v>
      </c>
      <c r="S2250" s="1190" t="s">
        <v>4228</v>
      </c>
      <c r="T2250" s="1191">
        <v>100</v>
      </c>
      <c r="U2250" s="1078"/>
      <c r="V2250" s="49"/>
      <c r="W2250" s="48"/>
      <c r="X2250" s="48"/>
    </row>
    <row r="2251" spans="7:24">
      <c r="G2251" s="48"/>
      <c r="H2251" s="48"/>
      <c r="I2251" s="1174"/>
      <c r="J2251" s="49"/>
      <c r="K2251" s="1495" t="s">
        <v>4231</v>
      </c>
      <c r="L2251" s="49">
        <v>300000</v>
      </c>
      <c r="M2251" s="1493" t="s">
        <v>4229</v>
      </c>
      <c r="N2251" s="49">
        <v>300000</v>
      </c>
      <c r="O2251" s="644"/>
      <c r="P2251" s="644"/>
      <c r="Q2251" s="1186" t="s">
        <v>3532</v>
      </c>
      <c r="R2251" s="644">
        <v>528000</v>
      </c>
      <c r="S2251" s="48"/>
      <c r="T2251" s="1167"/>
      <c r="U2251" s="48"/>
      <c r="V2251" s="49"/>
      <c r="W2251" s="48"/>
      <c r="X2251" s="48"/>
    </row>
    <row r="2252" spans="7:24">
      <c r="G2252" s="48"/>
      <c r="H2252" s="48"/>
      <c r="I2252" s="1172"/>
      <c r="J2252" s="990"/>
      <c r="K2252" s="1495"/>
      <c r="L2252" s="49"/>
      <c r="M2252" s="1498" t="s">
        <v>4230</v>
      </c>
      <c r="N2252" s="49">
        <v>1000000</v>
      </c>
      <c r="O2252" s="644"/>
      <c r="P2252" s="644"/>
      <c r="Q2252" s="1186" t="s">
        <v>3363</v>
      </c>
      <c r="R2252" s="644">
        <v>50000</v>
      </c>
      <c r="S2252" s="48"/>
      <c r="T2252" s="1167"/>
      <c r="U2252" s="48"/>
      <c r="V2252" s="49"/>
      <c r="W2252" s="48"/>
      <c r="X2252" s="48"/>
    </row>
    <row r="2253" spans="7:24">
      <c r="G2253" s="48"/>
      <c r="H2253" s="48"/>
      <c r="I2253" s="1172"/>
      <c r="J2253" s="49"/>
      <c r="K2253" s="1495"/>
      <c r="L2253" s="49"/>
      <c r="M2253" s="1495"/>
      <c r="N2253" s="49"/>
      <c r="O2253" s="644"/>
      <c r="P2253" s="644"/>
      <c r="Q2253" s="1176"/>
      <c r="R2253" s="644"/>
      <c r="S2253" s="48"/>
      <c r="T2253" s="1167"/>
      <c r="U2253" s="48"/>
      <c r="V2253" s="49"/>
      <c r="W2253" s="48"/>
      <c r="X2253" s="48"/>
    </row>
    <row r="2254" spans="7:24">
      <c r="G2254" s="48"/>
      <c r="H2254" s="48"/>
      <c r="I2254" s="1074"/>
      <c r="J2254" s="49"/>
      <c r="K2254" s="1495"/>
      <c r="L2254" s="49"/>
      <c r="M2254" s="1498"/>
      <c r="N2254" s="49"/>
      <c r="O2254" s="644"/>
      <c r="P2254" s="644"/>
      <c r="Q2254" s="1176"/>
      <c r="R2254" s="644"/>
      <c r="S2254" s="48"/>
      <c r="T2254" s="1167"/>
      <c r="U2254" s="48"/>
      <c r="V2254" s="49"/>
      <c r="W2254" s="48"/>
      <c r="X2254" s="48"/>
    </row>
    <row r="2255" spans="7:24">
      <c r="G2255" s="48"/>
      <c r="H2255" s="48"/>
      <c r="I2255" s="1074"/>
      <c r="J2255" s="49"/>
      <c r="K2255" s="1532"/>
      <c r="L2255" s="49"/>
      <c r="M2255" s="1498"/>
      <c r="N2255" s="49"/>
      <c r="O2255" s="644"/>
      <c r="P2255" s="644"/>
      <c r="Q2255" s="644"/>
      <c r="R2255" s="644"/>
      <c r="S2255" s="48"/>
      <c r="T2255" s="1167"/>
      <c r="U2255" s="48"/>
      <c r="V2255" s="49"/>
      <c r="W2255" s="48"/>
      <c r="X2255" s="48"/>
    </row>
    <row r="2256" spans="7:24">
      <c r="G2256" s="48"/>
      <c r="H2256" s="48"/>
      <c r="I2256" s="48"/>
      <c r="J2256" s="49"/>
      <c r="K2256" s="1495"/>
      <c r="L2256" s="49"/>
      <c r="M2256" s="1498"/>
      <c r="N2256" s="49"/>
      <c r="O2256" s="644"/>
      <c r="P2256" s="644"/>
      <c r="Q2256" s="644"/>
      <c r="R2256" s="644"/>
      <c r="S2256" s="48"/>
      <c r="T2256" s="1167"/>
      <c r="U2256" s="48"/>
      <c r="V2256" s="49"/>
      <c r="W2256" s="48"/>
      <c r="X2256" s="48"/>
    </row>
    <row r="2257" spans="7:24">
      <c r="G2257" s="48"/>
      <c r="H2257" s="48"/>
      <c r="I2257" s="48"/>
      <c r="J2257" s="49"/>
      <c r="K2257" s="1495"/>
      <c r="L2257" s="49"/>
      <c r="M2257" s="1498"/>
      <c r="N2257" s="49"/>
      <c r="O2257" s="644"/>
      <c r="P2257" s="644"/>
      <c r="Q2257" s="644"/>
      <c r="R2257" s="644"/>
      <c r="S2257" s="48"/>
      <c r="T2257" s="1167"/>
      <c r="U2257" s="48"/>
      <c r="V2257" s="49"/>
      <c r="W2257" s="48"/>
      <c r="X2257" s="48"/>
    </row>
    <row r="2258" spans="7:24">
      <c r="G2258" s="48"/>
      <c r="H2258" s="48"/>
      <c r="I2258" s="48"/>
      <c r="J2258" s="49"/>
      <c r="K2258" s="1498"/>
      <c r="L2258" s="49"/>
      <c r="M2258" s="1498"/>
      <c r="N2258" s="49"/>
      <c r="O2258" s="644"/>
      <c r="P2258" s="644"/>
      <c r="Q2258" s="644"/>
      <c r="R2258" s="644"/>
      <c r="S2258" s="48"/>
      <c r="T2258" s="1167"/>
      <c r="U2258" s="48"/>
      <c r="V2258" s="48"/>
      <c r="W2258" s="48"/>
      <c r="X2258" s="48"/>
    </row>
    <row r="2259" spans="7:24">
      <c r="G2259" s="48"/>
      <c r="H2259" s="48"/>
      <c r="I2259" s="48"/>
      <c r="J2259" s="49"/>
      <c r="K2259" s="49"/>
      <c r="L2259" s="49"/>
      <c r="M2259" s="1498"/>
      <c r="N2259" s="49"/>
      <c r="O2259" s="644"/>
      <c r="P2259" s="644"/>
      <c r="Q2259" s="644"/>
      <c r="R2259" s="644"/>
      <c r="S2259" s="48"/>
      <c r="T2259" s="1167"/>
      <c r="U2259" s="48"/>
      <c r="V2259" s="48"/>
      <c r="W2259" s="48"/>
      <c r="X2259" s="48"/>
    </row>
    <row r="2260" spans="7:24">
      <c r="G2260" s="48"/>
      <c r="H2260" s="48"/>
      <c r="I2260" s="48"/>
      <c r="J2260" s="954">
        <f>SUM(J2248:J2256)</f>
        <v>210180000</v>
      </c>
      <c r="K2260" s="954"/>
      <c r="L2260" s="954">
        <f>SUM(L2248:L2259)</f>
        <v>14500000</v>
      </c>
      <c r="M2260" s="1498"/>
      <c r="N2260" s="954">
        <f>SUM(N2248:N2259)</f>
        <v>465855000</v>
      </c>
      <c r="O2260" s="644"/>
      <c r="P2260" s="969">
        <f>SUM(P2248:P2254)</f>
        <v>6355000</v>
      </c>
      <c r="Q2260" s="969"/>
      <c r="R2260" s="969">
        <f>SUM(R2248:R2254)</f>
        <v>1883000</v>
      </c>
      <c r="S2260" s="48"/>
      <c r="T2260" s="1178">
        <f>SUM(T2248:T2259)</f>
        <v>6700</v>
      </c>
      <c r="U2260" s="48"/>
      <c r="V2260" s="878">
        <f>SUM(V2248:V2259)</f>
        <v>0</v>
      </c>
      <c r="W2260" s="48"/>
      <c r="X2260" s="878">
        <f>X2248</f>
        <v>0</v>
      </c>
    </row>
    <row r="2261" spans="7:24">
      <c r="T2261" s="1166"/>
    </row>
    <row r="2262" spans="7:24">
      <c r="T2262" s="1166"/>
    </row>
    <row r="2263" spans="7:24">
      <c r="R2263" s="661"/>
      <c r="T2263" s="1166"/>
    </row>
    <row r="2264" spans="7:24">
      <c r="T2264" s="1166"/>
    </row>
    <row r="2265" spans="7:24">
      <c r="T2265" s="1166"/>
    </row>
    <row r="2266" spans="7:24">
      <c r="I2266" s="946"/>
      <c r="M2266" s="1533" t="s">
        <v>3699</v>
      </c>
      <c r="O2266" s="1535" t="s">
        <v>3741</v>
      </c>
      <c r="P2266" s="1512"/>
      <c r="S2266" s="906" t="s">
        <v>4049</v>
      </c>
      <c r="T2266" s="1107">
        <f>T2260-V2260</f>
        <v>6700</v>
      </c>
    </row>
    <row r="2267" spans="7:24">
      <c r="G2267" s="1574" t="s">
        <v>3530</v>
      </c>
      <c r="H2267" s="1574"/>
      <c r="I2267" s="1574"/>
      <c r="J2267" s="3">
        <f>J2260+L2260</f>
        <v>224680000</v>
      </c>
      <c r="K2267" s="1009"/>
      <c r="L2267" s="3"/>
      <c r="M2267" s="1533" t="s">
        <v>3664</v>
      </c>
      <c r="N2267" s="1527"/>
      <c r="O2267" s="1535" t="s">
        <v>4066</v>
      </c>
      <c r="P2267" s="1512">
        <v>5666000</v>
      </c>
      <c r="T2267" s="1166"/>
    </row>
    <row r="2268" spans="7:24">
      <c r="G2268" s="1574" t="s">
        <v>3512</v>
      </c>
      <c r="H2268" s="1574"/>
      <c r="I2268" s="1574"/>
      <c r="J2268" s="3">
        <f>N2260-J2267</f>
        <v>241175000</v>
      </c>
      <c r="K2268" s="1009"/>
      <c r="L2268" s="3"/>
      <c r="M2268" s="1528"/>
      <c r="O2268" s="1529"/>
      <c r="Q2268" s="661"/>
      <c r="T2268" s="1166"/>
    </row>
    <row r="2269" spans="7:24">
      <c r="G2269" s="1574" t="s">
        <v>3531</v>
      </c>
      <c r="H2269" s="1574"/>
      <c r="I2269" s="1574"/>
      <c r="J2269" s="3">
        <f>T2266</f>
        <v>6700</v>
      </c>
      <c r="O2269" s="1527" t="s">
        <v>4232</v>
      </c>
      <c r="P2269" s="1527">
        <v>139000</v>
      </c>
      <c r="Q2269" s="3"/>
      <c r="T2269" s="1166"/>
    </row>
    <row r="2270" spans="7:24">
      <c r="G2270" s="5"/>
      <c r="H2270" s="5"/>
      <c r="I2270" s="1165" t="s">
        <v>4067</v>
      </c>
      <c r="T2270" s="1166"/>
    </row>
    <row r="2277" spans="7:24">
      <c r="G2277" s="1008">
        <v>45996</v>
      </c>
      <c r="H2277" s="1169"/>
      <c r="I2277" s="1575" t="s">
        <v>3510</v>
      </c>
      <c r="J2277" s="1576"/>
      <c r="K2277" s="1575" t="s">
        <v>3509</v>
      </c>
      <c r="L2277" s="1576"/>
      <c r="M2277" s="1575" t="s">
        <v>3541</v>
      </c>
      <c r="N2277" s="1576"/>
      <c r="O2277" s="1577" t="s">
        <v>3598</v>
      </c>
      <c r="P2277" s="1578"/>
      <c r="Q2277" s="1579" t="s">
        <v>3599</v>
      </c>
      <c r="R2277" s="1580"/>
      <c r="S2277" s="1583" t="s">
        <v>3953</v>
      </c>
      <c r="T2277" s="1583"/>
      <c r="U2277" s="1583" t="s">
        <v>3954</v>
      </c>
      <c r="V2277" s="1583"/>
      <c r="W2277" s="1584" t="s">
        <v>4201</v>
      </c>
      <c r="X2277" s="1585"/>
    </row>
    <row r="2278" spans="7:24">
      <c r="G2278" s="1097"/>
      <c r="H2278" s="1170"/>
      <c r="I2278" s="1183" t="s">
        <v>4240</v>
      </c>
      <c r="J2278" s="49">
        <v>30000000</v>
      </c>
      <c r="K2278" s="49" t="s">
        <v>4233</v>
      </c>
      <c r="L2278" s="49">
        <v>1500000</v>
      </c>
      <c r="M2278" s="1495" t="s">
        <v>4238</v>
      </c>
      <c r="N2278" s="49">
        <v>1500000</v>
      </c>
      <c r="O2278" s="1383" t="s">
        <v>4233</v>
      </c>
      <c r="P2278" s="644">
        <v>1500000</v>
      </c>
      <c r="Q2278" s="1186" t="s">
        <v>4237</v>
      </c>
      <c r="R2278" s="644">
        <v>400000</v>
      </c>
      <c r="S2278" s="48" t="s">
        <v>4234</v>
      </c>
      <c r="T2278" s="1191">
        <v>200</v>
      </c>
      <c r="U2278" s="1183" t="s">
        <v>4183</v>
      </c>
      <c r="V2278" s="48">
        <v>6900</v>
      </c>
      <c r="W2278" s="1174"/>
      <c r="X2278" s="49"/>
    </row>
    <row r="2279" spans="7:24">
      <c r="G2279" s="1098"/>
      <c r="H2279" s="1172"/>
      <c r="I2279" s="1183" t="s">
        <v>4241</v>
      </c>
      <c r="J2279" s="49">
        <v>27600000</v>
      </c>
      <c r="K2279" s="1495" t="s">
        <v>4183</v>
      </c>
      <c r="L2279" s="49">
        <v>1200000</v>
      </c>
      <c r="M2279" s="1493"/>
      <c r="N2279" s="49">
        <v>240000000</v>
      </c>
      <c r="O2279" s="1383"/>
      <c r="P2279" s="644">
        <v>5666000</v>
      </c>
      <c r="Q2279" s="1186" t="s">
        <v>4239</v>
      </c>
      <c r="R2279" s="644">
        <v>100000</v>
      </c>
      <c r="S2279" s="48" t="s">
        <v>4235</v>
      </c>
      <c r="T2279" s="1191">
        <v>6700</v>
      </c>
      <c r="U2279" s="48"/>
      <c r="V2279" s="49"/>
      <c r="W2279" s="48"/>
      <c r="X2279" s="48"/>
    </row>
    <row r="2280" spans="7:24">
      <c r="G2280" s="48"/>
      <c r="H2280" s="48"/>
      <c r="I2280" s="1184"/>
      <c r="J2280" s="49"/>
      <c r="K2280" s="1495" t="s">
        <v>4236</v>
      </c>
      <c r="L2280" s="49">
        <v>1000000</v>
      </c>
      <c r="M2280" s="1493"/>
      <c r="N2280" s="49"/>
      <c r="O2280" s="1180"/>
      <c r="P2280" s="644"/>
      <c r="Q2280" s="1186"/>
      <c r="R2280" s="644"/>
      <c r="S2280" s="1190"/>
      <c r="T2280" s="1191"/>
      <c r="U2280" s="1078"/>
      <c r="V2280" s="49"/>
      <c r="W2280" s="48"/>
      <c r="X2280" s="48"/>
    </row>
    <row r="2281" spans="7:24">
      <c r="G2281" s="48"/>
      <c r="H2281" s="48"/>
      <c r="I2281" s="1174"/>
      <c r="J2281" s="49"/>
      <c r="K2281" s="1495" t="s">
        <v>4223</v>
      </c>
      <c r="L2281" s="49">
        <v>2400000</v>
      </c>
      <c r="M2281" s="1493"/>
      <c r="N2281" s="49"/>
      <c r="O2281" s="644"/>
      <c r="P2281" s="644"/>
      <c r="Q2281" s="1186"/>
      <c r="R2281" s="644"/>
      <c r="S2281" s="48"/>
      <c r="T2281" s="1167"/>
      <c r="U2281" s="48"/>
      <c r="V2281" s="49"/>
      <c r="W2281" s="48"/>
      <c r="X2281" s="48"/>
    </row>
    <row r="2282" spans="7:24">
      <c r="G2282" s="48"/>
      <c r="H2282" s="48"/>
      <c r="I2282" s="1172"/>
      <c r="J2282" s="990"/>
      <c r="K2282" s="1495"/>
      <c r="L2282" s="49"/>
      <c r="M2282" s="1498"/>
      <c r="N2282" s="49"/>
      <c r="O2282" s="644"/>
      <c r="P2282" s="644"/>
      <c r="Q2282" s="1186"/>
      <c r="R2282" s="644"/>
      <c r="S2282" s="48"/>
      <c r="T2282" s="1167"/>
      <c r="U2282" s="48"/>
      <c r="V2282" s="49"/>
      <c r="W2282" s="48"/>
      <c r="X2282" s="48"/>
    </row>
    <row r="2283" spans="7:24">
      <c r="G2283" s="48"/>
      <c r="H2283" s="48"/>
      <c r="I2283" s="1172"/>
      <c r="J2283" s="49"/>
      <c r="K2283" s="1495"/>
      <c r="L2283" s="49"/>
      <c r="M2283" s="1495"/>
      <c r="N2283" s="49"/>
      <c r="O2283" s="644"/>
      <c r="P2283" s="644"/>
      <c r="Q2283" s="1176"/>
      <c r="R2283" s="644"/>
      <c r="S2283" s="48"/>
      <c r="T2283" s="1167"/>
      <c r="U2283" s="48"/>
      <c r="V2283" s="49"/>
      <c r="W2283" s="48"/>
      <c r="X2283" s="48"/>
    </row>
    <row r="2284" spans="7:24">
      <c r="G2284" s="48"/>
      <c r="H2284" s="48"/>
      <c r="I2284" s="1074"/>
      <c r="J2284" s="49"/>
      <c r="K2284" s="1495"/>
      <c r="L2284" s="49"/>
      <c r="M2284" s="1498"/>
      <c r="N2284" s="49"/>
      <c r="O2284" s="644"/>
      <c r="P2284" s="644"/>
      <c r="Q2284" s="1176"/>
      <c r="R2284" s="644"/>
      <c r="S2284" s="48"/>
      <c r="T2284" s="1167"/>
      <c r="U2284" s="48"/>
      <c r="V2284" s="49"/>
      <c r="W2284" s="48"/>
      <c r="X2284" s="48"/>
    </row>
    <row r="2285" spans="7:24">
      <c r="G2285" s="48"/>
      <c r="H2285" s="48"/>
      <c r="I2285" s="1074"/>
      <c r="J2285" s="49"/>
      <c r="K2285" s="1532"/>
      <c r="L2285" s="49"/>
      <c r="M2285" s="1498"/>
      <c r="N2285" s="49"/>
      <c r="O2285" s="644"/>
      <c r="P2285" s="644"/>
      <c r="Q2285" s="644"/>
      <c r="R2285" s="644"/>
      <c r="S2285" s="48"/>
      <c r="T2285" s="1167"/>
      <c r="U2285" s="48"/>
      <c r="V2285" s="49"/>
      <c r="W2285" s="48"/>
      <c r="X2285" s="48"/>
    </row>
    <row r="2286" spans="7:24">
      <c r="G2286" s="48"/>
      <c r="H2286" s="48"/>
      <c r="I2286" s="48"/>
      <c r="J2286" s="49"/>
      <c r="K2286" s="1495"/>
      <c r="L2286" s="49"/>
      <c r="M2286" s="1498"/>
      <c r="N2286" s="49"/>
      <c r="O2286" s="644"/>
      <c r="P2286" s="644"/>
      <c r="Q2286" s="644"/>
      <c r="R2286" s="644"/>
      <c r="S2286" s="48"/>
      <c r="T2286" s="1167"/>
      <c r="U2286" s="48"/>
      <c r="V2286" s="49"/>
      <c r="W2286" s="48"/>
      <c r="X2286" s="48"/>
    </row>
    <row r="2287" spans="7:24">
      <c r="G2287" s="48"/>
      <c r="H2287" s="48"/>
      <c r="I2287" s="48"/>
      <c r="J2287" s="49"/>
      <c r="K2287" s="1495"/>
      <c r="L2287" s="49"/>
      <c r="M2287" s="1498"/>
      <c r="N2287" s="49"/>
      <c r="O2287" s="644"/>
      <c r="P2287" s="644"/>
      <c r="Q2287" s="644"/>
      <c r="R2287" s="644"/>
      <c r="S2287" s="48"/>
      <c r="T2287" s="1167"/>
      <c r="U2287" s="48"/>
      <c r="V2287" s="49"/>
      <c r="W2287" s="48"/>
      <c r="X2287" s="48"/>
    </row>
    <row r="2288" spans="7:24">
      <c r="G2288" s="48"/>
      <c r="H2288" s="48"/>
      <c r="I2288" s="48"/>
      <c r="J2288" s="49"/>
      <c r="K2288" s="1498"/>
      <c r="L2288" s="49"/>
      <c r="M2288" s="1498"/>
      <c r="N2288" s="49"/>
      <c r="O2288" s="644"/>
      <c r="P2288" s="644"/>
      <c r="Q2288" s="644"/>
      <c r="R2288" s="644"/>
      <c r="S2288" s="48"/>
      <c r="T2288" s="1167"/>
      <c r="U2288" s="48"/>
      <c r="V2288" s="48"/>
      <c r="W2288" s="48"/>
      <c r="X2288" s="48"/>
    </row>
    <row r="2289" spans="7:24">
      <c r="G2289" s="48"/>
      <c r="H2289" s="48"/>
      <c r="I2289" s="48"/>
      <c r="J2289" s="49"/>
      <c r="K2289" s="49"/>
      <c r="L2289" s="49"/>
      <c r="M2289" s="1498"/>
      <c r="N2289" s="49"/>
      <c r="O2289" s="644"/>
      <c r="P2289" s="644"/>
      <c r="Q2289" s="644"/>
      <c r="R2289" s="644"/>
      <c r="S2289" s="48"/>
      <c r="T2289" s="1167"/>
      <c r="U2289" s="48"/>
      <c r="V2289" s="48"/>
      <c r="W2289" s="48"/>
      <c r="X2289" s="48"/>
    </row>
    <row r="2290" spans="7:24">
      <c r="G2290" s="48"/>
      <c r="H2290" s="48"/>
      <c r="I2290" s="48"/>
      <c r="J2290" s="954">
        <f>SUM(J2278:J2286)</f>
        <v>57600000</v>
      </c>
      <c r="K2290" s="954"/>
      <c r="L2290" s="954">
        <f>SUM(L2278:L2289)</f>
        <v>6100000</v>
      </c>
      <c r="M2290" s="1498"/>
      <c r="N2290" s="954">
        <f>SUM(N2278:N2289)</f>
        <v>241500000</v>
      </c>
      <c r="O2290" s="644"/>
      <c r="P2290" s="969">
        <f>SUM(P2278:P2284)</f>
        <v>7166000</v>
      </c>
      <c r="Q2290" s="969"/>
      <c r="R2290" s="969">
        <f>SUM(R2278:R2284)</f>
        <v>500000</v>
      </c>
      <c r="S2290" s="48"/>
      <c r="T2290" s="1178">
        <f>SUM(T2278:T2289)</f>
        <v>6900</v>
      </c>
      <c r="U2290" s="48"/>
      <c r="V2290" s="878">
        <f>SUM(V2278:V2289)</f>
        <v>6900</v>
      </c>
      <c r="W2290" s="48"/>
      <c r="X2290" s="878">
        <f>X2278</f>
        <v>0</v>
      </c>
    </row>
    <row r="2291" spans="7:24">
      <c r="T2291" s="1166"/>
    </row>
    <row r="2292" spans="7:24">
      <c r="T2292" s="1166"/>
    </row>
    <row r="2293" spans="7:24">
      <c r="R2293" s="661"/>
      <c r="T2293" s="1166"/>
    </row>
    <row r="2294" spans="7:24">
      <c r="T2294" s="1166"/>
    </row>
    <row r="2295" spans="7:24">
      <c r="T2295" s="1166"/>
    </row>
    <row r="2296" spans="7:24">
      <c r="I2296" s="946"/>
      <c r="M2296" s="1533" t="s">
        <v>3699</v>
      </c>
      <c r="O2296" s="1535" t="s">
        <v>3741</v>
      </c>
      <c r="P2296" s="1512"/>
      <c r="S2296" s="906" t="s">
        <v>4049</v>
      </c>
      <c r="T2296" s="1107">
        <f>T2290-V2290</f>
        <v>0</v>
      </c>
    </row>
    <row r="2297" spans="7:24">
      <c r="G2297" s="1574" t="s">
        <v>3530</v>
      </c>
      <c r="H2297" s="1574"/>
      <c r="I2297" s="1574"/>
      <c r="J2297" s="3">
        <f>J2290+L2290</f>
        <v>63700000</v>
      </c>
      <c r="K2297" s="1009"/>
      <c r="L2297" s="3"/>
      <c r="M2297" s="1533" t="s">
        <v>3664</v>
      </c>
      <c r="N2297" s="1527"/>
      <c r="O2297" s="1535" t="s">
        <v>4066</v>
      </c>
      <c r="P2297" s="1512">
        <f>P2290</f>
        <v>7166000</v>
      </c>
      <c r="T2297" s="1166"/>
    </row>
    <row r="2298" spans="7:24">
      <c r="G2298" s="1574" t="s">
        <v>3512</v>
      </c>
      <c r="H2298" s="1574"/>
      <c r="I2298" s="1574"/>
      <c r="J2298" s="3">
        <f>N2290-J2297</f>
        <v>177800000</v>
      </c>
      <c r="K2298" s="1009"/>
      <c r="L2298" s="3"/>
      <c r="M2298" s="1528"/>
      <c r="O2298" s="1529"/>
      <c r="Q2298" s="661"/>
      <c r="T2298" s="1166"/>
    </row>
    <row r="2299" spans="7:24">
      <c r="G2299" s="1574" t="s">
        <v>3531</v>
      </c>
      <c r="H2299" s="1574"/>
      <c r="I2299" s="1574"/>
      <c r="J2299" s="3">
        <f>T2296</f>
        <v>0</v>
      </c>
      <c r="O2299" s="1527" t="s">
        <v>4232</v>
      </c>
      <c r="P2299" s="1527">
        <v>189000</v>
      </c>
      <c r="Q2299" s="3"/>
      <c r="T2299" s="1166"/>
    </row>
    <row r="2300" spans="7:24">
      <c r="G2300" s="5"/>
      <c r="H2300" s="5"/>
      <c r="I2300" s="1165" t="s">
        <v>4067</v>
      </c>
      <c r="T2300" s="1166"/>
    </row>
    <row r="2301" spans="7:24">
      <c r="J2301" s="3">
        <v>178000000</v>
      </c>
    </row>
    <row r="2302" spans="7:24">
      <c r="J2302" s="3">
        <f>J2298-J2301</f>
        <v>-200000</v>
      </c>
    </row>
    <row r="2309" spans="7:24">
      <c r="G2309" s="1008">
        <v>45997</v>
      </c>
      <c r="H2309" s="1169"/>
      <c r="I2309" s="1575" t="s">
        <v>3510</v>
      </c>
      <c r="J2309" s="1576"/>
      <c r="K2309" s="1575" t="s">
        <v>3509</v>
      </c>
      <c r="L2309" s="1576"/>
      <c r="M2309" s="1575" t="s">
        <v>3541</v>
      </c>
      <c r="N2309" s="1576"/>
      <c r="O2309" s="1577" t="s">
        <v>3598</v>
      </c>
      <c r="P2309" s="1578"/>
      <c r="Q2309" s="1579" t="s">
        <v>3599</v>
      </c>
      <c r="R2309" s="1580"/>
      <c r="S2309" s="1583" t="s">
        <v>3953</v>
      </c>
      <c r="T2309" s="1583"/>
      <c r="U2309" s="1583" t="s">
        <v>3954</v>
      </c>
      <c r="V2309" s="1583"/>
      <c r="W2309" s="1584" t="s">
        <v>4201</v>
      </c>
      <c r="X2309" s="1585"/>
    </row>
    <row r="2310" spans="7:24">
      <c r="G2310" s="1097"/>
      <c r="H2310" s="1170"/>
      <c r="I2310" s="1183" t="s">
        <v>4243</v>
      </c>
      <c r="J2310" s="49">
        <v>30360000</v>
      </c>
      <c r="K2310" s="49" t="s">
        <v>4242</v>
      </c>
      <c r="L2310" s="49">
        <v>4000000</v>
      </c>
      <c r="M2310" s="1495" t="s">
        <v>3512</v>
      </c>
      <c r="N2310" s="49">
        <v>177000000</v>
      </c>
      <c r="O2310" s="1383" t="s">
        <v>4254</v>
      </c>
      <c r="P2310" s="644">
        <v>7166000</v>
      </c>
      <c r="Q2310" s="1192"/>
      <c r="R2310" s="644"/>
      <c r="S2310" s="48" t="s">
        <v>4253</v>
      </c>
      <c r="T2310" s="1191">
        <v>400</v>
      </c>
      <c r="U2310" s="1183"/>
      <c r="V2310" s="48"/>
      <c r="W2310" s="1174"/>
      <c r="X2310" s="49"/>
    </row>
    <row r="2311" spans="7:24">
      <c r="G2311" s="1098"/>
      <c r="H2311" s="1172"/>
      <c r="I2311" s="1183" t="s">
        <v>4244</v>
      </c>
      <c r="J2311" s="49">
        <v>90000000</v>
      </c>
      <c r="K2311" s="1495" t="s">
        <v>3739</v>
      </c>
      <c r="L2311" s="49">
        <v>2350000</v>
      </c>
      <c r="M2311" s="1493" t="s">
        <v>3897</v>
      </c>
      <c r="N2311" s="49">
        <v>730000000</v>
      </c>
      <c r="O2311" s="1383"/>
      <c r="P2311" s="644"/>
      <c r="Q2311" s="1186"/>
      <c r="R2311" s="644"/>
      <c r="S2311" s="48"/>
      <c r="T2311" s="1191"/>
      <c r="U2311" s="48"/>
      <c r="V2311" s="49"/>
      <c r="W2311" s="48"/>
      <c r="X2311" s="48"/>
    </row>
    <row r="2312" spans="7:24">
      <c r="G2312" s="48"/>
      <c r="H2312" s="48"/>
      <c r="I2312" s="1184" t="s">
        <v>4246</v>
      </c>
      <c r="J2312" s="49">
        <v>30000000</v>
      </c>
      <c r="K2312" s="1495" t="s">
        <v>3532</v>
      </c>
      <c r="L2312" s="49">
        <v>300000</v>
      </c>
      <c r="M2312" s="1493" t="s">
        <v>4249</v>
      </c>
      <c r="N2312" s="49">
        <v>50000000</v>
      </c>
      <c r="O2312" s="1180"/>
      <c r="P2312" s="644"/>
      <c r="Q2312" s="1186"/>
      <c r="R2312" s="644"/>
      <c r="S2312" s="1190"/>
      <c r="T2312" s="1191"/>
      <c r="U2312" s="1078"/>
      <c r="V2312" s="49"/>
      <c r="W2312" s="48"/>
      <c r="X2312" s="48"/>
    </row>
    <row r="2313" spans="7:24">
      <c r="G2313" s="48"/>
      <c r="H2313" s="48"/>
      <c r="I2313" s="1183" t="s">
        <v>4247</v>
      </c>
      <c r="J2313" s="49">
        <v>30000000</v>
      </c>
      <c r="K2313" s="1495" t="s">
        <v>4245</v>
      </c>
      <c r="L2313" s="49">
        <v>6500000</v>
      </c>
      <c r="M2313" s="1493" t="s">
        <v>4253</v>
      </c>
      <c r="N2313" s="49">
        <v>2200000</v>
      </c>
      <c r="O2313" s="644"/>
      <c r="P2313" s="644"/>
      <c r="Q2313" s="1186"/>
      <c r="R2313" s="644"/>
      <c r="S2313" s="48"/>
      <c r="T2313" s="1167"/>
      <c r="U2313" s="48"/>
      <c r="V2313" s="49"/>
      <c r="W2313" s="48"/>
      <c r="X2313" s="48"/>
    </row>
    <row r="2314" spans="7:24">
      <c r="G2314" s="48"/>
      <c r="H2314" s="48"/>
      <c r="I2314" s="1184" t="s">
        <v>4248</v>
      </c>
      <c r="J2314" s="49">
        <v>30000000</v>
      </c>
      <c r="K2314" s="1495" t="s">
        <v>3405</v>
      </c>
      <c r="L2314" s="49">
        <v>1500000</v>
      </c>
      <c r="M2314" s="1498"/>
      <c r="N2314" s="49"/>
      <c r="O2314" s="644"/>
      <c r="P2314" s="644"/>
      <c r="Q2314" s="1186"/>
      <c r="R2314" s="644"/>
      <c r="S2314" s="48"/>
      <c r="T2314" s="1167"/>
      <c r="U2314" s="48"/>
      <c r="V2314" s="49"/>
      <c r="W2314" s="48"/>
      <c r="X2314" s="48"/>
    </row>
    <row r="2315" spans="7:24">
      <c r="G2315" s="48"/>
      <c r="H2315" s="48"/>
      <c r="I2315" s="1184" t="s">
        <v>4250</v>
      </c>
      <c r="J2315" s="49">
        <v>30360000</v>
      </c>
      <c r="K2315" s="1495"/>
      <c r="L2315" s="49"/>
      <c r="M2315" s="1495"/>
      <c r="N2315" s="49"/>
      <c r="O2315" s="644"/>
      <c r="P2315" s="644"/>
      <c r="Q2315" s="1176"/>
      <c r="R2315" s="644"/>
      <c r="S2315" s="48"/>
      <c r="T2315" s="1167"/>
      <c r="U2315" s="48"/>
      <c r="V2315" s="49"/>
      <c r="W2315" s="48"/>
      <c r="X2315" s="48"/>
    </row>
    <row r="2316" spans="7:24">
      <c r="G2316" s="48"/>
      <c r="H2316" s="48"/>
      <c r="I2316" s="1184" t="s">
        <v>4251</v>
      </c>
      <c r="J2316" s="49">
        <v>30360000</v>
      </c>
      <c r="K2316" s="1495"/>
      <c r="L2316" s="49"/>
      <c r="M2316" s="1498"/>
      <c r="N2316" s="49"/>
      <c r="O2316" s="644"/>
      <c r="P2316" s="644"/>
      <c r="Q2316" s="1176"/>
      <c r="R2316" s="644"/>
      <c r="S2316" s="48"/>
      <c r="T2316" s="1167"/>
      <c r="U2316" s="48"/>
      <c r="V2316" s="49"/>
      <c r="W2316" s="48"/>
      <c r="X2316" s="48"/>
    </row>
    <row r="2317" spans="7:24">
      <c r="G2317" s="48"/>
      <c r="H2317" s="48"/>
      <c r="I2317" s="1184" t="s">
        <v>4252</v>
      </c>
      <c r="J2317" s="49">
        <v>50600000</v>
      </c>
      <c r="K2317" s="1532"/>
      <c r="L2317" s="49"/>
      <c r="M2317" s="1498"/>
      <c r="N2317" s="49"/>
      <c r="O2317" s="644"/>
      <c r="P2317" s="644"/>
      <c r="Q2317" s="644"/>
      <c r="R2317" s="644"/>
      <c r="S2317" s="48"/>
      <c r="T2317" s="1167"/>
      <c r="U2317" s="48"/>
      <c r="V2317" s="49"/>
      <c r="W2317" s="48"/>
      <c r="X2317" s="48"/>
    </row>
    <row r="2318" spans="7:24">
      <c r="G2318" s="48"/>
      <c r="H2318" s="48"/>
      <c r="I2318" s="48"/>
      <c r="J2318" s="49"/>
      <c r="K2318" s="1495"/>
      <c r="L2318" s="49"/>
      <c r="M2318" s="1498"/>
      <c r="N2318" s="49"/>
      <c r="O2318" s="644"/>
      <c r="P2318" s="644"/>
      <c r="Q2318" s="644"/>
      <c r="R2318" s="644"/>
      <c r="S2318" s="48"/>
      <c r="T2318" s="1167"/>
      <c r="U2318" s="48"/>
      <c r="V2318" s="49"/>
      <c r="W2318" s="48"/>
      <c r="X2318" s="48"/>
    </row>
    <row r="2319" spans="7:24">
      <c r="G2319" s="48"/>
      <c r="H2319" s="48"/>
      <c r="I2319" s="48"/>
      <c r="J2319" s="49"/>
      <c r="K2319" s="1495"/>
      <c r="L2319" s="49"/>
      <c r="M2319" s="1498"/>
      <c r="N2319" s="49"/>
      <c r="O2319" s="644"/>
      <c r="P2319" s="644"/>
      <c r="Q2319" s="644"/>
      <c r="R2319" s="644"/>
      <c r="S2319" s="48"/>
      <c r="T2319" s="1167"/>
      <c r="U2319" s="48"/>
      <c r="V2319" s="49"/>
      <c r="W2319" s="48"/>
      <c r="X2319" s="48"/>
    </row>
    <row r="2320" spans="7:24">
      <c r="G2320" s="48"/>
      <c r="H2320" s="48"/>
      <c r="I2320" s="48"/>
      <c r="J2320" s="49"/>
      <c r="K2320" s="1498"/>
      <c r="L2320" s="49"/>
      <c r="M2320" s="1498"/>
      <c r="N2320" s="49"/>
      <c r="O2320" s="644"/>
      <c r="P2320" s="644"/>
      <c r="Q2320" s="644"/>
      <c r="R2320" s="644"/>
      <c r="S2320" s="48"/>
      <c r="T2320" s="1167"/>
      <c r="U2320" s="48"/>
      <c r="V2320" s="48"/>
      <c r="W2320" s="48"/>
      <c r="X2320" s="48"/>
    </row>
    <row r="2321" spans="7:24">
      <c r="G2321" s="48"/>
      <c r="H2321" s="48"/>
      <c r="I2321" s="48"/>
      <c r="J2321" s="49"/>
      <c r="K2321" s="49"/>
      <c r="L2321" s="49"/>
      <c r="M2321" s="1498"/>
      <c r="N2321" s="49"/>
      <c r="O2321" s="644"/>
      <c r="P2321" s="644"/>
      <c r="Q2321" s="644"/>
      <c r="R2321" s="644"/>
      <c r="S2321" s="48"/>
      <c r="T2321" s="1167"/>
      <c r="U2321" s="48"/>
      <c r="V2321" s="48"/>
      <c r="W2321" s="48"/>
      <c r="X2321" s="48"/>
    </row>
    <row r="2322" spans="7:24">
      <c r="G2322" s="48"/>
      <c r="H2322" s="48"/>
      <c r="I2322" s="48"/>
      <c r="J2322" s="954">
        <f>SUM(J2310:J2318)</f>
        <v>321680000</v>
      </c>
      <c r="K2322" s="954"/>
      <c r="L2322" s="954">
        <f>SUM(L2310:L2321)</f>
        <v>14650000</v>
      </c>
      <c r="M2322" s="1498"/>
      <c r="N2322" s="954">
        <f>SUM(N2310:N2321)</f>
        <v>959200000</v>
      </c>
      <c r="O2322" s="644"/>
      <c r="P2322" s="969">
        <f>SUM(P2310:P2316)</f>
        <v>7166000</v>
      </c>
      <c r="Q2322" s="969"/>
      <c r="R2322" s="969">
        <f>SUM(R2310:R2316)</f>
        <v>0</v>
      </c>
      <c r="S2322" s="48"/>
      <c r="T2322" s="1178">
        <f>SUM(T2310:T2321)</f>
        <v>400</v>
      </c>
      <c r="U2322" s="48"/>
      <c r="V2322" s="878">
        <f>SUM(V2310:V2321)</f>
        <v>0</v>
      </c>
      <c r="W2322" s="48"/>
      <c r="X2322" s="878">
        <f>X2310</f>
        <v>0</v>
      </c>
    </row>
    <row r="2323" spans="7:24">
      <c r="T2323" s="1166"/>
    </row>
    <row r="2324" spans="7:24">
      <c r="T2324" s="1166"/>
    </row>
    <row r="2325" spans="7:24">
      <c r="R2325" s="661"/>
      <c r="T2325" s="1166"/>
    </row>
    <row r="2326" spans="7:24">
      <c r="T2326" s="1166"/>
    </row>
    <row r="2327" spans="7:24">
      <c r="T2327" s="1166"/>
    </row>
    <row r="2328" spans="7:24">
      <c r="I2328" s="946"/>
      <c r="M2328" s="1533" t="s">
        <v>3699</v>
      </c>
      <c r="O2328" s="1535" t="s">
        <v>3741</v>
      </c>
      <c r="P2328" s="1512"/>
      <c r="S2328" s="906" t="s">
        <v>4049</v>
      </c>
      <c r="T2328" s="1107">
        <f>T2322-V2322</f>
        <v>400</v>
      </c>
    </row>
    <row r="2329" spans="7:24">
      <c r="G2329" s="1574" t="s">
        <v>3530</v>
      </c>
      <c r="H2329" s="1574"/>
      <c r="I2329" s="1574"/>
      <c r="J2329" s="3">
        <f>J2322+L2322</f>
        <v>336330000</v>
      </c>
      <c r="K2329" s="1009"/>
      <c r="L2329" s="3"/>
      <c r="M2329" s="1533" t="s">
        <v>3664</v>
      </c>
      <c r="N2329" s="1527"/>
      <c r="O2329" s="1535" t="s">
        <v>4066</v>
      </c>
      <c r="P2329" s="1512">
        <f>P2322</f>
        <v>7166000</v>
      </c>
      <c r="T2329" s="1166"/>
    </row>
    <row r="2330" spans="7:24">
      <c r="G2330" s="1574" t="s">
        <v>3512</v>
      </c>
      <c r="H2330" s="1574"/>
      <c r="I2330" s="1574"/>
      <c r="J2330" s="3">
        <f>N2322-J2329</f>
        <v>622870000</v>
      </c>
      <c r="K2330" s="1009"/>
      <c r="L2330" s="3"/>
      <c r="M2330" s="1528"/>
      <c r="O2330" s="1529"/>
      <c r="Q2330" s="661"/>
      <c r="T2330" s="1166"/>
    </row>
    <row r="2331" spans="7:24">
      <c r="G2331" s="1574" t="s">
        <v>3531</v>
      </c>
      <c r="H2331" s="1574"/>
      <c r="I2331" s="1574"/>
      <c r="J2331" s="3">
        <f>T2328</f>
        <v>400</v>
      </c>
      <c r="O2331" s="1527" t="s">
        <v>4232</v>
      </c>
      <c r="P2331" s="1527">
        <v>189000</v>
      </c>
      <c r="Q2331" s="3"/>
      <c r="T2331" s="1166"/>
    </row>
    <row r="2332" spans="7:24">
      <c r="G2332" s="1564" t="s">
        <v>4067</v>
      </c>
      <c r="H2332" s="1564"/>
      <c r="I2332" s="1564"/>
      <c r="T2332" s="1166"/>
    </row>
    <row r="2335" spans="7:24">
      <c r="P2335" s="3">
        <v>5954000</v>
      </c>
    </row>
    <row r="2336" spans="7:24">
      <c r="P2336" s="1527">
        <f>P2329-P2335</f>
        <v>1212000</v>
      </c>
    </row>
    <row r="2352" spans="7:22">
      <c r="G2352" s="1008">
        <v>45999</v>
      </c>
      <c r="H2352" s="1169"/>
      <c r="I2352" s="1575" t="s">
        <v>3510</v>
      </c>
      <c r="J2352" s="1576"/>
      <c r="K2352" s="1575" t="s">
        <v>3509</v>
      </c>
      <c r="L2352" s="1576"/>
      <c r="M2352" s="1575" t="s">
        <v>3541</v>
      </c>
      <c r="N2352" s="1576"/>
      <c r="O2352" s="1577" t="s">
        <v>3598</v>
      </c>
      <c r="P2352" s="1578"/>
      <c r="Q2352" s="1579" t="s">
        <v>3599</v>
      </c>
      <c r="R2352" s="1580"/>
      <c r="S2352" s="1583" t="s">
        <v>3953</v>
      </c>
      <c r="T2352" s="1583"/>
      <c r="U2352" s="1583" t="s">
        <v>3954</v>
      </c>
      <c r="V2352" s="1583"/>
    </row>
    <row r="2353" spans="7:22">
      <c r="G2353" s="1097"/>
      <c r="H2353" s="1170"/>
      <c r="I2353" s="1183"/>
      <c r="J2353" s="49"/>
      <c r="K2353" s="49"/>
      <c r="L2353" s="49"/>
      <c r="M2353" s="1495"/>
      <c r="N2353" s="49"/>
      <c r="O2353" s="1383" t="s">
        <v>4254</v>
      </c>
      <c r="P2353" s="644">
        <v>7166000</v>
      </c>
      <c r="Q2353" s="1192" t="s">
        <v>3403</v>
      </c>
      <c r="R2353" s="644">
        <v>240000</v>
      </c>
      <c r="S2353" s="48"/>
      <c r="T2353" s="1191"/>
      <c r="U2353" s="1183"/>
      <c r="V2353" s="48"/>
    </row>
    <row r="2354" spans="7:22">
      <c r="G2354" s="1098"/>
      <c r="H2354" s="1172"/>
      <c r="I2354" s="1183"/>
      <c r="J2354" s="49"/>
      <c r="K2354" s="1495"/>
      <c r="L2354" s="49"/>
      <c r="M2354" s="1493"/>
      <c r="N2354" s="49"/>
      <c r="O2354" s="1383"/>
      <c r="P2354" s="644"/>
      <c r="Q2354" s="1192" t="s">
        <v>4239</v>
      </c>
      <c r="R2354" s="644">
        <v>3225000</v>
      </c>
      <c r="S2354" s="48"/>
      <c r="T2354" s="1191"/>
      <c r="U2354" s="48"/>
      <c r="V2354" s="49"/>
    </row>
    <row r="2355" spans="7:22">
      <c r="G2355" s="48"/>
      <c r="H2355" s="48"/>
      <c r="I2355" s="1184"/>
      <c r="J2355" s="49"/>
      <c r="K2355" s="1495"/>
      <c r="L2355" s="49"/>
      <c r="M2355" s="1493"/>
      <c r="N2355" s="49"/>
      <c r="O2355" s="1180"/>
      <c r="P2355" s="644"/>
      <c r="Q2355" s="1192" t="s">
        <v>4011</v>
      </c>
      <c r="R2355" s="644">
        <v>1200000</v>
      </c>
      <c r="S2355" s="1190"/>
      <c r="T2355" s="1191"/>
      <c r="U2355" s="1078"/>
      <c r="V2355" s="49"/>
    </row>
    <row r="2356" spans="7:22">
      <c r="G2356" s="48"/>
      <c r="H2356" s="48"/>
      <c r="I2356" s="1183"/>
      <c r="J2356" s="49"/>
      <c r="K2356" s="1495"/>
      <c r="L2356" s="49"/>
      <c r="M2356" s="1493"/>
      <c r="N2356" s="49"/>
      <c r="O2356" s="644"/>
      <c r="P2356" s="644"/>
      <c r="Q2356" s="1192" t="s">
        <v>3594</v>
      </c>
      <c r="R2356" s="644">
        <v>500000</v>
      </c>
      <c r="S2356" s="48"/>
      <c r="T2356" s="1182"/>
      <c r="U2356" s="48"/>
      <c r="V2356" s="49"/>
    </row>
    <row r="2357" spans="7:22">
      <c r="G2357" s="48"/>
      <c r="H2357" s="48"/>
      <c r="I2357" s="1184"/>
      <c r="J2357" s="49"/>
      <c r="K2357" s="1495"/>
      <c r="L2357" s="49"/>
      <c r="M2357" s="1498"/>
      <c r="N2357" s="49"/>
      <c r="O2357" s="644"/>
      <c r="P2357" s="644"/>
      <c r="Q2357" s="1186"/>
      <c r="R2357" s="644"/>
      <c r="S2357" s="48"/>
      <c r="T2357" s="1182"/>
      <c r="U2357" s="48"/>
      <c r="V2357" s="49"/>
    </row>
    <row r="2358" spans="7:22">
      <c r="G2358" s="48"/>
      <c r="H2358" s="48"/>
      <c r="I2358" s="1184"/>
      <c r="J2358" s="49"/>
      <c r="K2358" s="1495"/>
      <c r="L2358" s="49"/>
      <c r="M2358" s="1495"/>
      <c r="N2358" s="49"/>
      <c r="O2358" s="644"/>
      <c r="P2358" s="644"/>
      <c r="Q2358" s="1176"/>
      <c r="R2358" s="644"/>
      <c r="S2358" s="48"/>
      <c r="T2358" s="1182"/>
      <c r="U2358" s="48"/>
      <c r="V2358" s="49"/>
    </row>
    <row r="2359" spans="7:22">
      <c r="G2359" s="48"/>
      <c r="H2359" s="48"/>
      <c r="I2359" s="1184"/>
      <c r="J2359" s="49"/>
      <c r="K2359" s="1495"/>
      <c r="L2359" s="49"/>
      <c r="M2359" s="1498"/>
      <c r="N2359" s="49"/>
      <c r="O2359" s="644"/>
      <c r="P2359" s="644"/>
      <c r="Q2359" s="1176"/>
      <c r="R2359" s="644"/>
      <c r="S2359" s="48"/>
      <c r="T2359" s="1182"/>
      <c r="U2359" s="48"/>
      <c r="V2359" s="49"/>
    </row>
    <row r="2360" spans="7:22">
      <c r="G2360" s="48"/>
      <c r="H2360" s="48"/>
      <c r="I2360" s="1184"/>
      <c r="J2360" s="49"/>
      <c r="K2360" s="1532"/>
      <c r="L2360" s="49"/>
      <c r="M2360" s="1498"/>
      <c r="N2360" s="49"/>
      <c r="O2360" s="644"/>
      <c r="P2360" s="644"/>
      <c r="Q2360" s="644"/>
      <c r="R2360" s="644"/>
      <c r="S2360" s="48"/>
      <c r="T2360" s="1182"/>
      <c r="U2360" s="48"/>
      <c r="V2360" s="49"/>
    </row>
    <row r="2361" spans="7:22">
      <c r="G2361" s="48"/>
      <c r="H2361" s="48"/>
      <c r="I2361" s="48"/>
      <c r="J2361" s="49"/>
      <c r="K2361" s="1495"/>
      <c r="L2361" s="49"/>
      <c r="M2361" s="1498"/>
      <c r="N2361" s="49"/>
      <c r="O2361" s="644"/>
      <c r="P2361" s="644"/>
      <c r="Q2361" s="644"/>
      <c r="R2361" s="644"/>
      <c r="S2361" s="48"/>
      <c r="T2361" s="1182"/>
      <c r="U2361" s="48"/>
      <c r="V2361" s="49"/>
    </row>
    <row r="2362" spans="7:22">
      <c r="G2362" s="48"/>
      <c r="H2362" s="48"/>
      <c r="I2362" s="48"/>
      <c r="J2362" s="49"/>
      <c r="K2362" s="1495"/>
      <c r="L2362" s="49"/>
      <c r="M2362" s="1498"/>
      <c r="N2362" s="49"/>
      <c r="O2362" s="644"/>
      <c r="P2362" s="644"/>
      <c r="Q2362" s="644"/>
      <c r="R2362" s="644"/>
      <c r="S2362" s="48"/>
      <c r="T2362" s="1182"/>
      <c r="U2362" s="48"/>
      <c r="V2362" s="49"/>
    </row>
    <row r="2363" spans="7:22">
      <c r="G2363" s="48"/>
      <c r="H2363" s="48"/>
      <c r="I2363" s="48"/>
      <c r="J2363" s="49"/>
      <c r="K2363" s="1498"/>
      <c r="L2363" s="49"/>
      <c r="M2363" s="1498"/>
      <c r="N2363" s="49"/>
      <c r="O2363" s="644"/>
      <c r="P2363" s="644"/>
      <c r="Q2363" s="644"/>
      <c r="R2363" s="644"/>
      <c r="S2363" s="48"/>
      <c r="T2363" s="1182"/>
      <c r="U2363" s="48"/>
      <c r="V2363" s="48"/>
    </row>
    <row r="2364" spans="7:22">
      <c r="G2364" s="48"/>
      <c r="H2364" s="48"/>
      <c r="I2364" s="48"/>
      <c r="J2364" s="49"/>
      <c r="K2364" s="49"/>
      <c r="L2364" s="49"/>
      <c r="M2364" s="1498"/>
      <c r="N2364" s="49"/>
      <c r="O2364" s="644"/>
      <c r="P2364" s="644"/>
      <c r="Q2364" s="644"/>
      <c r="R2364" s="644"/>
      <c r="S2364" s="48"/>
      <c r="T2364" s="1182"/>
      <c r="U2364" s="48"/>
      <c r="V2364" s="48"/>
    </row>
    <row r="2365" spans="7:22">
      <c r="G2365" s="48"/>
      <c r="H2365" s="48"/>
      <c r="I2365" s="48"/>
      <c r="J2365" s="954">
        <f>SUM(J2353:J2361)</f>
        <v>0</v>
      </c>
      <c r="K2365" s="954"/>
      <c r="L2365" s="954">
        <f>SUM(L2353:L2364)</f>
        <v>0</v>
      </c>
      <c r="M2365" s="1498"/>
      <c r="N2365" s="954">
        <f>SUM(N2353:N2364)</f>
        <v>0</v>
      </c>
      <c r="O2365" s="644"/>
      <c r="P2365" s="969">
        <f>SUM(P2353:P2359)</f>
        <v>7166000</v>
      </c>
      <c r="Q2365" s="969"/>
      <c r="R2365" s="969">
        <f>SUM(R2353:R2359)</f>
        <v>5165000</v>
      </c>
      <c r="S2365" s="48"/>
      <c r="T2365" s="1178">
        <f>SUM(T2353:T2364)</f>
        <v>0</v>
      </c>
      <c r="U2365" s="48"/>
      <c r="V2365" s="878">
        <f>SUM(V2353:V2364)</f>
        <v>0</v>
      </c>
    </row>
    <row r="2366" spans="7:22">
      <c r="T2366" s="1181"/>
    </row>
    <row r="2367" spans="7:22">
      <c r="T2367" s="1181"/>
    </row>
    <row r="2368" spans="7:22">
      <c r="R2368" s="661"/>
      <c r="T2368" s="1181"/>
    </row>
    <row r="2369" spans="7:22">
      <c r="T2369" s="1181"/>
    </row>
    <row r="2370" spans="7:22">
      <c r="T2370" s="1181"/>
    </row>
    <row r="2371" spans="7:22">
      <c r="I2371" s="946"/>
      <c r="M2371" s="1533" t="s">
        <v>3699</v>
      </c>
      <c r="O2371" s="1535" t="s">
        <v>3741</v>
      </c>
      <c r="P2371" s="1512"/>
      <c r="S2371" s="906" t="s">
        <v>4049</v>
      </c>
      <c r="T2371" s="1107">
        <f>T2365-V2365</f>
        <v>0</v>
      </c>
    </row>
    <row r="2372" spans="7:22">
      <c r="G2372" s="1574" t="s">
        <v>3530</v>
      </c>
      <c r="H2372" s="1574"/>
      <c r="I2372" s="1574"/>
      <c r="J2372" s="3">
        <f>J2365+L2365</f>
        <v>0</v>
      </c>
      <c r="K2372" s="1009"/>
      <c r="L2372" s="3"/>
      <c r="M2372" s="1533" t="s">
        <v>3664</v>
      </c>
      <c r="N2372" s="1527"/>
      <c r="O2372" s="1535" t="s">
        <v>4066</v>
      </c>
      <c r="P2372" s="1512">
        <f>P2365-R2365</f>
        <v>2001000</v>
      </c>
      <c r="T2372" s="1181"/>
    </row>
    <row r="2373" spans="7:22">
      <c r="G2373" s="1574" t="s">
        <v>3512</v>
      </c>
      <c r="H2373" s="1574"/>
      <c r="I2373" s="1574"/>
      <c r="J2373" s="3">
        <f>N2365-J2372</f>
        <v>0</v>
      </c>
      <c r="K2373" s="1009"/>
      <c r="L2373" s="3"/>
      <c r="M2373" s="1528"/>
      <c r="O2373" s="1529"/>
      <c r="Q2373" s="661"/>
      <c r="T2373" s="1181"/>
    </row>
    <row r="2374" spans="7:22">
      <c r="G2374" s="1574" t="s">
        <v>3531</v>
      </c>
      <c r="H2374" s="1574"/>
      <c r="I2374" s="1574"/>
      <c r="J2374" s="3">
        <f>T2371</f>
        <v>0</v>
      </c>
      <c r="Q2374" s="3"/>
      <c r="T2374" s="1181"/>
    </row>
    <row r="2375" spans="7:22">
      <c r="G2375" s="1564" t="s">
        <v>4067</v>
      </c>
      <c r="H2375" s="1564"/>
      <c r="I2375" s="1564"/>
      <c r="T2375" s="1181"/>
    </row>
    <row r="2384" spans="7:22">
      <c r="G2384" s="1008">
        <v>46000</v>
      </c>
      <c r="H2384" s="1169"/>
      <c r="I2384" s="1575" t="s">
        <v>3510</v>
      </c>
      <c r="J2384" s="1576"/>
      <c r="K2384" s="1575" t="s">
        <v>3509</v>
      </c>
      <c r="L2384" s="1576"/>
      <c r="M2384" s="1575" t="s">
        <v>3541</v>
      </c>
      <c r="N2384" s="1576"/>
      <c r="O2384" s="1577" t="s">
        <v>3598</v>
      </c>
      <c r="P2384" s="1578"/>
      <c r="Q2384" s="1579" t="s">
        <v>3599</v>
      </c>
      <c r="R2384" s="1580"/>
      <c r="S2384" s="1583" t="s">
        <v>3953</v>
      </c>
      <c r="T2384" s="1583"/>
      <c r="U2384" s="1583" t="s">
        <v>3954</v>
      </c>
      <c r="V2384" s="1583"/>
    </row>
    <row r="2385" spans="7:22">
      <c r="G2385" s="1097"/>
      <c r="H2385" s="1170"/>
      <c r="I2385" s="1193" t="s">
        <v>4256</v>
      </c>
      <c r="J2385" s="49">
        <v>30000000</v>
      </c>
      <c r="K2385" s="49" t="s">
        <v>3532</v>
      </c>
      <c r="L2385" s="49">
        <f>700000+283000</f>
        <v>983000</v>
      </c>
      <c r="M2385" s="1495" t="s">
        <v>4255</v>
      </c>
      <c r="N2385" s="49">
        <v>338283000</v>
      </c>
      <c r="O2385" s="1383" t="s">
        <v>4254</v>
      </c>
      <c r="P2385" s="644">
        <v>2001000</v>
      </c>
      <c r="Q2385" s="1192" t="s">
        <v>3614</v>
      </c>
      <c r="R2385" s="644">
        <v>1000000</v>
      </c>
      <c r="S2385" s="48"/>
      <c r="T2385" s="1191"/>
      <c r="U2385" s="1183"/>
      <c r="V2385" s="48"/>
    </row>
    <row r="2386" spans="7:22">
      <c r="G2386" s="1098"/>
      <c r="H2386" s="1172"/>
      <c r="I2386" s="1193" t="s">
        <v>4260</v>
      </c>
      <c r="J2386" s="49">
        <v>93000000</v>
      </c>
      <c r="K2386" s="1495" t="s">
        <v>3684</v>
      </c>
      <c r="L2386" s="49">
        <v>300000</v>
      </c>
      <c r="M2386" s="1493" t="s">
        <v>4257</v>
      </c>
      <c r="N2386" s="49">
        <v>420000</v>
      </c>
      <c r="O2386" s="1383"/>
      <c r="P2386" s="644"/>
      <c r="Q2386" s="1192" t="s">
        <v>3614</v>
      </c>
      <c r="R2386" s="644">
        <v>500000</v>
      </c>
      <c r="S2386" s="48"/>
      <c r="T2386" s="1191"/>
      <c r="U2386" s="48"/>
      <c r="V2386" s="49"/>
    </row>
    <row r="2387" spans="7:22">
      <c r="G2387" s="48"/>
      <c r="H2387" s="48"/>
      <c r="I2387" s="1184"/>
      <c r="J2387" s="49"/>
      <c r="K2387" s="1495" t="s">
        <v>3403</v>
      </c>
      <c r="L2387" s="49">
        <v>100000</v>
      </c>
      <c r="M2387" s="1493" t="s">
        <v>4258</v>
      </c>
      <c r="N2387" s="49">
        <v>1200000</v>
      </c>
      <c r="O2387" s="1180"/>
      <c r="P2387" s="644"/>
      <c r="Q2387" s="1192" t="s">
        <v>4102</v>
      </c>
      <c r="R2387" s="644">
        <v>300000</v>
      </c>
      <c r="S2387" s="1190"/>
      <c r="T2387" s="1191"/>
      <c r="U2387" s="1078"/>
      <c r="V2387" s="49"/>
    </row>
    <row r="2388" spans="7:22">
      <c r="G2388" s="48"/>
      <c r="H2388" s="48"/>
      <c r="I2388" s="1183"/>
      <c r="J2388" s="49"/>
      <c r="K2388" s="1495" t="s">
        <v>4259</v>
      </c>
      <c r="L2388" s="49">
        <v>150000</v>
      </c>
      <c r="M2388" s="1493" t="s">
        <v>4102</v>
      </c>
      <c r="N2388" s="49">
        <v>300000</v>
      </c>
      <c r="O2388" s="644"/>
      <c r="P2388" s="644"/>
      <c r="Q2388" s="1192"/>
      <c r="R2388" s="644"/>
      <c r="S2388" s="48"/>
      <c r="T2388" s="1182"/>
      <c r="U2388" s="48"/>
      <c r="V2388" s="49"/>
    </row>
    <row r="2389" spans="7:22">
      <c r="G2389" s="48"/>
      <c r="H2389" s="48"/>
      <c r="I2389" s="1184"/>
      <c r="J2389" s="49"/>
      <c r="K2389" s="1495"/>
      <c r="L2389" s="49"/>
      <c r="M2389" s="1498" t="s">
        <v>3731</v>
      </c>
      <c r="N2389" s="49">
        <v>10000000</v>
      </c>
      <c r="O2389" s="644"/>
      <c r="P2389" s="644"/>
      <c r="Q2389" s="1186"/>
      <c r="R2389" s="644"/>
      <c r="S2389" s="48"/>
      <c r="T2389" s="1182"/>
      <c r="U2389" s="48"/>
      <c r="V2389" s="49"/>
    </row>
    <row r="2390" spans="7:22">
      <c r="G2390" s="48"/>
      <c r="H2390" s="48"/>
      <c r="I2390" s="1184"/>
      <c r="J2390" s="49"/>
      <c r="K2390" s="1495"/>
      <c r="L2390" s="49"/>
      <c r="M2390" s="1495"/>
      <c r="N2390" s="49"/>
      <c r="O2390" s="644"/>
      <c r="P2390" s="644"/>
      <c r="Q2390" s="1176"/>
      <c r="R2390" s="644"/>
      <c r="S2390" s="48"/>
      <c r="T2390" s="1182"/>
      <c r="U2390" s="48"/>
      <c r="V2390" s="49"/>
    </row>
    <row r="2391" spans="7:22">
      <c r="G2391" s="48"/>
      <c r="H2391" s="48"/>
      <c r="I2391" s="1184"/>
      <c r="J2391" s="49"/>
      <c r="K2391" s="1495"/>
      <c r="L2391" s="49"/>
      <c r="M2391" s="1498"/>
      <c r="N2391" s="49"/>
      <c r="O2391" s="644"/>
      <c r="P2391" s="644"/>
      <c r="Q2391" s="1176"/>
      <c r="R2391" s="644"/>
      <c r="S2391" s="48"/>
      <c r="T2391" s="1182"/>
      <c r="U2391" s="48"/>
      <c r="V2391" s="49"/>
    </row>
    <row r="2392" spans="7:22">
      <c r="G2392" s="48"/>
      <c r="H2392" s="48"/>
      <c r="I2392" s="1184"/>
      <c r="J2392" s="49"/>
      <c r="K2392" s="1532"/>
      <c r="L2392" s="49"/>
      <c r="M2392" s="1498"/>
      <c r="N2392" s="49"/>
      <c r="O2392" s="644"/>
      <c r="P2392" s="644"/>
      <c r="Q2392" s="644"/>
      <c r="R2392" s="644"/>
      <c r="S2392" s="48"/>
      <c r="T2392" s="1182"/>
      <c r="U2392" s="48"/>
      <c r="V2392" s="49"/>
    </row>
    <row r="2393" spans="7:22">
      <c r="G2393" s="48"/>
      <c r="H2393" s="48"/>
      <c r="I2393" s="48"/>
      <c r="J2393" s="49"/>
      <c r="K2393" s="1495"/>
      <c r="L2393" s="49"/>
      <c r="M2393" s="1498"/>
      <c r="N2393" s="49"/>
      <c r="O2393" s="644"/>
      <c r="P2393" s="644"/>
      <c r="Q2393" s="644"/>
      <c r="R2393" s="644"/>
      <c r="S2393" s="48"/>
      <c r="T2393" s="1182"/>
      <c r="U2393" s="48"/>
      <c r="V2393" s="49"/>
    </row>
    <row r="2394" spans="7:22">
      <c r="G2394" s="48"/>
      <c r="H2394" s="48"/>
      <c r="I2394" s="48"/>
      <c r="J2394" s="49"/>
      <c r="K2394" s="1495"/>
      <c r="L2394" s="49"/>
      <c r="M2394" s="1498"/>
      <c r="N2394" s="49"/>
      <c r="O2394" s="644"/>
      <c r="P2394" s="644"/>
      <c r="Q2394" s="644"/>
      <c r="R2394" s="644"/>
      <c r="S2394" s="48"/>
      <c r="T2394" s="1182"/>
      <c r="U2394" s="48"/>
      <c r="V2394" s="49"/>
    </row>
    <row r="2395" spans="7:22">
      <c r="G2395" s="48"/>
      <c r="H2395" s="48"/>
      <c r="I2395" s="48"/>
      <c r="J2395" s="49"/>
      <c r="K2395" s="1498"/>
      <c r="L2395" s="49"/>
      <c r="M2395" s="1498"/>
      <c r="N2395" s="49"/>
      <c r="O2395" s="644"/>
      <c r="P2395" s="644"/>
      <c r="Q2395" s="644"/>
      <c r="R2395" s="644"/>
      <c r="S2395" s="48"/>
      <c r="T2395" s="1182"/>
      <c r="U2395" s="48"/>
      <c r="V2395" s="48"/>
    </row>
    <row r="2396" spans="7:22">
      <c r="G2396" s="48"/>
      <c r="H2396" s="48"/>
      <c r="I2396" s="48"/>
      <c r="J2396" s="49"/>
      <c r="K2396" s="49"/>
      <c r="L2396" s="49"/>
      <c r="M2396" s="1498"/>
      <c r="N2396" s="49"/>
      <c r="O2396" s="644"/>
      <c r="P2396" s="644"/>
      <c r="Q2396" s="644"/>
      <c r="R2396" s="644"/>
      <c r="S2396" s="48"/>
      <c r="T2396" s="1182"/>
      <c r="U2396" s="48"/>
      <c r="V2396" s="48"/>
    </row>
    <row r="2397" spans="7:22">
      <c r="G2397" s="48"/>
      <c r="H2397" s="48"/>
      <c r="I2397" s="48"/>
      <c r="J2397" s="954">
        <f>SUM(J2385:J2393)</f>
        <v>123000000</v>
      </c>
      <c r="K2397" s="954"/>
      <c r="L2397" s="954">
        <f>SUM(L2385:L2396)</f>
        <v>1533000</v>
      </c>
      <c r="M2397" s="1498"/>
      <c r="N2397" s="954">
        <f>SUM(N2385:N2396)</f>
        <v>350203000</v>
      </c>
      <c r="O2397" s="644"/>
      <c r="P2397" s="969">
        <f>SUM(P2385:P2391)</f>
        <v>2001000</v>
      </c>
      <c r="Q2397" s="969"/>
      <c r="R2397" s="969">
        <f>SUM(R2385:R2391)</f>
        <v>1800000</v>
      </c>
      <c r="S2397" s="48"/>
      <c r="T2397" s="1178">
        <f>SUM(T2385:T2396)</f>
        <v>0</v>
      </c>
      <c r="U2397" s="48"/>
      <c r="V2397" s="878">
        <f>SUM(V2385:V2396)</f>
        <v>0</v>
      </c>
    </row>
    <row r="2398" spans="7:22">
      <c r="T2398" s="1181"/>
    </row>
    <row r="2399" spans="7:22">
      <c r="T2399" s="1181"/>
    </row>
    <row r="2400" spans="7:22">
      <c r="R2400" s="661"/>
      <c r="T2400" s="1181"/>
    </row>
    <row r="2401" spans="7:22">
      <c r="T2401" s="1181"/>
    </row>
    <row r="2402" spans="7:22">
      <c r="T2402" s="1181"/>
    </row>
    <row r="2403" spans="7:22">
      <c r="I2403" s="946"/>
      <c r="M2403" s="1533" t="s">
        <v>3699</v>
      </c>
      <c r="O2403" s="1535" t="s">
        <v>3741</v>
      </c>
      <c r="P2403" s="1512"/>
      <c r="S2403" s="906" t="s">
        <v>4049</v>
      </c>
      <c r="T2403" s="1107">
        <f>T2397-V2397</f>
        <v>0</v>
      </c>
    </row>
    <row r="2404" spans="7:22">
      <c r="G2404" s="1574" t="s">
        <v>3530</v>
      </c>
      <c r="H2404" s="1574"/>
      <c r="I2404" s="1574"/>
      <c r="J2404" s="3">
        <f>J2397+L2397</f>
        <v>124533000</v>
      </c>
      <c r="K2404" s="1009"/>
      <c r="L2404" s="3"/>
      <c r="M2404" s="1533" t="s">
        <v>3664</v>
      </c>
      <c r="N2404" s="1527"/>
      <c r="O2404" s="1535" t="s">
        <v>4066</v>
      </c>
      <c r="P2404" s="1512">
        <f>P2397-R2397</f>
        <v>201000</v>
      </c>
      <c r="T2404" s="1181"/>
    </row>
    <row r="2405" spans="7:22">
      <c r="G2405" s="1574" t="s">
        <v>3512</v>
      </c>
      <c r="H2405" s="1574"/>
      <c r="I2405" s="1574"/>
      <c r="J2405" s="3">
        <f>N2397-J2404</f>
        <v>225670000</v>
      </c>
      <c r="K2405" s="1009"/>
      <c r="L2405" s="3"/>
      <c r="M2405" s="1528"/>
      <c r="O2405" s="1529"/>
      <c r="Q2405" s="661"/>
      <c r="T2405" s="1181"/>
    </row>
    <row r="2406" spans="7:22">
      <c r="G2406" s="1574" t="s">
        <v>3531</v>
      </c>
      <c r="H2406" s="1574"/>
      <c r="I2406" s="1574"/>
      <c r="J2406" s="3">
        <f>T2403</f>
        <v>0</v>
      </c>
      <c r="Q2406" s="3"/>
      <c r="T2406" s="1181"/>
    </row>
    <row r="2407" spans="7:22">
      <c r="G2407" s="1564" t="s">
        <v>4067</v>
      </c>
      <c r="H2407" s="1564"/>
      <c r="I2407" s="1564"/>
      <c r="J2407" s="3">
        <v>320000</v>
      </c>
      <c r="T2407" s="1181"/>
    </row>
    <row r="2408" spans="7:22">
      <c r="J2408" s="3">
        <f>J2405-J2407</f>
        <v>225350000</v>
      </c>
    </row>
    <row r="2409" spans="7:22">
      <c r="I2409" s="1194" t="s">
        <v>3404</v>
      </c>
      <c r="J2409" s="3">
        <v>220000000</v>
      </c>
    </row>
    <row r="2416" spans="7:22">
      <c r="G2416" s="1008">
        <v>46001</v>
      </c>
      <c r="H2416" s="1169"/>
      <c r="I2416" s="1575" t="s">
        <v>3510</v>
      </c>
      <c r="J2416" s="1576"/>
      <c r="K2416" s="1575" t="s">
        <v>3509</v>
      </c>
      <c r="L2416" s="1576"/>
      <c r="M2416" s="1575" t="s">
        <v>3541</v>
      </c>
      <c r="N2416" s="1576"/>
      <c r="O2416" s="1577" t="s">
        <v>3598</v>
      </c>
      <c r="P2416" s="1578"/>
      <c r="Q2416" s="1579" t="s">
        <v>3599</v>
      </c>
      <c r="R2416" s="1580"/>
      <c r="S2416" s="1583" t="s">
        <v>3953</v>
      </c>
      <c r="T2416" s="1583"/>
      <c r="U2416" s="1583" t="s">
        <v>3954</v>
      </c>
      <c r="V2416" s="1583"/>
    </row>
    <row r="2417" spans="7:22">
      <c r="G2417" s="1097"/>
      <c r="H2417" s="1170"/>
      <c r="I2417" s="1197" t="s">
        <v>3898</v>
      </c>
      <c r="J2417" s="49">
        <v>9025000</v>
      </c>
      <c r="K2417" s="49" t="s">
        <v>4223</v>
      </c>
      <c r="L2417" s="49">
        <v>100000000</v>
      </c>
      <c r="M2417" s="1495" t="s">
        <v>4261</v>
      </c>
      <c r="N2417" s="49">
        <v>220000000</v>
      </c>
      <c r="O2417" s="1383" t="s">
        <v>4265</v>
      </c>
      <c r="P2417" s="644">
        <v>2600000</v>
      </c>
      <c r="Q2417" s="1192"/>
      <c r="R2417" s="644"/>
      <c r="S2417" s="48" t="s">
        <v>4264</v>
      </c>
      <c r="T2417" s="1191">
        <v>100</v>
      </c>
      <c r="U2417" s="1183"/>
      <c r="V2417" s="48"/>
    </row>
    <row r="2418" spans="7:22">
      <c r="G2418" s="1098"/>
      <c r="H2418" s="1172"/>
      <c r="I2418" s="1197" t="s">
        <v>4051</v>
      </c>
      <c r="J2418" s="49">
        <v>29120000</v>
      </c>
      <c r="K2418" s="1495" t="s">
        <v>3857</v>
      </c>
      <c r="L2418" s="49">
        <v>2000000</v>
      </c>
      <c r="M2418" s="1493" t="s">
        <v>4262</v>
      </c>
      <c r="N2418" s="49">
        <v>21000000</v>
      </c>
      <c r="O2418" s="1383" t="s">
        <v>3700</v>
      </c>
      <c r="P2418" s="644">
        <f>1750000</f>
        <v>1750000</v>
      </c>
      <c r="Q2418" s="1192"/>
      <c r="R2418" s="644"/>
      <c r="S2418" s="48" t="s">
        <v>3512</v>
      </c>
      <c r="T2418" s="1191">
        <v>500</v>
      </c>
      <c r="U2418" s="48"/>
      <c r="V2418" s="49"/>
    </row>
    <row r="2419" spans="7:22">
      <c r="G2419" s="48"/>
      <c r="H2419" s="48"/>
      <c r="I2419" s="1200" t="s">
        <v>4266</v>
      </c>
      <c r="J2419" s="49">
        <v>30360000</v>
      </c>
      <c r="K2419" s="1495" t="s">
        <v>4270</v>
      </c>
      <c r="L2419" s="49">
        <v>700000</v>
      </c>
      <c r="M2419" s="1493" t="s">
        <v>4263</v>
      </c>
      <c r="N2419" s="49">
        <v>3950000</v>
      </c>
      <c r="O2419" s="1180"/>
      <c r="P2419" s="644"/>
      <c r="Q2419" s="1192"/>
      <c r="R2419" s="644"/>
      <c r="S2419" s="1190"/>
      <c r="T2419" s="1191"/>
      <c r="U2419" s="1078"/>
      <c r="V2419" s="49"/>
    </row>
    <row r="2420" spans="7:22">
      <c r="G2420" s="48"/>
      <c r="H2420" s="48"/>
      <c r="I2420" s="1183"/>
      <c r="J2420" s="49"/>
      <c r="K2420" s="1495" t="s">
        <v>4271</v>
      </c>
      <c r="L2420" s="49">
        <v>4500000</v>
      </c>
      <c r="M2420" s="1493" t="s">
        <v>4264</v>
      </c>
      <c r="N2420" s="49">
        <v>400000</v>
      </c>
      <c r="O2420" s="644"/>
      <c r="P2420" s="644"/>
      <c r="Q2420" s="1192"/>
      <c r="R2420" s="644"/>
      <c r="S2420" s="48"/>
      <c r="T2420" s="1196"/>
      <c r="U2420" s="48"/>
      <c r="V2420" s="49"/>
    </row>
    <row r="2421" spans="7:22">
      <c r="G2421" s="48"/>
      <c r="H2421" s="48"/>
      <c r="I2421" s="1184"/>
      <c r="J2421" s="49"/>
      <c r="K2421" s="1495"/>
      <c r="L2421" s="49"/>
      <c r="M2421" s="1498" t="s">
        <v>4267</v>
      </c>
      <c r="N2421" s="49">
        <v>40000000</v>
      </c>
      <c r="O2421" s="644"/>
      <c r="P2421" s="644"/>
      <c r="Q2421" s="1186"/>
      <c r="R2421" s="644"/>
      <c r="S2421" s="48"/>
      <c r="T2421" s="1196"/>
      <c r="U2421" s="48"/>
      <c r="V2421" s="49"/>
    </row>
    <row r="2422" spans="7:22">
      <c r="G2422" s="48"/>
      <c r="H2422" s="48"/>
      <c r="I2422" s="1184"/>
      <c r="J2422" s="49"/>
      <c r="K2422" s="1495"/>
      <c r="L2422" s="49"/>
      <c r="M2422" s="1495"/>
      <c r="N2422" s="49">
        <v>5000000</v>
      </c>
      <c r="O2422" s="644"/>
      <c r="P2422" s="644"/>
      <c r="Q2422" s="1176"/>
      <c r="R2422" s="644"/>
      <c r="S2422" s="48"/>
      <c r="T2422" s="1196"/>
      <c r="U2422" s="48"/>
      <c r="V2422" s="49"/>
    </row>
    <row r="2423" spans="7:22">
      <c r="G2423" s="48"/>
      <c r="H2423" s="48"/>
      <c r="I2423" s="1184"/>
      <c r="J2423" s="49"/>
      <c r="K2423" s="1495"/>
      <c r="L2423" s="49"/>
      <c r="M2423" s="1498" t="s">
        <v>4268</v>
      </c>
      <c r="N2423" s="49">
        <v>1800000</v>
      </c>
      <c r="O2423" s="644"/>
      <c r="P2423" s="644"/>
      <c r="Q2423" s="1176"/>
      <c r="R2423" s="644"/>
      <c r="S2423" s="48"/>
      <c r="T2423" s="1196"/>
      <c r="U2423" s="48"/>
      <c r="V2423" s="49"/>
    </row>
    <row r="2424" spans="7:22">
      <c r="G2424" s="48"/>
      <c r="H2424" s="48"/>
      <c r="I2424" s="1184"/>
      <c r="J2424" s="49"/>
      <c r="K2424" s="1532"/>
      <c r="L2424" s="49"/>
      <c r="M2424" s="1498" t="s">
        <v>4269</v>
      </c>
      <c r="N2424" s="49">
        <v>5000000</v>
      </c>
      <c r="O2424" s="644"/>
      <c r="P2424" s="644"/>
      <c r="Q2424" s="644"/>
      <c r="R2424" s="644"/>
      <c r="S2424" s="48"/>
      <c r="T2424" s="1196"/>
      <c r="U2424" s="48"/>
      <c r="V2424" s="49"/>
    </row>
    <row r="2425" spans="7:22">
      <c r="G2425" s="48"/>
      <c r="H2425" s="48"/>
      <c r="I2425" s="48"/>
      <c r="J2425" s="49"/>
      <c r="K2425" s="1495"/>
      <c r="L2425" s="49"/>
      <c r="M2425" s="1498"/>
      <c r="N2425" s="49"/>
      <c r="O2425" s="644"/>
      <c r="P2425" s="644"/>
      <c r="Q2425" s="644"/>
      <c r="R2425" s="644"/>
      <c r="S2425" s="48"/>
      <c r="T2425" s="1196"/>
      <c r="U2425" s="48"/>
      <c r="V2425" s="49"/>
    </row>
    <row r="2426" spans="7:22">
      <c r="G2426" s="48"/>
      <c r="H2426" s="48"/>
      <c r="I2426" s="48"/>
      <c r="J2426" s="49"/>
      <c r="K2426" s="1495"/>
      <c r="L2426" s="49"/>
      <c r="M2426" s="1498"/>
      <c r="N2426" s="49"/>
      <c r="O2426" s="644"/>
      <c r="P2426" s="644"/>
      <c r="Q2426" s="644"/>
      <c r="R2426" s="644"/>
      <c r="S2426" s="48"/>
      <c r="T2426" s="1196"/>
      <c r="U2426" s="48"/>
      <c r="V2426" s="49"/>
    </row>
    <row r="2427" spans="7:22">
      <c r="G2427" s="48"/>
      <c r="H2427" s="48"/>
      <c r="I2427" s="48"/>
      <c r="J2427" s="49"/>
      <c r="K2427" s="1498"/>
      <c r="L2427" s="49"/>
      <c r="M2427" s="1498"/>
      <c r="N2427" s="49"/>
      <c r="O2427" s="644"/>
      <c r="P2427" s="644"/>
      <c r="Q2427" s="644"/>
      <c r="R2427" s="644"/>
      <c r="S2427" s="48"/>
      <c r="T2427" s="1196"/>
      <c r="U2427" s="48"/>
      <c r="V2427" s="48"/>
    </row>
    <row r="2428" spans="7:22">
      <c r="G2428" s="48"/>
      <c r="H2428" s="48"/>
      <c r="I2428" s="48"/>
      <c r="J2428" s="49"/>
      <c r="K2428" s="49"/>
      <c r="L2428" s="49"/>
      <c r="M2428" s="1498"/>
      <c r="N2428" s="49"/>
      <c r="O2428" s="644"/>
      <c r="P2428" s="644"/>
      <c r="Q2428" s="644"/>
      <c r="R2428" s="644"/>
      <c r="S2428" s="48"/>
      <c r="T2428" s="1196"/>
      <c r="U2428" s="48"/>
      <c r="V2428" s="48"/>
    </row>
    <row r="2429" spans="7:22">
      <c r="G2429" s="48"/>
      <c r="H2429" s="48"/>
      <c r="I2429" s="48"/>
      <c r="J2429" s="954">
        <f>SUM(J2417:J2425)</f>
        <v>68505000</v>
      </c>
      <c r="K2429" s="954"/>
      <c r="L2429" s="954">
        <f>SUM(L2417:L2428)</f>
        <v>107200000</v>
      </c>
      <c r="M2429" s="1498"/>
      <c r="N2429" s="954">
        <f>SUM(N2417:N2428)</f>
        <v>297150000</v>
      </c>
      <c r="O2429" s="644"/>
      <c r="P2429" s="969">
        <f>SUM(P2417:P2423)</f>
        <v>4350000</v>
      </c>
      <c r="Q2429" s="969"/>
      <c r="R2429" s="969">
        <f>SUM(R2417:R2423)</f>
        <v>0</v>
      </c>
      <c r="S2429" s="48"/>
      <c r="T2429" s="1178">
        <f>SUM(T2417:T2428)</f>
        <v>600</v>
      </c>
      <c r="U2429" s="48"/>
      <c r="V2429" s="878">
        <f>SUM(V2417:V2428)</f>
        <v>0</v>
      </c>
    </row>
    <row r="2430" spans="7:22">
      <c r="T2430" s="1195"/>
    </row>
    <row r="2431" spans="7:22">
      <c r="T2431" s="1195"/>
    </row>
    <row r="2432" spans="7:22">
      <c r="R2432" s="661"/>
      <c r="T2432" s="1195"/>
    </row>
    <row r="2433" spans="7:20">
      <c r="T2433" s="1195"/>
    </row>
    <row r="2434" spans="7:20">
      <c r="T2434" s="1195"/>
    </row>
    <row r="2435" spans="7:20">
      <c r="I2435" s="946"/>
      <c r="M2435" s="1533" t="s">
        <v>3699</v>
      </c>
      <c r="O2435" s="1535" t="s">
        <v>3741</v>
      </c>
      <c r="P2435" s="1512"/>
      <c r="S2435" s="906" t="s">
        <v>4049</v>
      </c>
      <c r="T2435" s="1107">
        <f>T2429-V2429</f>
        <v>600</v>
      </c>
    </row>
    <row r="2436" spans="7:20">
      <c r="G2436" s="1574" t="s">
        <v>3530</v>
      </c>
      <c r="H2436" s="1574"/>
      <c r="I2436" s="1574"/>
      <c r="J2436" s="3">
        <f>J2429+L2429</f>
        <v>175705000</v>
      </c>
      <c r="K2436" s="1009"/>
      <c r="L2436" s="3"/>
      <c r="M2436" s="1533" t="s">
        <v>3664</v>
      </c>
      <c r="N2436" s="1527"/>
      <c r="O2436" s="1535" t="s">
        <v>4066</v>
      </c>
      <c r="P2436" s="1512">
        <f>P2429-R2429</f>
        <v>4350000</v>
      </c>
      <c r="T2436" s="1195"/>
    </row>
    <row r="2437" spans="7:20">
      <c r="G2437" s="1574" t="s">
        <v>3512</v>
      </c>
      <c r="H2437" s="1574"/>
      <c r="I2437" s="1574"/>
      <c r="J2437" s="3">
        <f>N2429-J2436</f>
        <v>121445000</v>
      </c>
      <c r="K2437" s="1009"/>
      <c r="L2437" s="3"/>
      <c r="M2437" s="1528"/>
      <c r="O2437" s="1529"/>
      <c r="Q2437" s="661"/>
      <c r="T2437" s="1195"/>
    </row>
    <row r="2438" spans="7:20">
      <c r="G2438" s="1574" t="s">
        <v>3531</v>
      </c>
      <c r="H2438" s="1574"/>
      <c r="I2438" s="1574"/>
      <c r="J2438" s="3">
        <f>T2435</f>
        <v>600</v>
      </c>
      <c r="Q2438" s="3"/>
      <c r="T2438" s="1195"/>
    </row>
    <row r="2439" spans="7:20">
      <c r="G2439" s="1564" t="s">
        <v>4067</v>
      </c>
      <c r="H2439" s="1564"/>
      <c r="I2439" s="1564"/>
      <c r="T2439" s="1195"/>
    </row>
    <row r="2440" spans="7:20">
      <c r="J2440" s="3">
        <v>125900000</v>
      </c>
    </row>
    <row r="2441" spans="7:20">
      <c r="J2441" s="3">
        <f>J2437-J2440</f>
        <v>-4455000</v>
      </c>
    </row>
    <row r="2452" spans="7:22">
      <c r="G2452" s="1008">
        <v>46002</v>
      </c>
      <c r="H2452" s="1169"/>
      <c r="I2452" s="1575" t="s">
        <v>3510</v>
      </c>
      <c r="J2452" s="1576"/>
      <c r="K2452" s="1575" t="s">
        <v>3509</v>
      </c>
      <c r="L2452" s="1576"/>
      <c r="M2452" s="1575" t="s">
        <v>3541</v>
      </c>
      <c r="N2452" s="1576"/>
      <c r="O2452" s="1577" t="s">
        <v>3598</v>
      </c>
      <c r="P2452" s="1578"/>
      <c r="Q2452" s="1579" t="s">
        <v>3599</v>
      </c>
      <c r="R2452" s="1580"/>
      <c r="S2452" s="1583" t="s">
        <v>3953</v>
      </c>
      <c r="T2452" s="1583"/>
      <c r="U2452" s="1583" t="s">
        <v>3954</v>
      </c>
      <c r="V2452" s="1583"/>
    </row>
    <row r="2453" spans="7:22">
      <c r="G2453" s="1097"/>
      <c r="H2453" s="1170"/>
      <c r="I2453" s="1197" t="s">
        <v>4279</v>
      </c>
      <c r="J2453" s="49">
        <v>90000000</v>
      </c>
      <c r="K2453" s="1495" t="s">
        <v>4276</v>
      </c>
      <c r="L2453" s="49">
        <v>3400000</v>
      </c>
      <c r="M2453" s="1495" t="s">
        <v>3512</v>
      </c>
      <c r="N2453" s="49">
        <v>120000000</v>
      </c>
      <c r="O2453" s="1383" t="s">
        <v>3723</v>
      </c>
      <c r="P2453" s="644">
        <v>4350000</v>
      </c>
      <c r="Q2453" s="1199" t="s">
        <v>3363</v>
      </c>
      <c r="R2453" s="644">
        <v>1100000</v>
      </c>
      <c r="S2453" s="1200" t="s">
        <v>4273</v>
      </c>
      <c r="T2453" s="1191">
        <v>300</v>
      </c>
      <c r="U2453" s="1183"/>
      <c r="V2453" s="48"/>
    </row>
    <row r="2454" spans="7:22">
      <c r="G2454" s="1098"/>
      <c r="H2454" s="1172"/>
      <c r="I2454" s="1197"/>
      <c r="J2454" s="49"/>
      <c r="K2454" s="1495"/>
      <c r="L2454" s="49"/>
      <c r="M2454" s="1495" t="s">
        <v>4274</v>
      </c>
      <c r="N2454" s="49">
        <v>400000</v>
      </c>
      <c r="O2454" s="1383" t="s">
        <v>4272</v>
      </c>
      <c r="P2454" s="644">
        <v>1300000</v>
      </c>
      <c r="Q2454" s="1199" t="s">
        <v>4280</v>
      </c>
      <c r="R2454" s="644">
        <v>50000</v>
      </c>
      <c r="S2454" s="1200" t="s">
        <v>4274</v>
      </c>
      <c r="T2454" s="1191">
        <v>800</v>
      </c>
      <c r="U2454" s="48"/>
      <c r="V2454" s="49"/>
    </row>
    <row r="2455" spans="7:22">
      <c r="G2455" s="48"/>
      <c r="H2455" s="48"/>
      <c r="I2455" s="1200"/>
      <c r="J2455" s="49"/>
      <c r="K2455" s="1495"/>
      <c r="L2455" s="49"/>
      <c r="M2455" s="1493" t="s">
        <v>4275</v>
      </c>
      <c r="N2455" s="49">
        <v>5000000</v>
      </c>
      <c r="O2455" s="1180"/>
      <c r="P2455" s="644"/>
      <c r="Q2455" s="1192"/>
      <c r="R2455" s="644"/>
      <c r="S2455" s="1190"/>
      <c r="T2455" s="1191"/>
      <c r="U2455" s="1078"/>
      <c r="V2455" s="49"/>
    </row>
    <row r="2456" spans="7:22">
      <c r="G2456" s="48"/>
      <c r="H2456" s="48"/>
      <c r="I2456" s="1183"/>
      <c r="J2456" s="49"/>
      <c r="K2456" s="1495"/>
      <c r="L2456" s="49"/>
      <c r="M2456" s="1493" t="s">
        <v>4277</v>
      </c>
      <c r="N2456" s="49">
        <v>5000000</v>
      </c>
      <c r="O2456" s="644"/>
      <c r="P2456" s="644"/>
      <c r="Q2456" s="1192"/>
      <c r="R2456" s="644"/>
      <c r="S2456" s="48"/>
      <c r="T2456" s="1196"/>
      <c r="U2456" s="48"/>
      <c r="V2456" s="49"/>
    </row>
    <row r="2457" spans="7:22">
      <c r="G2457" s="48"/>
      <c r="H2457" s="48"/>
      <c r="I2457" s="1184"/>
      <c r="J2457" s="49"/>
      <c r="K2457" s="1495"/>
      <c r="L2457" s="49"/>
      <c r="M2457" s="1493" t="s">
        <v>4278</v>
      </c>
      <c r="N2457" s="49">
        <v>1000000</v>
      </c>
      <c r="O2457" s="644"/>
      <c r="P2457" s="644"/>
      <c r="Q2457" s="1186"/>
      <c r="R2457" s="644"/>
      <c r="S2457" s="48"/>
      <c r="T2457" s="1196"/>
      <c r="U2457" s="48"/>
      <c r="V2457" s="49"/>
    </row>
    <row r="2458" spans="7:22">
      <c r="G2458" s="48"/>
      <c r="H2458" s="48"/>
      <c r="I2458" s="1184"/>
      <c r="J2458" s="49"/>
      <c r="K2458" s="1495"/>
      <c r="L2458" s="49"/>
      <c r="M2458" s="1495"/>
      <c r="N2458" s="49"/>
      <c r="O2458" s="644"/>
      <c r="P2458" s="644"/>
      <c r="Q2458" s="1176"/>
      <c r="R2458" s="644"/>
      <c r="S2458" s="48"/>
      <c r="T2458" s="1196"/>
      <c r="U2458" s="48"/>
      <c r="V2458" s="49"/>
    </row>
    <row r="2459" spans="7:22">
      <c r="G2459" s="48"/>
      <c r="H2459" s="48"/>
      <c r="I2459" s="1184"/>
      <c r="J2459" s="49"/>
      <c r="K2459" s="1495"/>
      <c r="L2459" s="49"/>
      <c r="M2459" s="1498"/>
      <c r="N2459" s="49"/>
      <c r="O2459" s="644"/>
      <c r="P2459" s="644"/>
      <c r="Q2459" s="1176"/>
      <c r="R2459" s="644"/>
      <c r="S2459" s="48"/>
      <c r="T2459" s="1196"/>
      <c r="U2459" s="48"/>
      <c r="V2459" s="49"/>
    </row>
    <row r="2460" spans="7:22">
      <c r="G2460" s="48"/>
      <c r="H2460" s="48"/>
      <c r="I2460" s="1184"/>
      <c r="J2460" s="49"/>
      <c r="K2460" s="1532"/>
      <c r="L2460" s="49"/>
      <c r="M2460" s="1498"/>
      <c r="N2460" s="49"/>
      <c r="O2460" s="644"/>
      <c r="P2460" s="644"/>
      <c r="Q2460" s="644"/>
      <c r="R2460" s="644"/>
      <c r="S2460" s="48"/>
      <c r="T2460" s="1196"/>
      <c r="U2460" s="48"/>
      <c r="V2460" s="49"/>
    </row>
    <row r="2461" spans="7:22">
      <c r="G2461" s="48"/>
      <c r="H2461" s="48"/>
      <c r="I2461" s="48"/>
      <c r="J2461" s="49"/>
      <c r="K2461" s="1495"/>
      <c r="L2461" s="49"/>
      <c r="M2461" s="1498"/>
      <c r="N2461" s="49"/>
      <c r="O2461" s="644"/>
      <c r="P2461" s="644"/>
      <c r="Q2461" s="644"/>
      <c r="R2461" s="644"/>
      <c r="S2461" s="48"/>
      <c r="T2461" s="1196"/>
      <c r="U2461" s="48"/>
      <c r="V2461" s="49"/>
    </row>
    <row r="2462" spans="7:22">
      <c r="G2462" s="48"/>
      <c r="H2462" s="48"/>
      <c r="I2462" s="48"/>
      <c r="J2462" s="49"/>
      <c r="K2462" s="1495"/>
      <c r="L2462" s="49"/>
      <c r="M2462" s="1498"/>
      <c r="N2462" s="49"/>
      <c r="O2462" s="644"/>
      <c r="P2462" s="644"/>
      <c r="Q2462" s="644"/>
      <c r="R2462" s="644"/>
      <c r="S2462" s="48"/>
      <c r="T2462" s="1196"/>
      <c r="U2462" s="48"/>
      <c r="V2462" s="49"/>
    </row>
    <row r="2463" spans="7:22">
      <c r="G2463" s="48"/>
      <c r="H2463" s="48"/>
      <c r="I2463" s="48"/>
      <c r="J2463" s="49"/>
      <c r="K2463" s="1498"/>
      <c r="L2463" s="49"/>
      <c r="M2463" s="1498"/>
      <c r="N2463" s="49"/>
      <c r="O2463" s="644"/>
      <c r="P2463" s="644"/>
      <c r="Q2463" s="644"/>
      <c r="R2463" s="644"/>
      <c r="S2463" s="48"/>
      <c r="T2463" s="1196"/>
      <c r="U2463" s="48"/>
      <c r="V2463" s="48"/>
    </row>
    <row r="2464" spans="7:22">
      <c r="G2464" s="48"/>
      <c r="H2464" s="48"/>
      <c r="I2464" s="48"/>
      <c r="J2464" s="49"/>
      <c r="K2464" s="49"/>
      <c r="L2464" s="49"/>
      <c r="M2464" s="1498"/>
      <c r="N2464" s="49"/>
      <c r="O2464" s="644"/>
      <c r="P2464" s="644"/>
      <c r="Q2464" s="644"/>
      <c r="R2464" s="644"/>
      <c r="S2464" s="48"/>
      <c r="T2464" s="1196"/>
      <c r="U2464" s="48"/>
      <c r="V2464" s="48"/>
    </row>
    <row r="2465" spans="7:22">
      <c r="G2465" s="48"/>
      <c r="H2465" s="48"/>
      <c r="I2465" s="48"/>
      <c r="J2465" s="954">
        <f>SUM(J2453:J2461)</f>
        <v>90000000</v>
      </c>
      <c r="K2465" s="954"/>
      <c r="L2465" s="954">
        <f>SUM(L2453:L2464)</f>
        <v>3400000</v>
      </c>
      <c r="M2465" s="1498"/>
      <c r="N2465" s="954">
        <f>SUM(N2453:N2464)</f>
        <v>131400000</v>
      </c>
      <c r="O2465" s="644"/>
      <c r="P2465" s="969">
        <f>SUM(P2453:P2459)</f>
        <v>5650000</v>
      </c>
      <c r="Q2465" s="969"/>
      <c r="R2465" s="969">
        <f>SUM(R2453:R2459)</f>
        <v>1150000</v>
      </c>
      <c r="S2465" s="48"/>
      <c r="T2465" s="1178">
        <f>SUM(T2453:T2464)</f>
        <v>1100</v>
      </c>
      <c r="U2465" s="48"/>
      <c r="V2465" s="878">
        <f>SUM(V2453:V2464)</f>
        <v>0</v>
      </c>
    </row>
    <row r="2466" spans="7:22">
      <c r="T2466" s="1195"/>
    </row>
    <row r="2467" spans="7:22">
      <c r="T2467" s="1195"/>
    </row>
    <row r="2468" spans="7:22">
      <c r="R2468" s="661"/>
      <c r="T2468" s="1195"/>
    </row>
    <row r="2469" spans="7:22">
      <c r="T2469" s="1195"/>
    </row>
    <row r="2470" spans="7:22">
      <c r="T2470" s="1195"/>
    </row>
    <row r="2471" spans="7:22">
      <c r="I2471" s="946"/>
      <c r="M2471" s="1533" t="s">
        <v>3699</v>
      </c>
      <c r="O2471" s="1535" t="s">
        <v>3741</v>
      </c>
      <c r="P2471" s="1512"/>
      <c r="S2471" s="906" t="s">
        <v>4049</v>
      </c>
      <c r="T2471" s="1107">
        <f>T2465-V2465</f>
        <v>1100</v>
      </c>
    </row>
    <row r="2472" spans="7:22">
      <c r="G2472" s="1574" t="s">
        <v>3530</v>
      </c>
      <c r="H2472" s="1574"/>
      <c r="I2472" s="1574"/>
      <c r="J2472" s="3">
        <f>J2465+L2465</f>
        <v>93400000</v>
      </c>
      <c r="K2472" s="1009"/>
      <c r="L2472" s="3"/>
      <c r="M2472" s="1533" t="s">
        <v>3664</v>
      </c>
      <c r="N2472" s="1527"/>
      <c r="O2472" s="1535" t="s">
        <v>4066</v>
      </c>
      <c r="P2472" s="1512">
        <f>P2465-R2465</f>
        <v>4500000</v>
      </c>
      <c r="T2472" s="1195"/>
    </row>
    <row r="2473" spans="7:22">
      <c r="G2473" s="1574" t="s">
        <v>3512</v>
      </c>
      <c r="H2473" s="1574"/>
      <c r="I2473" s="1574"/>
      <c r="J2473" s="3">
        <f>N2465-J2472</f>
        <v>38000000</v>
      </c>
      <c r="K2473" s="1009"/>
      <c r="L2473" s="3"/>
      <c r="M2473" s="1528"/>
      <c r="O2473" s="1529"/>
      <c r="Q2473" s="661"/>
      <c r="T2473" s="1195"/>
    </row>
    <row r="2474" spans="7:22">
      <c r="G2474" s="1574" t="s">
        <v>3531</v>
      </c>
      <c r="H2474" s="1574"/>
      <c r="I2474" s="1574"/>
      <c r="J2474" s="3">
        <f>T2471</f>
        <v>1100</v>
      </c>
      <c r="Q2474" s="3"/>
      <c r="T2474" s="1195"/>
    </row>
    <row r="2475" spans="7:22">
      <c r="G2475" s="1564" t="s">
        <v>4067</v>
      </c>
      <c r="H2475" s="1564"/>
      <c r="I2475" s="1564"/>
      <c r="T2475" s="1195"/>
    </row>
    <row r="2486" spans="7:22">
      <c r="G2486" s="1008">
        <v>46003</v>
      </c>
      <c r="H2486" s="1169"/>
      <c r="I2486" s="1575" t="s">
        <v>3510</v>
      </c>
      <c r="J2486" s="1576"/>
      <c r="K2486" s="1575" t="s">
        <v>3509</v>
      </c>
      <c r="L2486" s="1576"/>
      <c r="M2486" s="1575" t="s">
        <v>3541</v>
      </c>
      <c r="N2486" s="1576"/>
      <c r="O2486" s="1577" t="s">
        <v>3598</v>
      </c>
      <c r="P2486" s="1578"/>
      <c r="Q2486" s="1579" t="s">
        <v>3599</v>
      </c>
      <c r="R2486" s="1580"/>
      <c r="S2486" s="1583" t="s">
        <v>3953</v>
      </c>
      <c r="T2486" s="1583"/>
      <c r="U2486" s="1583" t="s">
        <v>3954</v>
      </c>
      <c r="V2486" s="1583"/>
    </row>
    <row r="2487" spans="7:22">
      <c r="G2487" s="1097"/>
      <c r="H2487" s="1170"/>
      <c r="I2487" s="1197" t="s">
        <v>4281</v>
      </c>
      <c r="J2487" s="49">
        <v>30690000</v>
      </c>
      <c r="K2487" s="1495" t="s">
        <v>4282</v>
      </c>
      <c r="L2487" s="49">
        <v>100000</v>
      </c>
      <c r="M2487" s="1495" t="s">
        <v>3512</v>
      </c>
      <c r="N2487" s="49">
        <v>38000000</v>
      </c>
      <c r="O2487" s="1383" t="s">
        <v>4295</v>
      </c>
      <c r="P2487" s="644">
        <v>4500000</v>
      </c>
      <c r="Q2487" s="1199" t="s">
        <v>4286</v>
      </c>
      <c r="R2487" s="644">
        <v>100000</v>
      </c>
      <c r="S2487" s="1200" t="s">
        <v>4285</v>
      </c>
      <c r="T2487" s="1191">
        <v>1100</v>
      </c>
      <c r="U2487" s="1183"/>
      <c r="V2487" s="48"/>
    </row>
    <row r="2488" spans="7:22">
      <c r="G2488" s="1098"/>
      <c r="H2488" s="1172"/>
      <c r="I2488" s="1197" t="s">
        <v>3834</v>
      </c>
      <c r="J2488" s="49">
        <v>51150000</v>
      </c>
      <c r="K2488" s="1495" t="s">
        <v>4283</v>
      </c>
      <c r="L2488" s="49">
        <v>100000</v>
      </c>
      <c r="M2488" s="1495" t="s">
        <v>4284</v>
      </c>
      <c r="N2488" s="49">
        <v>1320000</v>
      </c>
      <c r="O2488" s="1383"/>
      <c r="P2488" s="644">
        <v>6000000</v>
      </c>
      <c r="Q2488" s="1199" t="s">
        <v>4291</v>
      </c>
      <c r="R2488" s="644">
        <v>5000000</v>
      </c>
      <c r="S2488" s="1200" t="s">
        <v>4290</v>
      </c>
      <c r="T2488" s="1191">
        <v>2000</v>
      </c>
      <c r="U2488" s="48"/>
      <c r="V2488" s="49"/>
    </row>
    <row r="2489" spans="7:22">
      <c r="G2489" s="48"/>
      <c r="H2489" s="48"/>
      <c r="I2489" s="1200" t="s">
        <v>4289</v>
      </c>
      <c r="J2489" s="49">
        <v>27600000</v>
      </c>
      <c r="K2489" s="1495" t="s">
        <v>3684</v>
      </c>
      <c r="L2489" s="49">
        <v>2000000</v>
      </c>
      <c r="M2489" s="1493" t="s">
        <v>4287</v>
      </c>
      <c r="N2489" s="49">
        <v>1500000</v>
      </c>
      <c r="O2489" s="1180"/>
      <c r="P2489" s="644"/>
      <c r="Q2489" s="1192"/>
      <c r="R2489" s="644"/>
      <c r="S2489" s="1190"/>
      <c r="T2489" s="1191"/>
      <c r="U2489" s="1078"/>
      <c r="V2489" s="49"/>
    </row>
    <row r="2490" spans="7:22">
      <c r="G2490" s="48"/>
      <c r="H2490" s="48"/>
      <c r="I2490" s="1197" t="s">
        <v>4292</v>
      </c>
      <c r="J2490" s="49">
        <v>498750000</v>
      </c>
      <c r="K2490" s="1495" t="s">
        <v>3547</v>
      </c>
      <c r="L2490" s="49">
        <v>2000000</v>
      </c>
      <c r="M2490" s="1493" t="s">
        <v>4288</v>
      </c>
      <c r="N2490" s="49">
        <v>103200000</v>
      </c>
      <c r="O2490" s="644"/>
      <c r="P2490" s="644"/>
      <c r="Q2490" s="1192"/>
      <c r="R2490" s="644"/>
      <c r="S2490" s="48"/>
      <c r="T2490" s="1196"/>
      <c r="U2490" s="48"/>
      <c r="V2490" s="49"/>
    </row>
    <row r="2491" spans="7:22">
      <c r="G2491" s="48"/>
      <c r="H2491" s="48"/>
      <c r="I2491" s="1200" t="s">
        <v>4293</v>
      </c>
      <c r="J2491" s="49">
        <v>29700000</v>
      </c>
      <c r="K2491" s="1495" t="s">
        <v>4291</v>
      </c>
      <c r="L2491" s="49">
        <v>10000000</v>
      </c>
      <c r="M2491" s="1493" t="s">
        <v>3897</v>
      </c>
      <c r="N2491" s="49">
        <v>600000000</v>
      </c>
      <c r="O2491" s="644"/>
      <c r="P2491" s="644"/>
      <c r="Q2491" s="1186"/>
      <c r="R2491" s="644"/>
      <c r="S2491" s="48"/>
      <c r="T2491" s="1196"/>
      <c r="U2491" s="48"/>
      <c r="V2491" s="49"/>
    </row>
    <row r="2492" spans="7:22">
      <c r="G2492" s="48"/>
      <c r="H2492" s="48"/>
      <c r="I2492" s="1200" t="s">
        <v>4294</v>
      </c>
      <c r="J2492" s="49">
        <v>30360000</v>
      </c>
      <c r="K2492" s="1495"/>
      <c r="L2492" s="49"/>
      <c r="M2492" s="1495"/>
      <c r="N2492" s="49"/>
      <c r="O2492" s="644"/>
      <c r="P2492" s="644"/>
      <c r="Q2492" s="1176"/>
      <c r="R2492" s="644"/>
      <c r="S2492" s="48"/>
      <c r="T2492" s="1196"/>
      <c r="U2492" s="48"/>
      <c r="V2492" s="49"/>
    </row>
    <row r="2493" spans="7:22">
      <c r="G2493" s="48"/>
      <c r="H2493" s="48"/>
      <c r="I2493" s="1184"/>
      <c r="J2493" s="49"/>
      <c r="K2493" s="1495"/>
      <c r="L2493" s="49"/>
      <c r="M2493" s="1498"/>
      <c r="N2493" s="49"/>
      <c r="O2493" s="644"/>
      <c r="P2493" s="644"/>
      <c r="Q2493" s="1176"/>
      <c r="R2493" s="644"/>
      <c r="S2493" s="48"/>
      <c r="T2493" s="1196"/>
      <c r="U2493" s="48"/>
      <c r="V2493" s="49"/>
    </row>
    <row r="2494" spans="7:22">
      <c r="G2494" s="48"/>
      <c r="H2494" s="48"/>
      <c r="I2494" s="1184"/>
      <c r="J2494" s="49"/>
      <c r="K2494" s="1532"/>
      <c r="L2494" s="49"/>
      <c r="M2494" s="1498"/>
      <c r="N2494" s="49"/>
      <c r="O2494" s="644"/>
      <c r="P2494" s="644"/>
      <c r="Q2494" s="644"/>
      <c r="R2494" s="644"/>
      <c r="S2494" s="48"/>
      <c r="T2494" s="1196"/>
      <c r="U2494" s="48"/>
      <c r="V2494" s="49"/>
    </row>
    <row r="2495" spans="7:22">
      <c r="G2495" s="48"/>
      <c r="H2495" s="48"/>
      <c r="I2495" s="48"/>
      <c r="J2495" s="49"/>
      <c r="K2495" s="1495"/>
      <c r="L2495" s="49"/>
      <c r="M2495" s="1498"/>
      <c r="N2495" s="49"/>
      <c r="O2495" s="644"/>
      <c r="P2495" s="644"/>
      <c r="Q2495" s="644"/>
      <c r="R2495" s="644"/>
      <c r="S2495" s="48"/>
      <c r="T2495" s="1196"/>
      <c r="U2495" s="48"/>
      <c r="V2495" s="49"/>
    </row>
    <row r="2496" spans="7:22">
      <c r="G2496" s="48"/>
      <c r="H2496" s="48"/>
      <c r="I2496" s="48"/>
      <c r="J2496" s="49"/>
      <c r="K2496" s="1495"/>
      <c r="L2496" s="49"/>
      <c r="M2496" s="1498"/>
      <c r="N2496" s="49"/>
      <c r="O2496" s="644"/>
      <c r="P2496" s="644"/>
      <c r="Q2496" s="644"/>
      <c r="R2496" s="644"/>
      <c r="S2496" s="48"/>
      <c r="T2496" s="1196"/>
      <c r="U2496" s="48"/>
      <c r="V2496" s="49"/>
    </row>
    <row r="2497" spans="7:22">
      <c r="G2497" s="48"/>
      <c r="H2497" s="48"/>
      <c r="I2497" s="48"/>
      <c r="J2497" s="49"/>
      <c r="K2497" s="1498"/>
      <c r="L2497" s="49"/>
      <c r="M2497" s="1498"/>
      <c r="N2497" s="49"/>
      <c r="O2497" s="644"/>
      <c r="P2497" s="644"/>
      <c r="Q2497" s="644"/>
      <c r="R2497" s="644"/>
      <c r="S2497" s="48"/>
      <c r="T2497" s="1196"/>
      <c r="U2497" s="48"/>
      <c r="V2497" s="48"/>
    </row>
    <row r="2498" spans="7:22">
      <c r="G2498" s="48"/>
      <c r="H2498" s="48"/>
      <c r="I2498" s="48"/>
      <c r="J2498" s="49"/>
      <c r="K2498" s="49"/>
      <c r="L2498" s="49"/>
      <c r="M2498" s="1498"/>
      <c r="N2498" s="49"/>
      <c r="O2498" s="644"/>
      <c r="P2498" s="644"/>
      <c r="Q2498" s="644"/>
      <c r="R2498" s="644"/>
      <c r="S2498" s="48"/>
      <c r="T2498" s="1196"/>
      <c r="U2498" s="48"/>
      <c r="V2498" s="48"/>
    </row>
    <row r="2499" spans="7:22">
      <c r="G2499" s="48"/>
      <c r="H2499" s="48"/>
      <c r="I2499" s="48"/>
      <c r="J2499" s="954">
        <f>SUM(J2487:J2495)</f>
        <v>668250000</v>
      </c>
      <c r="K2499" s="954"/>
      <c r="L2499" s="954">
        <f>SUM(L2487:L2498)</f>
        <v>14200000</v>
      </c>
      <c r="M2499" s="1498"/>
      <c r="N2499" s="954">
        <f>SUM(N2487:N2498)</f>
        <v>744020000</v>
      </c>
      <c r="O2499" s="644"/>
      <c r="P2499" s="969">
        <f>SUM(P2487:P2493)</f>
        <v>10500000</v>
      </c>
      <c r="Q2499" s="969"/>
      <c r="R2499" s="969">
        <f>SUM(R2487:R2493)</f>
        <v>5100000</v>
      </c>
      <c r="S2499" s="48"/>
      <c r="T2499" s="1178">
        <f>SUM(T2487:T2498)</f>
        <v>3100</v>
      </c>
      <c r="U2499" s="48"/>
      <c r="V2499" s="878">
        <f>SUM(V2487:V2498)</f>
        <v>0</v>
      </c>
    </row>
    <row r="2500" spans="7:22">
      <c r="T2500" s="1195"/>
    </row>
    <row r="2501" spans="7:22">
      <c r="T2501" s="1195"/>
    </row>
    <row r="2502" spans="7:22">
      <c r="R2502" s="661"/>
      <c r="T2502" s="1195"/>
    </row>
    <row r="2503" spans="7:22">
      <c r="T2503" s="1195"/>
    </row>
    <row r="2504" spans="7:22">
      <c r="T2504" s="1195"/>
    </row>
    <row r="2505" spans="7:22">
      <c r="I2505" s="946"/>
      <c r="M2505" s="1533" t="s">
        <v>3699</v>
      </c>
      <c r="O2505" s="1535" t="s">
        <v>3741</v>
      </c>
      <c r="P2505" s="1512"/>
      <c r="S2505" s="906" t="s">
        <v>4049</v>
      </c>
      <c r="T2505" s="1107">
        <f>T2499-V2499</f>
        <v>3100</v>
      </c>
    </row>
    <row r="2506" spans="7:22">
      <c r="G2506" s="1574" t="s">
        <v>3530</v>
      </c>
      <c r="H2506" s="1574"/>
      <c r="I2506" s="1574"/>
      <c r="J2506" s="3">
        <f>J2499+L2499</f>
        <v>682450000</v>
      </c>
      <c r="K2506" s="1009"/>
      <c r="L2506" s="3"/>
      <c r="M2506" s="1533" t="s">
        <v>3664</v>
      </c>
      <c r="N2506" s="1527"/>
      <c r="O2506" s="1535" t="s">
        <v>4066</v>
      </c>
      <c r="P2506" s="1512">
        <f>P2499-R2499</f>
        <v>5400000</v>
      </c>
      <c r="T2506" s="1195"/>
    </row>
    <row r="2507" spans="7:22">
      <c r="G2507" s="1574" t="s">
        <v>3512</v>
      </c>
      <c r="H2507" s="1574"/>
      <c r="I2507" s="1574"/>
      <c r="J2507" s="3">
        <f>N2499-J2506</f>
        <v>61570000</v>
      </c>
      <c r="K2507" s="1009"/>
      <c r="L2507" s="3"/>
      <c r="M2507" s="1528"/>
      <c r="O2507" s="1529"/>
      <c r="Q2507" s="661"/>
      <c r="T2507" s="1195"/>
    </row>
    <row r="2508" spans="7:22">
      <c r="G2508" s="1574" t="s">
        <v>3531</v>
      </c>
      <c r="H2508" s="1574"/>
      <c r="I2508" s="1574"/>
      <c r="J2508" s="3">
        <f>T2505</f>
        <v>3100</v>
      </c>
      <c r="Q2508" s="3"/>
      <c r="T2508" s="1195"/>
    </row>
    <row r="2509" spans="7:22">
      <c r="G2509" s="1564" t="s">
        <v>4067</v>
      </c>
      <c r="H2509" s="1564"/>
      <c r="I2509" s="1564"/>
      <c r="T2509" s="1195"/>
    </row>
    <row r="2519" spans="7:22">
      <c r="G2519" s="1008">
        <v>46004</v>
      </c>
      <c r="H2519" s="1169"/>
      <c r="I2519" s="1575" t="s">
        <v>3510</v>
      </c>
      <c r="J2519" s="1576"/>
      <c r="K2519" s="1575" t="s">
        <v>3509</v>
      </c>
      <c r="L2519" s="1576"/>
      <c r="M2519" s="1575" t="s">
        <v>3541</v>
      </c>
      <c r="N2519" s="1576"/>
      <c r="O2519" s="1577" t="s">
        <v>3598</v>
      </c>
      <c r="P2519" s="1578"/>
      <c r="Q2519" s="1579" t="s">
        <v>3599</v>
      </c>
      <c r="R2519" s="1580"/>
      <c r="S2519" s="1583" t="s">
        <v>3953</v>
      </c>
      <c r="T2519" s="1583"/>
      <c r="U2519" s="1583" t="s">
        <v>3954</v>
      </c>
      <c r="V2519" s="1583"/>
    </row>
    <row r="2520" spans="7:22">
      <c r="G2520" s="1097"/>
      <c r="H2520" s="1170"/>
      <c r="I2520" s="1197"/>
      <c r="J2520" s="49"/>
      <c r="K2520" s="1495" t="s">
        <v>4298</v>
      </c>
      <c r="L2520" s="49">
        <v>250000</v>
      </c>
      <c r="M2520" s="1495" t="s">
        <v>4297</v>
      </c>
      <c r="N2520" s="49">
        <v>400000</v>
      </c>
      <c r="O2520" s="1383" t="s">
        <v>4104</v>
      </c>
      <c r="P2520" s="644">
        <v>5400000</v>
      </c>
      <c r="Q2520" s="1199" t="s">
        <v>4296</v>
      </c>
      <c r="R2520" s="644">
        <v>455000</v>
      </c>
      <c r="S2520" s="1203" t="s">
        <v>4297</v>
      </c>
      <c r="T2520" s="1191">
        <v>2800</v>
      </c>
      <c r="U2520" s="1183"/>
      <c r="V2520" s="48"/>
    </row>
    <row r="2521" spans="7:22">
      <c r="G2521" s="1098"/>
      <c r="H2521" s="1172"/>
      <c r="I2521" s="1197"/>
      <c r="J2521" s="49"/>
      <c r="K2521" s="1495" t="s">
        <v>4075</v>
      </c>
      <c r="L2521" s="49">
        <v>80000</v>
      </c>
      <c r="M2521" s="1495"/>
      <c r="N2521" s="49"/>
      <c r="O2521" s="1383"/>
      <c r="P2521" s="644">
        <v>3850000</v>
      </c>
      <c r="Q2521" s="1199" t="s">
        <v>4299</v>
      </c>
      <c r="R2521" s="644">
        <v>3000000</v>
      </c>
      <c r="S2521" s="1200"/>
      <c r="T2521" s="1191"/>
      <c r="U2521" s="48"/>
      <c r="V2521" s="49"/>
    </row>
    <row r="2522" spans="7:22">
      <c r="G2522" s="48"/>
      <c r="H2522" s="48"/>
      <c r="I2522" s="1200"/>
      <c r="J2522" s="49"/>
      <c r="K2522" s="1495" t="s">
        <v>4315</v>
      </c>
      <c r="L2522" s="49">
        <v>960000</v>
      </c>
      <c r="M2522" s="1493"/>
      <c r="N2522" s="49"/>
      <c r="O2522" s="1180"/>
      <c r="P2522" s="644"/>
      <c r="Q2522" s="1192"/>
      <c r="R2522" s="644"/>
      <c r="S2522" s="1190"/>
      <c r="T2522" s="1191"/>
      <c r="U2522" s="1078"/>
      <c r="V2522" s="49"/>
    </row>
    <row r="2523" spans="7:22">
      <c r="G2523" s="48"/>
      <c r="H2523" s="48"/>
      <c r="I2523" s="1197"/>
      <c r="J2523" s="49"/>
      <c r="K2523" s="1495"/>
      <c r="L2523" s="49">
        <v>1500000</v>
      </c>
      <c r="M2523" s="1493"/>
      <c r="N2523" s="49"/>
      <c r="O2523" s="644"/>
      <c r="P2523" s="644"/>
      <c r="Q2523" s="1192"/>
      <c r="R2523" s="644"/>
      <c r="S2523" s="48"/>
      <c r="T2523" s="1196"/>
      <c r="U2523" s="48"/>
      <c r="V2523" s="49"/>
    </row>
    <row r="2524" spans="7:22">
      <c r="G2524" s="48"/>
      <c r="H2524" s="48"/>
      <c r="I2524" s="1200"/>
      <c r="J2524" s="49"/>
      <c r="K2524" s="1495"/>
      <c r="L2524" s="49"/>
      <c r="M2524" s="1493"/>
      <c r="N2524" s="49"/>
      <c r="O2524" s="644"/>
      <c r="P2524" s="644"/>
      <c r="Q2524" s="1186"/>
      <c r="R2524" s="644"/>
      <c r="S2524" s="48"/>
      <c r="T2524" s="1196"/>
      <c r="U2524" s="48"/>
      <c r="V2524" s="49"/>
    </row>
    <row r="2525" spans="7:22">
      <c r="G2525" s="48"/>
      <c r="H2525" s="48"/>
      <c r="I2525" s="1200"/>
      <c r="J2525" s="49"/>
      <c r="K2525" s="1495"/>
      <c r="L2525" s="49"/>
      <c r="M2525" s="1495"/>
      <c r="N2525" s="49"/>
      <c r="O2525" s="644"/>
      <c r="P2525" s="644"/>
      <c r="Q2525" s="1176"/>
      <c r="R2525" s="644"/>
      <c r="S2525" s="48"/>
      <c r="T2525" s="1196"/>
      <c r="U2525" s="48"/>
      <c r="V2525" s="49"/>
    </row>
    <row r="2526" spans="7:22">
      <c r="G2526" s="48"/>
      <c r="H2526" s="48"/>
      <c r="I2526" s="1184"/>
      <c r="J2526" s="49"/>
      <c r="K2526" s="1495"/>
      <c r="L2526" s="49"/>
      <c r="M2526" s="1498"/>
      <c r="N2526" s="49"/>
      <c r="O2526" s="644"/>
      <c r="P2526" s="644"/>
      <c r="Q2526" s="1176"/>
      <c r="R2526" s="644"/>
      <c r="S2526" s="48"/>
      <c r="T2526" s="1196"/>
      <c r="U2526" s="48"/>
      <c r="V2526" s="49"/>
    </row>
    <row r="2527" spans="7:22">
      <c r="G2527" s="48"/>
      <c r="H2527" s="48"/>
      <c r="I2527" s="1184"/>
      <c r="J2527" s="49"/>
      <c r="K2527" s="1532"/>
      <c r="L2527" s="49"/>
      <c r="M2527" s="1498"/>
      <c r="N2527" s="49"/>
      <c r="O2527" s="644"/>
      <c r="P2527" s="644"/>
      <c r="Q2527" s="644"/>
      <c r="R2527" s="644"/>
      <c r="S2527" s="48"/>
      <c r="T2527" s="1196"/>
      <c r="U2527" s="48"/>
      <c r="V2527" s="49"/>
    </row>
    <row r="2528" spans="7:22">
      <c r="G2528" s="48"/>
      <c r="H2528" s="48"/>
      <c r="I2528" s="48"/>
      <c r="J2528" s="49"/>
      <c r="K2528" s="1495"/>
      <c r="L2528" s="49"/>
      <c r="M2528" s="1498"/>
      <c r="N2528" s="49"/>
      <c r="O2528" s="644"/>
      <c r="P2528" s="644"/>
      <c r="Q2528" s="644"/>
      <c r="R2528" s="644"/>
      <c r="S2528" s="48"/>
      <c r="T2528" s="1196"/>
      <c r="U2528" s="48"/>
      <c r="V2528" s="49"/>
    </row>
    <row r="2529" spans="7:22">
      <c r="G2529" s="48"/>
      <c r="H2529" s="48"/>
      <c r="I2529" s="48"/>
      <c r="J2529" s="49"/>
      <c r="K2529" s="1495"/>
      <c r="L2529" s="49"/>
      <c r="M2529" s="1498"/>
      <c r="N2529" s="49"/>
      <c r="O2529" s="644"/>
      <c r="P2529" s="644"/>
      <c r="Q2529" s="644"/>
      <c r="R2529" s="644"/>
      <c r="S2529" s="48"/>
      <c r="T2529" s="1196"/>
      <c r="U2529" s="48"/>
      <c r="V2529" s="49"/>
    </row>
    <row r="2530" spans="7:22">
      <c r="G2530" s="48"/>
      <c r="H2530" s="48"/>
      <c r="I2530" s="48"/>
      <c r="J2530" s="49"/>
      <c r="K2530" s="1498"/>
      <c r="L2530" s="49"/>
      <c r="M2530" s="1498"/>
      <c r="N2530" s="49"/>
      <c r="O2530" s="644"/>
      <c r="P2530" s="644"/>
      <c r="Q2530" s="644"/>
      <c r="R2530" s="644"/>
      <c r="S2530" s="48"/>
      <c r="T2530" s="1196"/>
      <c r="U2530" s="48"/>
      <c r="V2530" s="48"/>
    </row>
    <row r="2531" spans="7:22">
      <c r="G2531" s="48"/>
      <c r="H2531" s="48"/>
      <c r="I2531" s="48"/>
      <c r="J2531" s="49"/>
      <c r="K2531" s="49"/>
      <c r="L2531" s="49"/>
      <c r="M2531" s="1498"/>
      <c r="N2531" s="49"/>
      <c r="O2531" s="644"/>
      <c r="P2531" s="644"/>
      <c r="Q2531" s="644"/>
      <c r="R2531" s="644"/>
      <c r="S2531" s="48"/>
      <c r="T2531" s="1196"/>
      <c r="U2531" s="48"/>
      <c r="V2531" s="48"/>
    </row>
    <row r="2532" spans="7:22">
      <c r="G2532" s="48"/>
      <c r="H2532" s="48"/>
      <c r="I2532" s="48"/>
      <c r="J2532" s="954">
        <f>SUM(J2520:J2528)</f>
        <v>0</v>
      </c>
      <c r="K2532" s="954"/>
      <c r="L2532" s="954">
        <f>SUM(L2520:L2531)</f>
        <v>2790000</v>
      </c>
      <c r="M2532" s="1498"/>
      <c r="N2532" s="954">
        <f>SUM(N2520:N2531)</f>
        <v>400000</v>
      </c>
      <c r="O2532" s="644"/>
      <c r="P2532" s="969">
        <f>SUM(P2520:P2526)</f>
        <v>9250000</v>
      </c>
      <c r="Q2532" s="969"/>
      <c r="R2532" s="969">
        <f>SUM(R2520:R2526)</f>
        <v>3455000</v>
      </c>
      <c r="S2532" s="48"/>
      <c r="T2532" s="1178">
        <f>SUM(T2520:T2531)</f>
        <v>2800</v>
      </c>
      <c r="U2532" s="48"/>
      <c r="V2532" s="878">
        <f>SUM(V2520:V2531)</f>
        <v>0</v>
      </c>
    </row>
    <row r="2533" spans="7:22">
      <c r="T2533" s="1195"/>
    </row>
    <row r="2534" spans="7:22">
      <c r="T2534" s="1195"/>
    </row>
    <row r="2535" spans="7:22">
      <c r="R2535" s="661"/>
      <c r="T2535" s="1195"/>
    </row>
    <row r="2536" spans="7:22">
      <c r="T2536" s="1195"/>
    </row>
    <row r="2537" spans="7:22">
      <c r="T2537" s="1195"/>
    </row>
    <row r="2538" spans="7:22">
      <c r="I2538" s="946"/>
      <c r="M2538" s="1533" t="s">
        <v>3699</v>
      </c>
      <c r="O2538" s="1535" t="s">
        <v>3741</v>
      </c>
      <c r="P2538" s="1512"/>
      <c r="S2538" s="906" t="s">
        <v>4049</v>
      </c>
      <c r="T2538" s="1107">
        <f>T2532-V2532</f>
        <v>2800</v>
      </c>
    </row>
    <row r="2539" spans="7:22">
      <c r="G2539" s="1574" t="s">
        <v>3530</v>
      </c>
      <c r="H2539" s="1574"/>
      <c r="I2539" s="1574"/>
      <c r="J2539" s="3">
        <f>J2532+L2532</f>
        <v>2790000</v>
      </c>
      <c r="K2539" s="1009"/>
      <c r="L2539" s="3"/>
      <c r="M2539" s="1533" t="s">
        <v>3664</v>
      </c>
      <c r="N2539" s="1527"/>
      <c r="O2539" s="1535" t="s">
        <v>4066</v>
      </c>
      <c r="P2539" s="1512">
        <f>P2532-R2532</f>
        <v>5795000</v>
      </c>
      <c r="T2539" s="1195"/>
    </row>
    <row r="2540" spans="7:22">
      <c r="G2540" s="1574" t="s">
        <v>3512</v>
      </c>
      <c r="H2540" s="1574"/>
      <c r="I2540" s="1574"/>
      <c r="J2540" s="3">
        <f>N2532-J2539</f>
        <v>-2390000</v>
      </c>
      <c r="K2540" s="1009"/>
      <c r="L2540" s="3"/>
      <c r="M2540" s="1528"/>
      <c r="O2540" s="1529"/>
      <c r="Q2540" s="661"/>
      <c r="T2540" s="1195"/>
    </row>
    <row r="2541" spans="7:22">
      <c r="G2541" s="1574" t="s">
        <v>3531</v>
      </c>
      <c r="H2541" s="1574"/>
      <c r="I2541" s="1574"/>
      <c r="J2541" s="3">
        <f>T2538</f>
        <v>2800</v>
      </c>
      <c r="Q2541" s="3"/>
      <c r="T2541" s="1195"/>
    </row>
    <row r="2542" spans="7:22">
      <c r="G2542" s="1564" t="s">
        <v>4067</v>
      </c>
      <c r="H2542" s="1564"/>
      <c r="I2542" s="1564"/>
      <c r="T2542" s="1195"/>
    </row>
    <row r="2549" spans="7:22">
      <c r="G2549" s="1008">
        <v>46006</v>
      </c>
      <c r="H2549" s="1169"/>
      <c r="I2549" s="1575" t="s">
        <v>3510</v>
      </c>
      <c r="J2549" s="1576"/>
      <c r="K2549" s="1575" t="s">
        <v>3509</v>
      </c>
      <c r="L2549" s="1576"/>
      <c r="M2549" s="1575" t="s">
        <v>3541</v>
      </c>
      <c r="N2549" s="1576"/>
      <c r="O2549" s="1577" t="s">
        <v>3598</v>
      </c>
      <c r="P2549" s="1578"/>
      <c r="Q2549" s="1579" t="s">
        <v>3599</v>
      </c>
      <c r="R2549" s="1580"/>
      <c r="S2549" s="1583" t="s">
        <v>3953</v>
      </c>
      <c r="T2549" s="1583"/>
      <c r="U2549" s="1583" t="s">
        <v>3954</v>
      </c>
      <c r="V2549" s="1583"/>
    </row>
    <row r="2550" spans="7:22">
      <c r="G2550" s="1097"/>
      <c r="H2550" s="1170"/>
      <c r="I2550" s="1197"/>
      <c r="J2550" s="49">
        <v>27600000</v>
      </c>
      <c r="K2550" s="1495" t="s">
        <v>3838</v>
      </c>
      <c r="L2550" s="49">
        <v>500000</v>
      </c>
      <c r="M2550" s="1495" t="s">
        <v>4302</v>
      </c>
      <c r="N2550" s="49">
        <v>3300000</v>
      </c>
      <c r="O2550" s="1383" t="s">
        <v>4301</v>
      </c>
      <c r="P2550" s="644">
        <v>500000</v>
      </c>
      <c r="Q2550" s="1199"/>
      <c r="R2550" s="644"/>
      <c r="S2550" s="1203" t="s">
        <v>3955</v>
      </c>
      <c r="T2550" s="1191">
        <f>1900+500</f>
        <v>2400</v>
      </c>
      <c r="U2550" s="1183"/>
      <c r="V2550" s="48"/>
    </row>
    <row r="2551" spans="7:22">
      <c r="G2551" s="1098"/>
      <c r="H2551" s="1172"/>
      <c r="I2551" s="1197"/>
      <c r="J2551" s="49"/>
      <c r="K2551" s="1495" t="s">
        <v>3857</v>
      </c>
      <c r="L2551" s="49">
        <v>6000000</v>
      </c>
      <c r="M2551" s="1495" t="s">
        <v>3897</v>
      </c>
      <c r="N2551" s="49">
        <v>539000000</v>
      </c>
      <c r="O2551" s="1383" t="s">
        <v>3723</v>
      </c>
      <c r="P2551" s="644">
        <v>4704000</v>
      </c>
      <c r="Q2551" s="1199"/>
      <c r="R2551" s="644"/>
      <c r="S2551" s="1203" t="s">
        <v>4308</v>
      </c>
      <c r="T2551" s="1191">
        <v>2800</v>
      </c>
      <c r="U2551" s="48"/>
      <c r="V2551" s="49"/>
    </row>
    <row r="2552" spans="7:22">
      <c r="G2552" s="48"/>
      <c r="H2552" s="48"/>
      <c r="I2552" s="1200"/>
      <c r="J2552" s="49"/>
      <c r="K2552" s="1495" t="s">
        <v>4304</v>
      </c>
      <c r="L2552" s="49">
        <v>2000000</v>
      </c>
      <c r="M2552" s="1493" t="s">
        <v>4303</v>
      </c>
      <c r="N2552" s="49">
        <v>1350000</v>
      </c>
      <c r="O2552" s="1180"/>
      <c r="P2552" s="644"/>
      <c r="Q2552" s="1192"/>
      <c r="R2552" s="644"/>
      <c r="S2552" s="1190"/>
      <c r="T2552" s="1191"/>
      <c r="U2552" s="1078"/>
      <c r="V2552" s="49"/>
    </row>
    <row r="2553" spans="7:22">
      <c r="G2553" s="48"/>
      <c r="H2553" s="48"/>
      <c r="I2553" s="1197"/>
      <c r="J2553" s="49"/>
      <c r="K2553" s="1495" t="s">
        <v>4305</v>
      </c>
      <c r="L2553" s="49">
        <v>3000000</v>
      </c>
      <c r="M2553" s="1493" t="s">
        <v>4305</v>
      </c>
      <c r="N2553" s="49">
        <v>250000</v>
      </c>
      <c r="O2553" s="644"/>
      <c r="P2553" s="644"/>
      <c r="Q2553" s="1192"/>
      <c r="R2553" s="644"/>
      <c r="S2553" s="48"/>
      <c r="T2553" s="1196"/>
      <c r="U2553" s="48"/>
      <c r="V2553" s="49"/>
    </row>
    <row r="2554" spans="7:22">
      <c r="G2554" s="48"/>
      <c r="H2554" s="48"/>
      <c r="I2554" s="1200"/>
      <c r="J2554" s="49"/>
      <c r="K2554" s="1495" t="s">
        <v>4306</v>
      </c>
      <c r="L2554" s="49">
        <v>150000</v>
      </c>
      <c r="M2554" s="1493" t="s">
        <v>4307</v>
      </c>
      <c r="N2554" s="49">
        <v>3300000</v>
      </c>
      <c r="O2554" s="644"/>
      <c r="P2554" s="644"/>
      <c r="Q2554" s="1186"/>
      <c r="R2554" s="644"/>
      <c r="S2554" s="48"/>
      <c r="T2554" s="1196"/>
      <c r="U2554" s="48"/>
      <c r="V2554" s="49"/>
    </row>
    <row r="2555" spans="7:22">
      <c r="G2555" s="48"/>
      <c r="H2555" s="48"/>
      <c r="I2555" s="1200"/>
      <c r="J2555" s="49"/>
      <c r="K2555" s="1495"/>
      <c r="L2555" s="49"/>
      <c r="M2555" s="1495"/>
      <c r="N2555" s="49"/>
      <c r="O2555" s="644"/>
      <c r="P2555" s="644"/>
      <c r="Q2555" s="1176"/>
      <c r="R2555" s="644"/>
      <c r="S2555" s="48"/>
      <c r="T2555" s="1196"/>
      <c r="U2555" s="48"/>
      <c r="V2555" s="49"/>
    </row>
    <row r="2556" spans="7:22">
      <c r="G2556" s="48"/>
      <c r="H2556" s="48"/>
      <c r="I2556" s="1184"/>
      <c r="J2556" s="49"/>
      <c r="K2556" s="1495"/>
      <c r="L2556" s="49"/>
      <c r="M2556" s="1498"/>
      <c r="N2556" s="49"/>
      <c r="O2556" s="644"/>
      <c r="P2556" s="644"/>
      <c r="Q2556" s="1176"/>
      <c r="R2556" s="644"/>
      <c r="S2556" s="48"/>
      <c r="T2556" s="1196"/>
      <c r="U2556" s="48"/>
      <c r="V2556" s="49"/>
    </row>
    <row r="2557" spans="7:22">
      <c r="G2557" s="48"/>
      <c r="H2557" s="48"/>
      <c r="I2557" s="1184"/>
      <c r="J2557" s="49"/>
      <c r="K2557" s="1532"/>
      <c r="L2557" s="49"/>
      <c r="M2557" s="1498"/>
      <c r="N2557" s="49"/>
      <c r="O2557" s="644"/>
      <c r="P2557" s="644"/>
      <c r="Q2557" s="644"/>
      <c r="R2557" s="644"/>
      <c r="S2557" s="48"/>
      <c r="T2557" s="1196"/>
      <c r="U2557" s="48"/>
      <c r="V2557" s="49"/>
    </row>
    <row r="2558" spans="7:22">
      <c r="G2558" s="48"/>
      <c r="H2558" s="48"/>
      <c r="I2558" s="48"/>
      <c r="J2558" s="49"/>
      <c r="K2558" s="1495"/>
      <c r="L2558" s="49"/>
      <c r="M2558" s="1498"/>
      <c r="N2558" s="49"/>
      <c r="O2558" s="644"/>
      <c r="P2558" s="644"/>
      <c r="Q2558" s="644"/>
      <c r="R2558" s="644"/>
      <c r="S2558" s="48"/>
      <c r="T2558" s="1196"/>
      <c r="U2558" s="48"/>
      <c r="V2558" s="49"/>
    </row>
    <row r="2559" spans="7:22">
      <c r="G2559" s="48"/>
      <c r="H2559" s="48"/>
      <c r="I2559" s="48"/>
      <c r="J2559" s="49"/>
      <c r="K2559" s="1495"/>
      <c r="L2559" s="49"/>
      <c r="M2559" s="1498"/>
      <c r="N2559" s="49"/>
      <c r="O2559" s="644"/>
      <c r="P2559" s="644"/>
      <c r="Q2559" s="644"/>
      <c r="R2559" s="644"/>
      <c r="S2559" s="48"/>
      <c r="T2559" s="1196"/>
      <c r="U2559" s="48"/>
      <c r="V2559" s="49"/>
    </row>
    <row r="2560" spans="7:22">
      <c r="G2560" s="48"/>
      <c r="H2560" s="48"/>
      <c r="I2560" s="48"/>
      <c r="J2560" s="49"/>
      <c r="K2560" s="1498"/>
      <c r="L2560" s="49"/>
      <c r="M2560" s="1498"/>
      <c r="N2560" s="49"/>
      <c r="O2560" s="644"/>
      <c r="P2560" s="644"/>
      <c r="Q2560" s="644"/>
      <c r="R2560" s="644"/>
      <c r="S2560" s="48"/>
      <c r="T2560" s="1196"/>
      <c r="U2560" s="48"/>
      <c r="V2560" s="48"/>
    </row>
    <row r="2561" spans="7:22">
      <c r="G2561" s="48"/>
      <c r="H2561" s="48"/>
      <c r="I2561" s="48"/>
      <c r="J2561" s="49"/>
      <c r="K2561" s="49"/>
      <c r="L2561" s="49"/>
      <c r="M2561" s="1498"/>
      <c r="N2561" s="49"/>
      <c r="O2561" s="644"/>
      <c r="P2561" s="644"/>
      <c r="Q2561" s="644"/>
      <c r="R2561" s="644"/>
      <c r="S2561" s="48"/>
      <c r="T2561" s="1196"/>
      <c r="U2561" s="48"/>
      <c r="V2561" s="48"/>
    </row>
    <row r="2562" spans="7:22">
      <c r="G2562" s="48"/>
      <c r="H2562" s="48"/>
      <c r="I2562" s="48"/>
      <c r="J2562" s="954">
        <f>SUM(J2550:J2558)</f>
        <v>27600000</v>
      </c>
      <c r="K2562" s="954"/>
      <c r="L2562" s="954">
        <f>SUM(L2550:L2561)</f>
        <v>11650000</v>
      </c>
      <c r="M2562" s="1498"/>
      <c r="N2562" s="954">
        <f>SUM(N2550:N2561)</f>
        <v>547200000</v>
      </c>
      <c r="O2562" s="644"/>
      <c r="P2562" s="969">
        <f>SUM(P2550:P2556)</f>
        <v>5204000</v>
      </c>
      <c r="Q2562" s="969"/>
      <c r="R2562" s="969">
        <f>SUM(R2550:R2556)</f>
        <v>0</v>
      </c>
      <c r="S2562" s="48"/>
      <c r="T2562" s="1178">
        <f>SUM(T2550:T2561)</f>
        <v>5200</v>
      </c>
      <c r="U2562" s="48"/>
      <c r="V2562" s="878">
        <f>SUM(V2550:V2561)</f>
        <v>0</v>
      </c>
    </row>
    <row r="2563" spans="7:22">
      <c r="T2563" s="1195"/>
    </row>
    <row r="2564" spans="7:22">
      <c r="T2564" s="1195"/>
    </row>
    <row r="2565" spans="7:22">
      <c r="R2565" s="661"/>
      <c r="T2565" s="1195"/>
    </row>
    <row r="2566" spans="7:22">
      <c r="T2566" s="1195"/>
    </row>
    <row r="2567" spans="7:22">
      <c r="T2567" s="1195"/>
    </row>
    <row r="2568" spans="7:22">
      <c r="I2568" s="946"/>
      <c r="M2568" s="1533" t="s">
        <v>3699</v>
      </c>
      <c r="O2568" s="1535" t="s">
        <v>3741</v>
      </c>
      <c r="P2568" s="1512"/>
      <c r="S2568" s="906" t="s">
        <v>4049</v>
      </c>
      <c r="T2568" s="1107">
        <f>T2562-V2562</f>
        <v>5200</v>
      </c>
    </row>
    <row r="2569" spans="7:22">
      <c r="G2569" s="1574" t="s">
        <v>3530</v>
      </c>
      <c r="H2569" s="1574"/>
      <c r="I2569" s="1574"/>
      <c r="J2569" s="3">
        <f>J2562+L2562</f>
        <v>39250000</v>
      </c>
      <c r="K2569" s="1009"/>
      <c r="L2569" s="3"/>
      <c r="M2569" s="1533" t="s">
        <v>3664</v>
      </c>
      <c r="N2569" s="1527"/>
      <c r="O2569" s="1535" t="s">
        <v>4066</v>
      </c>
      <c r="P2569" s="1512">
        <f>P2562-R2562</f>
        <v>5204000</v>
      </c>
      <c r="T2569" s="1195"/>
    </row>
    <row r="2570" spans="7:22">
      <c r="G2570" s="1574" t="s">
        <v>3512</v>
      </c>
      <c r="H2570" s="1574"/>
      <c r="I2570" s="1574"/>
      <c r="J2570" s="3">
        <f>N2562-J2569</f>
        <v>507950000</v>
      </c>
      <c r="K2570" s="1009"/>
      <c r="L2570" s="3"/>
      <c r="M2570" s="1528"/>
      <c r="O2570" s="1529"/>
      <c r="Q2570" s="661"/>
      <c r="T2570" s="1195"/>
    </row>
    <row r="2571" spans="7:22">
      <c r="G2571" s="1574" t="s">
        <v>3531</v>
      </c>
      <c r="H2571" s="1574"/>
      <c r="I2571" s="1574"/>
      <c r="J2571" s="3">
        <f>T2568</f>
        <v>5200</v>
      </c>
      <c r="Q2571" s="3"/>
      <c r="T2571" s="1195"/>
    </row>
    <row r="2572" spans="7:22">
      <c r="G2572" s="1564" t="s">
        <v>4067</v>
      </c>
      <c r="H2572" s="1564"/>
      <c r="I2572" s="1564"/>
      <c r="T2572" s="1195"/>
    </row>
    <row r="2573" spans="7:22">
      <c r="I2573" s="1205" t="s">
        <v>3404</v>
      </c>
      <c r="J2573" s="3">
        <v>206000000</v>
      </c>
    </row>
    <row r="2578" spans="7:22">
      <c r="G2578" s="1008">
        <v>46007</v>
      </c>
      <c r="H2578" s="1169"/>
      <c r="I2578" s="1575" t="s">
        <v>3510</v>
      </c>
      <c r="J2578" s="1576"/>
      <c r="K2578" s="1575" t="s">
        <v>3509</v>
      </c>
      <c r="L2578" s="1576"/>
      <c r="M2578" s="1575" t="s">
        <v>3541</v>
      </c>
      <c r="N2578" s="1576"/>
      <c r="O2578" s="1577" t="s">
        <v>3598</v>
      </c>
      <c r="P2578" s="1578"/>
      <c r="Q2578" s="1579" t="s">
        <v>3599</v>
      </c>
      <c r="R2578" s="1580"/>
      <c r="S2578" s="1583" t="s">
        <v>3953</v>
      </c>
      <c r="T2578" s="1583"/>
      <c r="U2578" s="1583" t="s">
        <v>3954</v>
      </c>
      <c r="V2578" s="1583"/>
    </row>
    <row r="2579" spans="7:22">
      <c r="G2579" s="1097"/>
      <c r="H2579" s="1170"/>
      <c r="I2579" s="1212" t="s">
        <v>4313</v>
      </c>
      <c r="J2579" s="49">
        <v>3000000</v>
      </c>
      <c r="K2579" s="1495" t="s">
        <v>4311</v>
      </c>
      <c r="L2579" s="49">
        <v>1200000</v>
      </c>
      <c r="M2579" s="1495" t="s">
        <v>3955</v>
      </c>
      <c r="N2579" s="49">
        <v>206000000</v>
      </c>
      <c r="O2579" s="1383"/>
      <c r="P2579" s="644">
        <v>5204000</v>
      </c>
      <c r="Q2579" s="1211" t="s">
        <v>4310</v>
      </c>
      <c r="R2579" s="644">
        <v>197000</v>
      </c>
      <c r="S2579" s="1213" t="s">
        <v>4312</v>
      </c>
      <c r="T2579" s="1191">
        <v>100</v>
      </c>
      <c r="U2579" s="1183"/>
      <c r="V2579" s="48"/>
    </row>
    <row r="2580" spans="7:22">
      <c r="G2580" s="1098"/>
      <c r="H2580" s="1172"/>
      <c r="I2580" s="1197"/>
      <c r="J2580" s="49"/>
      <c r="K2580" s="1495" t="s">
        <v>3532</v>
      </c>
      <c r="L2580" s="49">
        <v>15000000</v>
      </c>
      <c r="M2580" s="1495"/>
      <c r="N2580" s="49">
        <v>500000</v>
      </c>
      <c r="O2580" s="1383"/>
      <c r="P2580" s="644"/>
      <c r="Q2580" s="1211" t="s">
        <v>4314</v>
      </c>
      <c r="R2580" s="644">
        <v>85000</v>
      </c>
      <c r="S2580" s="1203"/>
      <c r="T2580" s="1191">
        <v>5200</v>
      </c>
      <c r="U2580" s="48"/>
      <c r="V2580" s="49"/>
    </row>
    <row r="2581" spans="7:22">
      <c r="G2581" s="48"/>
      <c r="H2581" s="48"/>
      <c r="I2581" s="1200"/>
      <c r="J2581" s="49"/>
      <c r="K2581" s="1495" t="s">
        <v>3594</v>
      </c>
      <c r="L2581" s="49">
        <v>500000</v>
      </c>
      <c r="M2581" s="1493" t="s">
        <v>4316</v>
      </c>
      <c r="N2581" s="49">
        <v>2460000</v>
      </c>
      <c r="O2581" s="1180"/>
      <c r="P2581" s="644"/>
      <c r="Q2581" s="1211" t="s">
        <v>4316</v>
      </c>
      <c r="R2581" s="644">
        <v>2460000</v>
      </c>
      <c r="S2581" s="1215" t="s">
        <v>4317</v>
      </c>
      <c r="T2581" s="1191">
        <v>800</v>
      </c>
      <c r="U2581" s="1078"/>
      <c r="V2581" s="49"/>
    </row>
    <row r="2582" spans="7:22">
      <c r="G2582" s="48"/>
      <c r="H2582" s="48"/>
      <c r="I2582" s="1197"/>
      <c r="J2582" s="49"/>
      <c r="K2582" s="1495" t="s">
        <v>3363</v>
      </c>
      <c r="L2582" s="49">
        <v>1000000</v>
      </c>
      <c r="M2582" s="1493" t="s">
        <v>4317</v>
      </c>
      <c r="N2582" s="49">
        <v>400000</v>
      </c>
      <c r="O2582" s="644"/>
      <c r="P2582" s="644"/>
      <c r="Q2582" s="1192"/>
      <c r="R2582" s="644"/>
      <c r="S2582" s="48"/>
      <c r="T2582" s="1207"/>
      <c r="U2582" s="48"/>
      <c r="V2582" s="49"/>
    </row>
    <row r="2583" spans="7:22">
      <c r="G2583" s="48"/>
      <c r="H2583" s="48"/>
      <c r="I2583" s="1200"/>
      <c r="J2583" s="49"/>
      <c r="K2583" s="1495"/>
      <c r="L2583" s="49"/>
      <c r="M2583" s="1493"/>
      <c r="N2583" s="49"/>
      <c r="O2583" s="644"/>
      <c r="P2583" s="644"/>
      <c r="Q2583" s="1186"/>
      <c r="R2583" s="644"/>
      <c r="S2583" s="48"/>
      <c r="T2583" s="1207"/>
      <c r="U2583" s="48"/>
      <c r="V2583" s="49"/>
    </row>
    <row r="2584" spans="7:22">
      <c r="G2584" s="48"/>
      <c r="H2584" s="48"/>
      <c r="I2584" s="1200"/>
      <c r="J2584" s="49"/>
      <c r="K2584" s="1495"/>
      <c r="L2584" s="49"/>
      <c r="M2584" s="1495"/>
      <c r="N2584" s="49"/>
      <c r="O2584" s="644"/>
      <c r="P2584" s="644"/>
      <c r="Q2584" s="1176"/>
      <c r="R2584" s="644"/>
      <c r="S2584" s="48"/>
      <c r="T2584" s="1207"/>
      <c r="U2584" s="48"/>
      <c r="V2584" s="49"/>
    </row>
    <row r="2585" spans="7:22">
      <c r="G2585" s="48"/>
      <c r="H2585" s="48"/>
      <c r="I2585" s="1184"/>
      <c r="J2585" s="49"/>
      <c r="K2585" s="1495"/>
      <c r="L2585" s="49"/>
      <c r="M2585" s="1498"/>
      <c r="N2585" s="49"/>
      <c r="O2585" s="644"/>
      <c r="P2585" s="644"/>
      <c r="Q2585" s="1176"/>
      <c r="R2585" s="644"/>
      <c r="S2585" s="48"/>
      <c r="T2585" s="1207"/>
      <c r="U2585" s="48"/>
      <c r="V2585" s="49"/>
    </row>
    <row r="2586" spans="7:22">
      <c r="G2586" s="48"/>
      <c r="H2586" s="48"/>
      <c r="I2586" s="1184"/>
      <c r="J2586" s="49"/>
      <c r="K2586" s="1532"/>
      <c r="L2586" s="49"/>
      <c r="M2586" s="1498"/>
      <c r="N2586" s="49"/>
      <c r="O2586" s="644"/>
      <c r="P2586" s="644"/>
      <c r="Q2586" s="644"/>
      <c r="R2586" s="644"/>
      <c r="S2586" s="48"/>
      <c r="T2586" s="1207"/>
      <c r="U2586" s="48"/>
      <c r="V2586" s="49"/>
    </row>
    <row r="2587" spans="7:22">
      <c r="G2587" s="48"/>
      <c r="H2587" s="48"/>
      <c r="I2587" s="48"/>
      <c r="J2587" s="49"/>
      <c r="K2587" s="1495"/>
      <c r="L2587" s="49"/>
      <c r="M2587" s="1498"/>
      <c r="N2587" s="49"/>
      <c r="O2587" s="644"/>
      <c r="P2587" s="644"/>
      <c r="Q2587" s="644"/>
      <c r="R2587" s="644"/>
      <c r="S2587" s="48"/>
      <c r="T2587" s="1207"/>
      <c r="U2587" s="48"/>
      <c r="V2587" s="49"/>
    </row>
    <row r="2588" spans="7:22">
      <c r="G2588" s="48"/>
      <c r="H2588" s="48"/>
      <c r="I2588" s="48"/>
      <c r="J2588" s="49"/>
      <c r="K2588" s="1495"/>
      <c r="L2588" s="49"/>
      <c r="M2588" s="1498"/>
      <c r="N2588" s="49"/>
      <c r="O2588" s="644"/>
      <c r="P2588" s="644"/>
      <c r="Q2588" s="644"/>
      <c r="R2588" s="644"/>
      <c r="S2588" s="48"/>
      <c r="T2588" s="1207"/>
      <c r="U2588" s="48"/>
      <c r="V2588" s="49"/>
    </row>
    <row r="2589" spans="7:22">
      <c r="G2589" s="48"/>
      <c r="H2589" s="48"/>
      <c r="I2589" s="48"/>
      <c r="J2589" s="49"/>
      <c r="K2589" s="1498"/>
      <c r="L2589" s="49"/>
      <c r="M2589" s="1498"/>
      <c r="N2589" s="49"/>
      <c r="O2589" s="644"/>
      <c r="P2589" s="644"/>
      <c r="Q2589" s="644"/>
      <c r="R2589" s="644"/>
      <c r="S2589" s="48"/>
      <c r="T2589" s="1207"/>
      <c r="U2589" s="48"/>
      <c r="V2589" s="48"/>
    </row>
    <row r="2590" spans="7:22">
      <c r="G2590" s="48"/>
      <c r="H2590" s="48"/>
      <c r="I2590" s="48"/>
      <c r="J2590" s="49"/>
      <c r="K2590" s="49"/>
      <c r="L2590" s="49"/>
      <c r="M2590" s="1498"/>
      <c r="N2590" s="49"/>
      <c r="O2590" s="644"/>
      <c r="P2590" s="644"/>
      <c r="Q2590" s="644"/>
      <c r="R2590" s="644"/>
      <c r="S2590" s="48"/>
      <c r="T2590" s="1207"/>
      <c r="U2590" s="48"/>
      <c r="V2590" s="48"/>
    </row>
    <row r="2591" spans="7:22">
      <c r="G2591" s="48"/>
      <c r="H2591" s="48"/>
      <c r="I2591" s="48"/>
      <c r="J2591" s="954">
        <f>SUM(J2579:J2587)</f>
        <v>3000000</v>
      </c>
      <c r="K2591" s="954"/>
      <c r="L2591" s="954">
        <f>SUM(L2579:L2590)</f>
        <v>17700000</v>
      </c>
      <c r="M2591" s="1498"/>
      <c r="N2591" s="954">
        <f>SUM(N2579:N2590)</f>
        <v>209360000</v>
      </c>
      <c r="O2591" s="644"/>
      <c r="P2591" s="969">
        <f>SUM(P2579:P2585)</f>
        <v>5204000</v>
      </c>
      <c r="Q2591" s="969"/>
      <c r="R2591" s="969">
        <f>SUM(R2579:R2585)</f>
        <v>2742000</v>
      </c>
      <c r="S2591" s="48"/>
      <c r="T2591" s="1178">
        <f>SUM(T2579:T2590)</f>
        <v>6100</v>
      </c>
      <c r="U2591" s="48"/>
      <c r="V2591" s="878">
        <f>SUM(V2579:V2590)</f>
        <v>0</v>
      </c>
    </row>
    <row r="2592" spans="7:22">
      <c r="T2592" s="1206"/>
    </row>
    <row r="2593" spans="7:20">
      <c r="T2593" s="1206"/>
    </row>
    <row r="2594" spans="7:20">
      <c r="R2594" s="661"/>
      <c r="T2594" s="1206"/>
    </row>
    <row r="2595" spans="7:20">
      <c r="T2595" s="1206"/>
    </row>
    <row r="2596" spans="7:20">
      <c r="T2596" s="1206"/>
    </row>
    <row r="2597" spans="7:20">
      <c r="I2597" s="946"/>
      <c r="M2597" s="1533" t="s">
        <v>3699</v>
      </c>
      <c r="O2597" s="1535" t="s">
        <v>3741</v>
      </c>
      <c r="P2597" s="1512"/>
      <c r="S2597" s="906" t="s">
        <v>4049</v>
      </c>
      <c r="T2597" s="1107">
        <f>T2591-V2591</f>
        <v>6100</v>
      </c>
    </row>
    <row r="2598" spans="7:20">
      <c r="G2598" s="1574" t="s">
        <v>3530</v>
      </c>
      <c r="H2598" s="1574"/>
      <c r="I2598" s="1574"/>
      <c r="J2598" s="3">
        <f>J2591+L2591</f>
        <v>20700000</v>
      </c>
      <c r="K2598" s="1009"/>
      <c r="L2598" s="3"/>
      <c r="M2598" s="1533" t="s">
        <v>3664</v>
      </c>
      <c r="N2598" s="1527"/>
      <c r="O2598" s="1535" t="s">
        <v>4066</v>
      </c>
      <c r="P2598" s="1512">
        <f>P2591-R2591</f>
        <v>2462000</v>
      </c>
      <c r="T2598" s="1206"/>
    </row>
    <row r="2599" spans="7:20">
      <c r="G2599" s="1574" t="s">
        <v>3512</v>
      </c>
      <c r="H2599" s="1574"/>
      <c r="I2599" s="1574"/>
      <c r="J2599" s="3">
        <f>N2591-J2598</f>
        <v>188660000</v>
      </c>
      <c r="K2599" s="1009"/>
      <c r="L2599" s="3"/>
      <c r="M2599" s="1528"/>
      <c r="O2599" s="1529"/>
      <c r="Q2599" s="661"/>
      <c r="T2599" s="1206"/>
    </row>
    <row r="2600" spans="7:20">
      <c r="G2600" s="1574" t="s">
        <v>3531</v>
      </c>
      <c r="H2600" s="1574"/>
      <c r="I2600" s="1574"/>
      <c r="J2600" s="3">
        <f>T2597</f>
        <v>6100</v>
      </c>
      <c r="Q2600" s="3"/>
      <c r="T2600" s="1206"/>
    </row>
    <row r="2601" spans="7:20">
      <c r="G2601" s="1564" t="s">
        <v>4067</v>
      </c>
      <c r="H2601" s="1564"/>
      <c r="I2601" s="1564"/>
      <c r="T2601" s="1206"/>
    </row>
    <row r="2609" spans="7:22">
      <c r="G2609" s="1008">
        <v>46008</v>
      </c>
      <c r="H2609" s="1169"/>
      <c r="I2609" s="1575" t="s">
        <v>3510</v>
      </c>
      <c r="J2609" s="1576"/>
      <c r="K2609" s="1575" t="s">
        <v>3509</v>
      </c>
      <c r="L2609" s="1576"/>
      <c r="M2609" s="1575" t="s">
        <v>3541</v>
      </c>
      <c r="N2609" s="1576"/>
      <c r="O2609" s="1577" t="s">
        <v>3598</v>
      </c>
      <c r="P2609" s="1578"/>
      <c r="Q2609" s="1579" t="s">
        <v>3599</v>
      </c>
      <c r="R2609" s="1580"/>
      <c r="S2609" s="1583" t="s">
        <v>3953</v>
      </c>
      <c r="T2609" s="1583"/>
      <c r="U2609" s="1583" t="s">
        <v>3954</v>
      </c>
      <c r="V2609" s="1583"/>
    </row>
    <row r="2610" spans="7:22">
      <c r="G2610" s="1097"/>
      <c r="H2610" s="1170"/>
      <c r="I2610" s="1212"/>
      <c r="J2610" s="49"/>
      <c r="K2610" s="1495" t="s">
        <v>3363</v>
      </c>
      <c r="L2610" s="49">
        <v>100000</v>
      </c>
      <c r="M2610" s="1495" t="s">
        <v>3512</v>
      </c>
      <c r="N2610" s="49">
        <v>185000000</v>
      </c>
      <c r="O2610" s="1383" t="s">
        <v>3512</v>
      </c>
      <c r="P2610" s="644">
        <v>2462000</v>
      </c>
      <c r="Q2610" s="1211" t="s">
        <v>3164</v>
      </c>
      <c r="R2610" s="644">
        <v>16000</v>
      </c>
      <c r="S2610" s="1213"/>
      <c r="T2610" s="1191"/>
      <c r="U2610" s="1183"/>
      <c r="V2610" s="48"/>
    </row>
    <row r="2611" spans="7:22">
      <c r="G2611" s="1098"/>
      <c r="H2611" s="1172"/>
      <c r="I2611" s="1197"/>
      <c r="J2611" s="49"/>
      <c r="K2611" s="1495" t="s">
        <v>4318</v>
      </c>
      <c r="L2611" s="49">
        <v>3800000</v>
      </c>
      <c r="M2611" s="1495"/>
      <c r="N2611" s="49">
        <v>1900000</v>
      </c>
      <c r="O2611" s="1383" t="s">
        <v>4320</v>
      </c>
      <c r="P2611" s="644">
        <v>1500000</v>
      </c>
      <c r="Q2611" s="1211"/>
      <c r="R2611" s="644">
        <v>3000000</v>
      </c>
      <c r="S2611" s="1203"/>
      <c r="T2611" s="1191"/>
      <c r="U2611" s="48"/>
      <c r="V2611" s="49"/>
    </row>
    <row r="2612" spans="7:22">
      <c r="G2612" s="48"/>
      <c r="H2612" s="48"/>
      <c r="I2612" s="1200"/>
      <c r="J2612" s="49"/>
      <c r="K2612" s="1495"/>
      <c r="L2612" s="49"/>
      <c r="M2612" s="1493" t="s">
        <v>4319</v>
      </c>
      <c r="N2612" s="49">
        <v>3000000</v>
      </c>
      <c r="O2612" s="1180"/>
      <c r="P2612" s="644"/>
      <c r="Q2612" s="1211"/>
      <c r="R2612" s="644"/>
      <c r="S2612" s="1215"/>
      <c r="T2612" s="1191"/>
      <c r="U2612" s="1078"/>
      <c r="V2612" s="49"/>
    </row>
    <row r="2613" spans="7:22">
      <c r="G2613" s="48"/>
      <c r="H2613" s="48"/>
      <c r="I2613" s="1197"/>
      <c r="J2613" s="49"/>
      <c r="K2613" s="1495"/>
      <c r="L2613" s="49"/>
      <c r="M2613" s="1493"/>
      <c r="N2613" s="49"/>
      <c r="O2613" s="644"/>
      <c r="P2613" s="644"/>
      <c r="Q2613" s="1192"/>
      <c r="R2613" s="644"/>
      <c r="S2613" s="48"/>
      <c r="T2613" s="1207"/>
      <c r="U2613" s="48"/>
      <c r="V2613" s="49"/>
    </row>
    <row r="2614" spans="7:22">
      <c r="G2614" s="48"/>
      <c r="H2614" s="48"/>
      <c r="I2614" s="1200"/>
      <c r="J2614" s="49"/>
      <c r="K2614" s="1495"/>
      <c r="L2614" s="49"/>
      <c r="M2614" s="1493"/>
      <c r="N2614" s="49"/>
      <c r="O2614" s="644"/>
      <c r="P2614" s="644"/>
      <c r="Q2614" s="1186"/>
      <c r="R2614" s="644"/>
      <c r="S2614" s="48"/>
      <c r="T2614" s="1207"/>
      <c r="U2614" s="48"/>
      <c r="V2614" s="49"/>
    </row>
    <row r="2615" spans="7:22">
      <c r="G2615" s="48"/>
      <c r="H2615" s="48"/>
      <c r="I2615" s="1200"/>
      <c r="J2615" s="49"/>
      <c r="K2615" s="1495"/>
      <c r="L2615" s="49"/>
      <c r="M2615" s="1495"/>
      <c r="N2615" s="49"/>
      <c r="O2615" s="644"/>
      <c r="P2615" s="644"/>
      <c r="Q2615" s="1176"/>
      <c r="R2615" s="644"/>
      <c r="S2615" s="48"/>
      <c r="T2615" s="1207"/>
      <c r="U2615" s="48"/>
      <c r="V2615" s="49"/>
    </row>
    <row r="2616" spans="7:22">
      <c r="G2616" s="48"/>
      <c r="H2616" s="48"/>
      <c r="I2616" s="1184"/>
      <c r="J2616" s="49"/>
      <c r="K2616" s="1495"/>
      <c r="L2616" s="49"/>
      <c r="M2616" s="1498"/>
      <c r="N2616" s="49"/>
      <c r="O2616" s="644"/>
      <c r="P2616" s="644"/>
      <c r="Q2616" s="1176"/>
      <c r="R2616" s="644"/>
      <c r="S2616" s="48"/>
      <c r="T2616" s="1207"/>
      <c r="U2616" s="48"/>
      <c r="V2616" s="49"/>
    </row>
    <row r="2617" spans="7:22">
      <c r="G2617" s="48"/>
      <c r="H2617" s="48"/>
      <c r="I2617" s="1184"/>
      <c r="J2617" s="49"/>
      <c r="K2617" s="1532"/>
      <c r="L2617" s="49"/>
      <c r="M2617" s="1498"/>
      <c r="N2617" s="49"/>
      <c r="O2617" s="644"/>
      <c r="P2617" s="644"/>
      <c r="Q2617" s="644"/>
      <c r="R2617" s="644"/>
      <c r="S2617" s="48"/>
      <c r="T2617" s="1207"/>
      <c r="U2617" s="48"/>
      <c r="V2617" s="49"/>
    </row>
    <row r="2618" spans="7:22">
      <c r="G2618" s="48"/>
      <c r="H2618" s="48"/>
      <c r="I2618" s="48"/>
      <c r="J2618" s="49"/>
      <c r="K2618" s="1495"/>
      <c r="L2618" s="49"/>
      <c r="M2618" s="1498"/>
      <c r="N2618" s="49"/>
      <c r="O2618" s="644"/>
      <c r="P2618" s="644"/>
      <c r="Q2618" s="644"/>
      <c r="R2618" s="644"/>
      <c r="S2618" s="48"/>
      <c r="T2618" s="1207"/>
      <c r="U2618" s="48"/>
      <c r="V2618" s="49"/>
    </row>
    <row r="2619" spans="7:22">
      <c r="G2619" s="48"/>
      <c r="H2619" s="48"/>
      <c r="I2619" s="48"/>
      <c r="J2619" s="49"/>
      <c r="K2619" s="1495"/>
      <c r="L2619" s="49"/>
      <c r="M2619" s="1498"/>
      <c r="N2619" s="49"/>
      <c r="O2619" s="644"/>
      <c r="P2619" s="644"/>
      <c r="Q2619" s="644"/>
      <c r="R2619" s="644"/>
      <c r="S2619" s="48"/>
      <c r="T2619" s="1207"/>
      <c r="U2619" s="48"/>
      <c r="V2619" s="49"/>
    </row>
    <row r="2620" spans="7:22">
      <c r="G2620" s="48"/>
      <c r="H2620" s="48"/>
      <c r="I2620" s="48"/>
      <c r="J2620" s="49"/>
      <c r="K2620" s="1498"/>
      <c r="L2620" s="49"/>
      <c r="M2620" s="1498"/>
      <c r="N2620" s="49"/>
      <c r="O2620" s="644"/>
      <c r="P2620" s="644"/>
      <c r="Q2620" s="644"/>
      <c r="R2620" s="644"/>
      <c r="S2620" s="48"/>
      <c r="T2620" s="1207"/>
      <c r="U2620" s="48"/>
      <c r="V2620" s="48"/>
    </row>
    <row r="2621" spans="7:22">
      <c r="G2621" s="48"/>
      <c r="H2621" s="48"/>
      <c r="I2621" s="48"/>
      <c r="J2621" s="49"/>
      <c r="K2621" s="49"/>
      <c r="L2621" s="49"/>
      <c r="M2621" s="1498"/>
      <c r="N2621" s="49"/>
      <c r="O2621" s="644"/>
      <c r="P2621" s="644"/>
      <c r="Q2621" s="644"/>
      <c r="R2621" s="644"/>
      <c r="S2621" s="48"/>
      <c r="T2621" s="1207"/>
      <c r="U2621" s="48"/>
      <c r="V2621" s="48"/>
    </row>
    <row r="2622" spans="7:22">
      <c r="G2622" s="48"/>
      <c r="H2622" s="48"/>
      <c r="I2622" s="48"/>
      <c r="J2622" s="954">
        <f>SUM(J2610:J2618)</f>
        <v>0</v>
      </c>
      <c r="K2622" s="954"/>
      <c r="L2622" s="954">
        <f>SUM(L2610:L2621)</f>
        <v>3900000</v>
      </c>
      <c r="M2622" s="1498"/>
      <c r="N2622" s="954">
        <f>SUM(N2610:N2621)</f>
        <v>189900000</v>
      </c>
      <c r="O2622" s="644"/>
      <c r="P2622" s="969">
        <f>SUM(P2610:P2616)</f>
        <v>3962000</v>
      </c>
      <c r="Q2622" s="969"/>
      <c r="R2622" s="969">
        <f>SUM(R2610:R2616)</f>
        <v>3016000</v>
      </c>
      <c r="S2622" s="48"/>
      <c r="T2622" s="1178">
        <f>SUM(T2610:T2621)</f>
        <v>0</v>
      </c>
      <c r="U2622" s="48"/>
      <c r="V2622" s="878">
        <f>SUM(V2610:V2621)</f>
        <v>0</v>
      </c>
    </row>
    <row r="2623" spans="7:22">
      <c r="T2623" s="1206"/>
    </row>
    <row r="2624" spans="7:22">
      <c r="T2624" s="1206"/>
    </row>
    <row r="2625" spans="7:20">
      <c r="R2625" s="661"/>
      <c r="T2625" s="1206"/>
    </row>
    <row r="2626" spans="7:20">
      <c r="T2626" s="1206"/>
    </row>
    <row r="2627" spans="7:20">
      <c r="T2627" s="1206"/>
    </row>
    <row r="2628" spans="7:20">
      <c r="I2628" s="946"/>
      <c r="M2628" s="1533" t="s">
        <v>3699</v>
      </c>
      <c r="O2628" s="1535" t="s">
        <v>3741</v>
      </c>
      <c r="P2628" s="1512">
        <f>P2622</f>
        <v>3962000</v>
      </c>
      <c r="S2628" s="906" t="s">
        <v>4049</v>
      </c>
      <c r="T2628" s="1107">
        <f>T2622-V2622</f>
        <v>0</v>
      </c>
    </row>
    <row r="2629" spans="7:20">
      <c r="G2629" s="1574" t="s">
        <v>3530</v>
      </c>
      <c r="H2629" s="1574"/>
      <c r="I2629" s="1574"/>
      <c r="J2629" s="3">
        <f>J2622+L2622</f>
        <v>3900000</v>
      </c>
      <c r="K2629" s="1009"/>
      <c r="L2629" s="3"/>
      <c r="M2629" s="1533" t="s">
        <v>3664</v>
      </c>
      <c r="N2629" s="1527"/>
      <c r="O2629" s="1535" t="s">
        <v>4066</v>
      </c>
      <c r="P2629" s="1512">
        <f>P2628-3000000</f>
        <v>962000</v>
      </c>
      <c r="T2629" s="1206"/>
    </row>
    <row r="2630" spans="7:20">
      <c r="G2630" s="1574" t="s">
        <v>3512</v>
      </c>
      <c r="H2630" s="1574"/>
      <c r="I2630" s="1574"/>
      <c r="J2630" s="3">
        <f>N2622-J2629</f>
        <v>186000000</v>
      </c>
      <c r="K2630" s="1009"/>
      <c r="L2630" s="3"/>
      <c r="M2630" s="1528"/>
      <c r="O2630" s="1529"/>
      <c r="Q2630" s="661"/>
      <c r="T2630" s="1206"/>
    </row>
    <row r="2631" spans="7:20">
      <c r="G2631" s="1574" t="s">
        <v>3531</v>
      </c>
      <c r="H2631" s="1574"/>
      <c r="I2631" s="1574"/>
      <c r="J2631" s="3">
        <f>T2628</f>
        <v>0</v>
      </c>
      <c r="Q2631" s="3"/>
      <c r="T2631" s="1206"/>
    </row>
    <row r="2632" spans="7:20">
      <c r="G2632" s="1564" t="s">
        <v>4067</v>
      </c>
      <c r="H2632" s="1564"/>
      <c r="I2632" s="1564"/>
      <c r="T2632" s="1206"/>
    </row>
    <row r="2641" spans="7:22">
      <c r="G2641" s="1008">
        <v>46009</v>
      </c>
      <c r="H2641" s="1169"/>
      <c r="I2641" s="1575" t="s">
        <v>3510</v>
      </c>
      <c r="J2641" s="1576"/>
      <c r="K2641" s="1575" t="s">
        <v>3509</v>
      </c>
      <c r="L2641" s="1576"/>
      <c r="M2641" s="1575" t="s">
        <v>3541</v>
      </c>
      <c r="N2641" s="1576"/>
      <c r="O2641" s="1577" t="s">
        <v>3598</v>
      </c>
      <c r="P2641" s="1578"/>
      <c r="Q2641" s="1579" t="s">
        <v>3599</v>
      </c>
      <c r="R2641" s="1580"/>
      <c r="S2641" s="1583" t="s">
        <v>3953</v>
      </c>
      <c r="T2641" s="1583"/>
      <c r="U2641" s="1583" t="s">
        <v>3954</v>
      </c>
      <c r="V2641" s="1583"/>
    </row>
    <row r="2642" spans="7:22">
      <c r="G2642" s="1097"/>
      <c r="H2642" s="1170"/>
      <c r="I2642" s="1222" t="s">
        <v>4322</v>
      </c>
      <c r="J2642" s="49">
        <v>285000000</v>
      </c>
      <c r="K2642" s="1495" t="s">
        <v>4326</v>
      </c>
      <c r="L2642" s="49">
        <v>6000000</v>
      </c>
      <c r="M2642" s="1495" t="s">
        <v>3512</v>
      </c>
      <c r="N2642" s="49">
        <v>333000000</v>
      </c>
      <c r="O2642" s="1383" t="s">
        <v>3587</v>
      </c>
      <c r="P2642" s="644">
        <v>962000</v>
      </c>
      <c r="Q2642" s="1218" t="s">
        <v>4051</v>
      </c>
      <c r="R2642" s="644">
        <v>3000000</v>
      </c>
      <c r="S2642" s="1223" t="s">
        <v>4324</v>
      </c>
      <c r="T2642" s="1191">
        <v>200</v>
      </c>
      <c r="U2642" s="1183"/>
      <c r="V2642" s="48"/>
    </row>
    <row r="2643" spans="7:22">
      <c r="G2643" s="1098"/>
      <c r="H2643" s="1172"/>
      <c r="I2643" s="1222" t="s">
        <v>4323</v>
      </c>
      <c r="J2643" s="49">
        <v>20800000</v>
      </c>
      <c r="K2643" s="1495"/>
      <c r="L2643" s="49"/>
      <c r="M2643" s="1495"/>
      <c r="N2643" s="49"/>
      <c r="O2643" s="1383" t="s">
        <v>4325</v>
      </c>
      <c r="P2643" s="644">
        <v>6000000</v>
      </c>
      <c r="Q2643" s="1221" t="s">
        <v>3363</v>
      </c>
      <c r="R2643" s="644">
        <v>100000</v>
      </c>
      <c r="S2643" s="1203"/>
      <c r="T2643" s="1191"/>
      <c r="U2643" s="48"/>
      <c r="V2643" s="49"/>
    </row>
    <row r="2644" spans="7:22">
      <c r="G2644" s="48"/>
      <c r="H2644" s="48"/>
      <c r="I2644" s="1200"/>
      <c r="J2644" s="49"/>
      <c r="K2644" s="1495"/>
      <c r="L2644" s="49"/>
      <c r="M2644" s="1493"/>
      <c r="N2644" s="49"/>
      <c r="O2644" s="1383"/>
      <c r="P2644" s="644"/>
      <c r="Q2644" s="1221" t="s">
        <v>4325</v>
      </c>
      <c r="R2644" s="644">
        <v>6000000</v>
      </c>
      <c r="S2644" s="1215"/>
      <c r="T2644" s="1191"/>
      <c r="U2644" s="1078"/>
      <c r="V2644" s="49"/>
    </row>
    <row r="2645" spans="7:22">
      <c r="G2645" s="48"/>
      <c r="H2645" s="48"/>
      <c r="I2645" s="1197"/>
      <c r="J2645" s="49"/>
      <c r="K2645" s="1495"/>
      <c r="L2645" s="49"/>
      <c r="M2645" s="1493"/>
      <c r="N2645" s="49"/>
      <c r="O2645" s="644"/>
      <c r="P2645" s="644"/>
      <c r="Q2645" s="1192"/>
      <c r="R2645" s="644"/>
      <c r="S2645" s="48"/>
      <c r="T2645" s="1209"/>
      <c r="U2645" s="48"/>
      <c r="V2645" s="49"/>
    </row>
    <row r="2646" spans="7:22">
      <c r="G2646" s="48"/>
      <c r="H2646" s="48"/>
      <c r="I2646" s="1200"/>
      <c r="J2646" s="49"/>
      <c r="K2646" s="1495"/>
      <c r="L2646" s="49"/>
      <c r="M2646" s="1493"/>
      <c r="N2646" s="49"/>
      <c r="O2646" s="644"/>
      <c r="P2646" s="644"/>
      <c r="Q2646" s="1186"/>
      <c r="R2646" s="644"/>
      <c r="S2646" s="48"/>
      <c r="T2646" s="1209"/>
      <c r="U2646" s="48"/>
      <c r="V2646" s="49"/>
    </row>
    <row r="2647" spans="7:22">
      <c r="G2647" s="48"/>
      <c r="H2647" s="48"/>
      <c r="I2647" s="1200"/>
      <c r="J2647" s="49"/>
      <c r="K2647" s="1495"/>
      <c r="L2647" s="49"/>
      <c r="M2647" s="1495"/>
      <c r="N2647" s="49"/>
      <c r="O2647" s="644"/>
      <c r="P2647" s="644"/>
      <c r="Q2647" s="1176"/>
      <c r="R2647" s="644"/>
      <c r="S2647" s="48"/>
      <c r="T2647" s="1209"/>
      <c r="U2647" s="48"/>
      <c r="V2647" s="49"/>
    </row>
    <row r="2648" spans="7:22">
      <c r="G2648" s="48"/>
      <c r="H2648" s="48"/>
      <c r="I2648" s="1184"/>
      <c r="J2648" s="49"/>
      <c r="K2648" s="1495"/>
      <c r="L2648" s="49"/>
      <c r="M2648" s="1498"/>
      <c r="N2648" s="49"/>
      <c r="O2648" s="644"/>
      <c r="P2648" s="644"/>
      <c r="Q2648" s="1176"/>
      <c r="R2648" s="644"/>
      <c r="S2648" s="48"/>
      <c r="T2648" s="1209"/>
      <c r="U2648" s="48"/>
      <c r="V2648" s="49"/>
    </row>
    <row r="2649" spans="7:22">
      <c r="G2649" s="48"/>
      <c r="H2649" s="48"/>
      <c r="I2649" s="1184"/>
      <c r="J2649" s="49"/>
      <c r="K2649" s="1532"/>
      <c r="L2649" s="49"/>
      <c r="M2649" s="1498"/>
      <c r="N2649" s="49"/>
      <c r="O2649" s="644"/>
      <c r="P2649" s="644"/>
      <c r="Q2649" s="644"/>
      <c r="R2649" s="644"/>
      <c r="S2649" s="48"/>
      <c r="T2649" s="1209"/>
      <c r="U2649" s="48"/>
      <c r="V2649" s="49"/>
    </row>
    <row r="2650" spans="7:22">
      <c r="G2650" s="48"/>
      <c r="H2650" s="48"/>
      <c r="I2650" s="48"/>
      <c r="J2650" s="49"/>
      <c r="K2650" s="1495"/>
      <c r="L2650" s="49"/>
      <c r="M2650" s="1498"/>
      <c r="N2650" s="49"/>
      <c r="O2650" s="644"/>
      <c r="P2650" s="644"/>
      <c r="Q2650" s="644"/>
      <c r="R2650" s="644"/>
      <c r="S2650" s="48"/>
      <c r="T2650" s="1209"/>
      <c r="U2650" s="48"/>
      <c r="V2650" s="49"/>
    </row>
    <row r="2651" spans="7:22">
      <c r="G2651" s="48"/>
      <c r="H2651" s="48"/>
      <c r="I2651" s="48"/>
      <c r="J2651" s="49"/>
      <c r="K2651" s="1495"/>
      <c r="L2651" s="49"/>
      <c r="M2651" s="1498"/>
      <c r="N2651" s="49"/>
      <c r="O2651" s="644"/>
      <c r="P2651" s="644"/>
      <c r="Q2651" s="644"/>
      <c r="R2651" s="644"/>
      <c r="S2651" s="48"/>
      <c r="T2651" s="1209"/>
      <c r="U2651" s="48"/>
      <c r="V2651" s="49"/>
    </row>
    <row r="2652" spans="7:22">
      <c r="G2652" s="48"/>
      <c r="H2652" s="48"/>
      <c r="I2652" s="48"/>
      <c r="J2652" s="49"/>
      <c r="K2652" s="1498"/>
      <c r="L2652" s="49"/>
      <c r="M2652" s="1498"/>
      <c r="N2652" s="49"/>
      <c r="O2652" s="644"/>
      <c r="P2652" s="644"/>
      <c r="Q2652" s="644"/>
      <c r="R2652" s="644"/>
      <c r="S2652" s="48"/>
      <c r="T2652" s="1209"/>
      <c r="U2652" s="48"/>
      <c r="V2652" s="48"/>
    </row>
    <row r="2653" spans="7:22">
      <c r="G2653" s="48"/>
      <c r="H2653" s="48"/>
      <c r="I2653" s="48"/>
      <c r="J2653" s="49"/>
      <c r="K2653" s="49"/>
      <c r="L2653" s="49"/>
      <c r="M2653" s="1498"/>
      <c r="N2653" s="49"/>
      <c r="O2653" s="644"/>
      <c r="P2653" s="644"/>
      <c r="Q2653" s="644"/>
      <c r="R2653" s="644"/>
      <c r="S2653" s="48"/>
      <c r="T2653" s="1209"/>
      <c r="U2653" s="48"/>
      <c r="V2653" s="48"/>
    </row>
    <row r="2654" spans="7:22">
      <c r="G2654" s="48"/>
      <c r="H2654" s="48"/>
      <c r="I2654" s="48"/>
      <c r="J2654" s="954">
        <f>SUM(J2642:J2650)</f>
        <v>305800000</v>
      </c>
      <c r="K2654" s="954"/>
      <c r="L2654" s="954">
        <f>SUM(L2642:L2653)</f>
        <v>6000000</v>
      </c>
      <c r="M2654" s="1498"/>
      <c r="N2654" s="954">
        <f>SUM(N2642:N2653)</f>
        <v>333000000</v>
      </c>
      <c r="O2654" s="644"/>
      <c r="P2654" s="969">
        <f>SUM(P2642:P2648)</f>
        <v>6962000</v>
      </c>
      <c r="Q2654" s="969"/>
      <c r="R2654" s="969">
        <f>SUM(R2642:R2648)</f>
        <v>9100000</v>
      </c>
      <c r="S2654" s="48"/>
      <c r="T2654" s="1178">
        <f>SUM(T2642:T2653)</f>
        <v>200</v>
      </c>
      <c r="U2654" s="48"/>
      <c r="V2654" s="878">
        <f>SUM(V2642:V2653)</f>
        <v>0</v>
      </c>
    </row>
    <row r="2655" spans="7:22">
      <c r="T2655" s="1208"/>
    </row>
    <row r="2656" spans="7:22">
      <c r="T2656" s="1208"/>
    </row>
    <row r="2657" spans="7:22">
      <c r="R2657" s="661"/>
      <c r="T2657" s="1208"/>
    </row>
    <row r="2658" spans="7:22">
      <c r="T2658" s="1208"/>
    </row>
    <row r="2659" spans="7:22">
      <c r="T2659" s="1208"/>
    </row>
    <row r="2660" spans="7:22">
      <c r="I2660" s="946"/>
      <c r="M2660" s="1533" t="s">
        <v>3699</v>
      </c>
      <c r="O2660" s="1535" t="s">
        <v>3741</v>
      </c>
      <c r="P2660" s="1512">
        <f>P2654</f>
        <v>6962000</v>
      </c>
      <c r="S2660" s="906" t="s">
        <v>4049</v>
      </c>
      <c r="T2660" s="1107">
        <f>T2654-V2654</f>
        <v>200</v>
      </c>
    </row>
    <row r="2661" spans="7:22">
      <c r="G2661" s="1574" t="s">
        <v>3530</v>
      </c>
      <c r="H2661" s="1574"/>
      <c r="I2661" s="1574"/>
      <c r="J2661" s="3">
        <f>J2654+L2654</f>
        <v>311800000</v>
      </c>
      <c r="K2661" s="1009"/>
      <c r="L2661" s="3"/>
      <c r="M2661" s="1533" t="s">
        <v>3664</v>
      </c>
      <c r="N2661" s="1527"/>
      <c r="O2661" s="1535" t="s">
        <v>4066</v>
      </c>
      <c r="P2661" s="1512">
        <v>962000</v>
      </c>
      <c r="T2661" s="1208"/>
    </row>
    <row r="2662" spans="7:22">
      <c r="G2662" s="1574" t="s">
        <v>3512</v>
      </c>
      <c r="H2662" s="1574"/>
      <c r="I2662" s="1574"/>
      <c r="J2662" s="3">
        <f>N2654-J2661</f>
        <v>21200000</v>
      </c>
      <c r="K2662" s="1009"/>
      <c r="L2662" s="3"/>
      <c r="M2662" s="1528"/>
      <c r="O2662" s="1529"/>
      <c r="Q2662" s="661"/>
      <c r="T2662" s="1208"/>
    </row>
    <row r="2663" spans="7:22">
      <c r="G2663" s="1574" t="s">
        <v>3531</v>
      </c>
      <c r="H2663" s="1574"/>
      <c r="I2663" s="1574"/>
      <c r="J2663" s="3">
        <f>T2660</f>
        <v>200</v>
      </c>
      <c r="Q2663" s="3"/>
      <c r="T2663" s="1208"/>
    </row>
    <row r="2664" spans="7:22">
      <c r="G2664" s="1564" t="s">
        <v>4067</v>
      </c>
      <c r="H2664" s="1564"/>
      <c r="I2664" s="1564"/>
      <c r="R2664" s="3"/>
      <c r="T2664" s="1208"/>
    </row>
    <row r="2665" spans="7:22">
      <c r="Q2665" s="3"/>
      <c r="R2665" s="3"/>
    </row>
    <row r="2666" spans="7:22">
      <c r="Q2666" s="3"/>
      <c r="R2666" s="3"/>
    </row>
    <row r="2667" spans="7:22">
      <c r="Q2667" s="3"/>
      <c r="R2667" s="3"/>
    </row>
    <row r="2668" spans="7:22">
      <c r="Q2668" s="661"/>
      <c r="R2668" s="661"/>
    </row>
    <row r="2669" spans="7:22">
      <c r="R2669" s="661"/>
    </row>
    <row r="2670" spans="7:22">
      <c r="Q2670" s="661"/>
    </row>
    <row r="2672" spans="7:22">
      <c r="G2672" s="1008">
        <v>46010</v>
      </c>
      <c r="H2672" s="1169"/>
      <c r="I2672" s="1575" t="s">
        <v>3510</v>
      </c>
      <c r="J2672" s="1576"/>
      <c r="K2672" s="1575" t="s">
        <v>3509</v>
      </c>
      <c r="L2672" s="1576"/>
      <c r="M2672" s="1575" t="s">
        <v>3541</v>
      </c>
      <c r="N2672" s="1576"/>
      <c r="O2672" s="1577" t="s">
        <v>3598</v>
      </c>
      <c r="P2672" s="1578"/>
      <c r="Q2672" s="1579" t="s">
        <v>3599</v>
      </c>
      <c r="R2672" s="1580"/>
      <c r="S2672" s="1583" t="s">
        <v>3953</v>
      </c>
      <c r="T2672" s="1583"/>
      <c r="U2672" s="1583" t="s">
        <v>3954</v>
      </c>
      <c r="V2672" s="1583"/>
    </row>
    <row r="2673" spans="7:22">
      <c r="G2673" s="1097"/>
      <c r="H2673" s="1170"/>
      <c r="I2673" s="1222" t="s">
        <v>3489</v>
      </c>
      <c r="J2673" s="49">
        <v>11000000</v>
      </c>
      <c r="K2673" s="1495" t="s">
        <v>4223</v>
      </c>
      <c r="L2673" s="49">
        <v>2400000</v>
      </c>
      <c r="M2673" s="1495" t="s">
        <v>4329</v>
      </c>
      <c r="N2673" s="49">
        <v>11500000</v>
      </c>
      <c r="O2673" s="1383" t="s">
        <v>4332</v>
      </c>
      <c r="P2673" s="644">
        <v>2150000</v>
      </c>
      <c r="Q2673" s="1221" t="s">
        <v>3899</v>
      </c>
      <c r="R2673" s="644">
        <v>3600000</v>
      </c>
      <c r="S2673" s="1223" t="s">
        <v>4327</v>
      </c>
      <c r="T2673" s="1191">
        <v>200</v>
      </c>
      <c r="U2673" s="1183"/>
      <c r="V2673" s="48"/>
    </row>
    <row r="2674" spans="7:22">
      <c r="G2674" s="1098"/>
      <c r="H2674" s="1172"/>
      <c r="I2674" s="1222"/>
      <c r="J2674" s="49"/>
      <c r="K2674" s="1495"/>
      <c r="L2674" s="49"/>
      <c r="M2674" s="1495" t="s">
        <v>3512</v>
      </c>
      <c r="N2674" s="49">
        <v>21200000</v>
      </c>
      <c r="O2674" s="1383"/>
      <c r="P2674" s="644"/>
      <c r="Q2674" s="1221" t="s">
        <v>4333</v>
      </c>
      <c r="R2674" s="644">
        <v>494193</v>
      </c>
      <c r="S2674" s="1223" t="s">
        <v>4328</v>
      </c>
      <c r="T2674" s="1191">
        <v>200</v>
      </c>
      <c r="U2674" s="48"/>
      <c r="V2674" s="49"/>
    </row>
    <row r="2675" spans="7:22">
      <c r="G2675" s="48"/>
      <c r="H2675" s="48"/>
      <c r="I2675" s="1200"/>
      <c r="J2675" s="49"/>
      <c r="K2675" s="1495"/>
      <c r="L2675" s="49"/>
      <c r="M2675" s="1493" t="s">
        <v>4330</v>
      </c>
      <c r="N2675" s="49">
        <v>8000000</v>
      </c>
      <c r="O2675" s="1383"/>
      <c r="P2675" s="644"/>
      <c r="Q2675" s="1221"/>
      <c r="R2675" s="644"/>
      <c r="S2675" s="1215"/>
      <c r="T2675" s="1191"/>
      <c r="U2675" s="1078"/>
      <c r="V2675" s="49"/>
    </row>
    <row r="2676" spans="7:22">
      <c r="G2676" s="48"/>
      <c r="H2676" s="48"/>
      <c r="I2676" s="1197"/>
      <c r="J2676" s="49"/>
      <c r="K2676" s="1495"/>
      <c r="L2676" s="49"/>
      <c r="M2676" s="1493" t="s">
        <v>4331</v>
      </c>
      <c r="N2676" s="49">
        <v>1500000</v>
      </c>
      <c r="O2676" s="644"/>
      <c r="P2676" s="644"/>
      <c r="Q2676" s="1192"/>
      <c r="R2676" s="644"/>
      <c r="S2676" s="48"/>
      <c r="T2676" s="1217"/>
      <c r="U2676" s="48"/>
      <c r="V2676" s="49"/>
    </row>
    <row r="2677" spans="7:22">
      <c r="G2677" s="48"/>
      <c r="H2677" s="48"/>
      <c r="I2677" s="1200"/>
      <c r="J2677" s="49"/>
      <c r="K2677" s="1495"/>
      <c r="L2677" s="49"/>
      <c r="M2677" s="1493"/>
      <c r="N2677" s="49"/>
      <c r="O2677" s="644"/>
      <c r="P2677" s="644"/>
      <c r="Q2677" s="1186"/>
      <c r="R2677" s="644"/>
      <c r="S2677" s="48"/>
      <c r="T2677" s="1217"/>
      <c r="U2677" s="48"/>
      <c r="V2677" s="49"/>
    </row>
    <row r="2678" spans="7:22">
      <c r="G2678" s="48"/>
      <c r="H2678" s="48"/>
      <c r="I2678" s="1200"/>
      <c r="J2678" s="49"/>
      <c r="K2678" s="1495"/>
      <c r="L2678" s="49"/>
      <c r="M2678" s="1495"/>
      <c r="N2678" s="49"/>
      <c r="O2678" s="644"/>
      <c r="P2678" s="644"/>
      <c r="Q2678" s="1176"/>
      <c r="R2678" s="644"/>
      <c r="S2678" s="48"/>
      <c r="T2678" s="1217"/>
      <c r="U2678" s="48"/>
      <c r="V2678" s="49"/>
    </row>
    <row r="2679" spans="7:22">
      <c r="G2679" s="48"/>
      <c r="H2679" s="48"/>
      <c r="I2679" s="1184"/>
      <c r="J2679" s="49"/>
      <c r="K2679" s="1495"/>
      <c r="L2679" s="49"/>
      <c r="M2679" s="1498"/>
      <c r="N2679" s="49"/>
      <c r="O2679" s="644"/>
      <c r="P2679" s="644"/>
      <c r="Q2679" s="1176"/>
      <c r="R2679" s="644"/>
      <c r="S2679" s="48"/>
      <c r="T2679" s="1217"/>
      <c r="U2679" s="48"/>
      <c r="V2679" s="49"/>
    </row>
    <row r="2680" spans="7:22">
      <c r="G2680" s="48"/>
      <c r="H2680" s="48"/>
      <c r="I2680" s="1184"/>
      <c r="J2680" s="49"/>
      <c r="K2680" s="1532"/>
      <c r="L2680" s="49"/>
      <c r="M2680" s="1498"/>
      <c r="N2680" s="49"/>
      <c r="O2680" s="644"/>
      <c r="P2680" s="644"/>
      <c r="Q2680" s="644"/>
      <c r="R2680" s="644"/>
      <c r="S2680" s="48"/>
      <c r="T2680" s="1217"/>
      <c r="U2680" s="48"/>
      <c r="V2680" s="49"/>
    </row>
    <row r="2681" spans="7:22">
      <c r="G2681" s="48"/>
      <c r="H2681" s="48"/>
      <c r="I2681" s="48"/>
      <c r="J2681" s="49"/>
      <c r="K2681" s="1495"/>
      <c r="L2681" s="49"/>
      <c r="M2681" s="1498"/>
      <c r="N2681" s="49"/>
      <c r="O2681" s="644"/>
      <c r="P2681" s="644"/>
      <c r="Q2681" s="644"/>
      <c r="R2681" s="644"/>
      <c r="S2681" s="48"/>
      <c r="T2681" s="1217"/>
      <c r="U2681" s="48"/>
      <c r="V2681" s="49"/>
    </row>
    <row r="2682" spans="7:22">
      <c r="G2682" s="48"/>
      <c r="H2682" s="48"/>
      <c r="I2682" s="48"/>
      <c r="J2682" s="49"/>
      <c r="K2682" s="1495"/>
      <c r="L2682" s="49"/>
      <c r="M2682" s="1498"/>
      <c r="N2682" s="49"/>
      <c r="O2682" s="644"/>
      <c r="P2682" s="644"/>
      <c r="Q2682" s="644"/>
      <c r="R2682" s="644"/>
      <c r="S2682" s="48"/>
      <c r="T2682" s="1217"/>
      <c r="U2682" s="48"/>
      <c r="V2682" s="49"/>
    </row>
    <row r="2683" spans="7:22">
      <c r="G2683" s="48"/>
      <c r="H2683" s="48"/>
      <c r="I2683" s="48"/>
      <c r="J2683" s="49"/>
      <c r="K2683" s="1498"/>
      <c r="L2683" s="49"/>
      <c r="M2683" s="1498"/>
      <c r="N2683" s="49"/>
      <c r="O2683" s="644"/>
      <c r="P2683" s="644"/>
      <c r="Q2683" s="644"/>
      <c r="R2683" s="644"/>
      <c r="S2683" s="48"/>
      <c r="T2683" s="1217"/>
      <c r="U2683" s="48"/>
      <c r="V2683" s="48"/>
    </row>
    <row r="2684" spans="7:22">
      <c r="G2684" s="48"/>
      <c r="H2684" s="48"/>
      <c r="I2684" s="48"/>
      <c r="J2684" s="49"/>
      <c r="K2684" s="49"/>
      <c r="L2684" s="49"/>
      <c r="M2684" s="1498"/>
      <c r="N2684" s="49"/>
      <c r="O2684" s="644"/>
      <c r="P2684" s="644"/>
      <c r="Q2684" s="644"/>
      <c r="R2684" s="644"/>
      <c r="S2684" s="48"/>
      <c r="T2684" s="1217"/>
      <c r="U2684" s="48"/>
      <c r="V2684" s="48"/>
    </row>
    <row r="2685" spans="7:22">
      <c r="G2685" s="48"/>
      <c r="H2685" s="48"/>
      <c r="I2685" s="48"/>
      <c r="J2685" s="954">
        <f>SUM(J2673:J2681)</f>
        <v>11000000</v>
      </c>
      <c r="K2685" s="954"/>
      <c r="L2685" s="954">
        <f>SUM(L2673:L2684)</f>
        <v>2400000</v>
      </c>
      <c r="M2685" s="1498"/>
      <c r="N2685" s="954">
        <f>SUM(N2673:N2684)</f>
        <v>42200000</v>
      </c>
      <c r="O2685" s="644"/>
      <c r="P2685" s="969">
        <f>SUM(P2673:P2679)</f>
        <v>2150000</v>
      </c>
      <c r="Q2685" s="969"/>
      <c r="R2685" s="969">
        <f>SUM(R2673:R2679)</f>
        <v>4094193</v>
      </c>
      <c r="S2685" s="48"/>
      <c r="T2685" s="1178">
        <f>SUM(T2673:T2684)</f>
        <v>400</v>
      </c>
      <c r="U2685" s="48"/>
      <c r="V2685" s="878">
        <f>SUM(V2673:V2684)</f>
        <v>0</v>
      </c>
    </row>
    <row r="2686" spans="7:22">
      <c r="T2686" s="1216"/>
    </row>
    <row r="2687" spans="7:22">
      <c r="T2687" s="1216"/>
    </row>
    <row r="2688" spans="7:22">
      <c r="R2688" s="661"/>
      <c r="T2688" s="1216"/>
    </row>
    <row r="2689" spans="7:20">
      <c r="T2689" s="1216"/>
    </row>
    <row r="2690" spans="7:20">
      <c r="T2690" s="1216"/>
    </row>
    <row r="2691" spans="7:20">
      <c r="I2691" s="946"/>
      <c r="M2691" s="1533" t="s">
        <v>3699</v>
      </c>
      <c r="O2691" s="1535" t="s">
        <v>3741</v>
      </c>
      <c r="P2691" s="1512">
        <f>P2685-R2674</f>
        <v>1655807</v>
      </c>
      <c r="S2691" s="906" t="s">
        <v>4049</v>
      </c>
      <c r="T2691" s="1107">
        <f>T2685-V2685</f>
        <v>400</v>
      </c>
    </row>
    <row r="2692" spans="7:20">
      <c r="G2692" s="1574" t="s">
        <v>3530</v>
      </c>
      <c r="H2692" s="1574"/>
      <c r="I2692" s="1574"/>
      <c r="J2692" s="3">
        <f>J2685+L2685</f>
        <v>13400000</v>
      </c>
      <c r="K2692" s="1009"/>
      <c r="L2692" s="3"/>
      <c r="M2692" s="1533" t="s">
        <v>3664</v>
      </c>
      <c r="N2692" s="1527"/>
      <c r="O2692" s="1535" t="s">
        <v>4066</v>
      </c>
      <c r="P2692" s="1512"/>
      <c r="T2692" s="1216"/>
    </row>
    <row r="2693" spans="7:20">
      <c r="G2693" s="1574" t="s">
        <v>3512</v>
      </c>
      <c r="H2693" s="1574"/>
      <c r="I2693" s="1574"/>
      <c r="J2693" s="3">
        <f>N2685-J2692</f>
        <v>28800000</v>
      </c>
      <c r="K2693" s="1009"/>
      <c r="L2693" s="3"/>
      <c r="M2693" s="1528"/>
      <c r="O2693" s="1529"/>
      <c r="Q2693" s="661"/>
      <c r="T2693" s="1216"/>
    </row>
    <row r="2694" spans="7:20">
      <c r="G2694" s="1574" t="s">
        <v>3531</v>
      </c>
      <c r="H2694" s="1574"/>
      <c r="I2694" s="1574"/>
      <c r="J2694" s="3">
        <f>T2691</f>
        <v>400</v>
      </c>
      <c r="Q2694" s="3"/>
      <c r="T2694" s="1216"/>
    </row>
    <row r="2695" spans="7:20">
      <c r="G2695" s="1564" t="s">
        <v>4067</v>
      </c>
      <c r="H2695" s="1564"/>
      <c r="I2695" s="1564"/>
      <c r="R2695" s="3"/>
      <c r="T2695" s="1216"/>
    </row>
    <row r="2705" spans="7:22">
      <c r="G2705" s="1008">
        <v>46011</v>
      </c>
      <c r="H2705" s="1169"/>
      <c r="I2705" s="1575" t="s">
        <v>3510</v>
      </c>
      <c r="J2705" s="1576"/>
      <c r="K2705" s="1575" t="s">
        <v>3509</v>
      </c>
      <c r="L2705" s="1576"/>
      <c r="M2705" s="1575" t="s">
        <v>3541</v>
      </c>
      <c r="N2705" s="1576"/>
      <c r="O2705" s="1577" t="s">
        <v>3598</v>
      </c>
      <c r="P2705" s="1578"/>
      <c r="Q2705" s="1579" t="s">
        <v>3599</v>
      </c>
      <c r="R2705" s="1580"/>
      <c r="S2705" s="1583" t="s">
        <v>3953</v>
      </c>
      <c r="T2705" s="1583"/>
      <c r="U2705" s="1583" t="s">
        <v>3954</v>
      </c>
      <c r="V2705" s="1583"/>
    </row>
    <row r="2706" spans="7:22">
      <c r="G2706" s="1097"/>
      <c r="H2706" s="1170"/>
      <c r="I2706" s="1222"/>
      <c r="J2706" s="49"/>
      <c r="K2706" s="1495" t="s">
        <v>4004</v>
      </c>
      <c r="L2706" s="49">
        <v>15000000</v>
      </c>
      <c r="M2706" s="1495" t="s">
        <v>3512</v>
      </c>
      <c r="N2706" s="49">
        <v>28800000</v>
      </c>
      <c r="O2706" s="1383"/>
      <c r="P2706" s="644"/>
      <c r="Q2706" s="1221"/>
      <c r="R2706" s="644"/>
      <c r="S2706" s="1223"/>
      <c r="T2706" s="1191"/>
      <c r="U2706" s="1183"/>
      <c r="V2706" s="48"/>
    </row>
    <row r="2707" spans="7:22">
      <c r="G2707" s="1098"/>
      <c r="H2707" s="1172"/>
      <c r="I2707" s="1222"/>
      <c r="J2707" s="49"/>
      <c r="K2707" s="1495"/>
      <c r="L2707" s="49"/>
      <c r="M2707" s="1495"/>
      <c r="N2707" s="49"/>
      <c r="O2707" s="1383"/>
      <c r="P2707" s="644"/>
      <c r="Q2707" s="1221"/>
      <c r="R2707" s="644"/>
      <c r="S2707" s="1223"/>
      <c r="T2707" s="1191"/>
      <c r="U2707" s="48"/>
      <c r="V2707" s="49"/>
    </row>
    <row r="2708" spans="7:22">
      <c r="G2708" s="48"/>
      <c r="H2708" s="48"/>
      <c r="I2708" s="1200"/>
      <c r="J2708" s="49"/>
      <c r="K2708" s="1495"/>
      <c r="L2708" s="49"/>
      <c r="M2708" s="1493"/>
      <c r="N2708" s="49"/>
      <c r="O2708" s="1383"/>
      <c r="P2708" s="644"/>
      <c r="Q2708" s="1221"/>
      <c r="R2708" s="644"/>
      <c r="S2708" s="1215"/>
      <c r="T2708" s="1191"/>
      <c r="U2708" s="1078"/>
      <c r="V2708" s="49"/>
    </row>
    <row r="2709" spans="7:22">
      <c r="G2709" s="48"/>
      <c r="H2709" s="48"/>
      <c r="I2709" s="1197"/>
      <c r="J2709" s="49"/>
      <c r="K2709" s="1495"/>
      <c r="L2709" s="49"/>
      <c r="M2709" s="1493"/>
      <c r="N2709" s="49"/>
      <c r="O2709" s="644"/>
      <c r="P2709" s="644"/>
      <c r="Q2709" s="1192"/>
      <c r="R2709" s="644"/>
      <c r="S2709" s="48"/>
      <c r="T2709" s="1217"/>
      <c r="U2709" s="48"/>
      <c r="V2709" s="49"/>
    </row>
    <row r="2710" spans="7:22">
      <c r="G2710" s="48"/>
      <c r="H2710" s="48"/>
      <c r="I2710" s="1200"/>
      <c r="J2710" s="49"/>
      <c r="K2710" s="1495"/>
      <c r="L2710" s="49"/>
      <c r="M2710" s="1493"/>
      <c r="N2710" s="49"/>
      <c r="O2710" s="644"/>
      <c r="P2710" s="644"/>
      <c r="Q2710" s="1186"/>
      <c r="R2710" s="644"/>
      <c r="S2710" s="48"/>
      <c r="T2710" s="1217"/>
      <c r="U2710" s="48"/>
      <c r="V2710" s="49"/>
    </row>
    <row r="2711" spans="7:22">
      <c r="G2711" s="48"/>
      <c r="H2711" s="48"/>
      <c r="I2711" s="1200"/>
      <c r="J2711" s="49"/>
      <c r="K2711" s="1495"/>
      <c r="L2711" s="49"/>
      <c r="M2711" s="1495"/>
      <c r="N2711" s="49"/>
      <c r="O2711" s="644"/>
      <c r="P2711" s="644"/>
      <c r="Q2711" s="1176"/>
      <c r="R2711" s="644"/>
      <c r="S2711" s="48"/>
      <c r="T2711" s="1217"/>
      <c r="U2711" s="48"/>
      <c r="V2711" s="49"/>
    </row>
    <row r="2712" spans="7:22">
      <c r="G2712" s="48"/>
      <c r="H2712" s="48"/>
      <c r="I2712" s="1184"/>
      <c r="J2712" s="49"/>
      <c r="K2712" s="1495"/>
      <c r="L2712" s="49"/>
      <c r="M2712" s="1498"/>
      <c r="N2712" s="49"/>
      <c r="O2712" s="644"/>
      <c r="P2712" s="644"/>
      <c r="Q2712" s="1176"/>
      <c r="R2712" s="644"/>
      <c r="S2712" s="48"/>
      <c r="T2712" s="1217"/>
      <c r="U2712" s="48"/>
      <c r="V2712" s="49"/>
    </row>
    <row r="2713" spans="7:22">
      <c r="G2713" s="48"/>
      <c r="H2713" s="48"/>
      <c r="I2713" s="1184"/>
      <c r="J2713" s="49"/>
      <c r="K2713" s="1532"/>
      <c r="L2713" s="49"/>
      <c r="M2713" s="1498"/>
      <c r="N2713" s="49"/>
      <c r="O2713" s="644"/>
      <c r="P2713" s="644"/>
      <c r="Q2713" s="644"/>
      <c r="R2713" s="644"/>
      <c r="S2713" s="48"/>
      <c r="T2713" s="1217"/>
      <c r="U2713" s="48"/>
      <c r="V2713" s="49"/>
    </row>
    <row r="2714" spans="7:22">
      <c r="G2714" s="48"/>
      <c r="H2714" s="48"/>
      <c r="I2714" s="48"/>
      <c r="J2714" s="49"/>
      <c r="K2714" s="1495"/>
      <c r="L2714" s="49"/>
      <c r="M2714" s="1498"/>
      <c r="N2714" s="49"/>
      <c r="O2714" s="644"/>
      <c r="P2714" s="644"/>
      <c r="Q2714" s="644"/>
      <c r="R2714" s="644"/>
      <c r="S2714" s="48"/>
      <c r="T2714" s="1217"/>
      <c r="U2714" s="48"/>
      <c r="V2714" s="49"/>
    </row>
    <row r="2715" spans="7:22">
      <c r="G2715" s="48"/>
      <c r="H2715" s="48"/>
      <c r="I2715" s="48"/>
      <c r="J2715" s="49"/>
      <c r="K2715" s="1495"/>
      <c r="L2715" s="49"/>
      <c r="M2715" s="1498"/>
      <c r="N2715" s="49"/>
      <c r="O2715" s="644"/>
      <c r="P2715" s="644"/>
      <c r="Q2715" s="644"/>
      <c r="R2715" s="644"/>
      <c r="S2715" s="48"/>
      <c r="T2715" s="1217"/>
      <c r="U2715" s="48"/>
      <c r="V2715" s="49"/>
    </row>
    <row r="2716" spans="7:22">
      <c r="G2716" s="48"/>
      <c r="H2716" s="48"/>
      <c r="I2716" s="48"/>
      <c r="J2716" s="49"/>
      <c r="K2716" s="1498"/>
      <c r="L2716" s="49"/>
      <c r="M2716" s="1498"/>
      <c r="N2716" s="49"/>
      <c r="O2716" s="644"/>
      <c r="P2716" s="644"/>
      <c r="Q2716" s="644"/>
      <c r="R2716" s="644"/>
      <c r="S2716" s="48"/>
      <c r="T2716" s="1217"/>
      <c r="U2716" s="48"/>
      <c r="V2716" s="48"/>
    </row>
    <row r="2717" spans="7:22">
      <c r="G2717" s="48"/>
      <c r="H2717" s="48"/>
      <c r="I2717" s="48"/>
      <c r="J2717" s="49"/>
      <c r="K2717" s="49"/>
      <c r="L2717" s="49"/>
      <c r="M2717" s="1498"/>
      <c r="N2717" s="49"/>
      <c r="O2717" s="644"/>
      <c r="P2717" s="644"/>
      <c r="Q2717" s="644"/>
      <c r="R2717" s="644"/>
      <c r="S2717" s="48"/>
      <c r="T2717" s="1217"/>
      <c r="U2717" s="48"/>
      <c r="V2717" s="48"/>
    </row>
    <row r="2718" spans="7:22">
      <c r="G2718" s="48"/>
      <c r="H2718" s="48"/>
      <c r="I2718" s="48"/>
      <c r="J2718" s="954">
        <f>SUM(J2706:J2714)</f>
        <v>0</v>
      </c>
      <c r="K2718" s="954"/>
      <c r="L2718" s="954">
        <f>SUM(L2706:L2717)</f>
        <v>15000000</v>
      </c>
      <c r="M2718" s="1498"/>
      <c r="N2718" s="954">
        <f>SUM(N2706:N2717)</f>
        <v>28800000</v>
      </c>
      <c r="O2718" s="644"/>
      <c r="P2718" s="969">
        <f>SUM(P2706:P2712)</f>
        <v>0</v>
      </c>
      <c r="Q2718" s="969"/>
      <c r="R2718" s="969">
        <f>SUM(R2706:R2712)</f>
        <v>0</v>
      </c>
      <c r="S2718" s="48"/>
      <c r="T2718" s="1178">
        <f>SUM(T2706:T2717)</f>
        <v>0</v>
      </c>
      <c r="U2718" s="48"/>
      <c r="V2718" s="878">
        <f>SUM(V2706:V2717)</f>
        <v>0</v>
      </c>
    </row>
    <row r="2719" spans="7:22">
      <c r="T2719" s="1216"/>
    </row>
    <row r="2720" spans="7:22">
      <c r="T2720" s="1216"/>
    </row>
    <row r="2721" spans="7:20">
      <c r="R2721" s="661"/>
      <c r="T2721" s="1216"/>
    </row>
    <row r="2722" spans="7:20">
      <c r="T2722" s="1216"/>
    </row>
    <row r="2723" spans="7:20">
      <c r="T2723" s="1216"/>
    </row>
    <row r="2724" spans="7:20">
      <c r="I2724" s="946"/>
      <c r="M2724" s="1533" t="s">
        <v>3699</v>
      </c>
      <c r="O2724" s="1535" t="s">
        <v>3741</v>
      </c>
      <c r="P2724" s="1512">
        <f>P2718-R2707</f>
        <v>0</v>
      </c>
      <c r="S2724" s="906" t="s">
        <v>4049</v>
      </c>
      <c r="T2724" s="1107">
        <f>T2718-V2718</f>
        <v>0</v>
      </c>
    </row>
    <row r="2725" spans="7:20">
      <c r="G2725" s="1574" t="s">
        <v>3530</v>
      </c>
      <c r="H2725" s="1574"/>
      <c r="I2725" s="1574"/>
      <c r="J2725" s="3">
        <f>J2718+L2718</f>
        <v>15000000</v>
      </c>
      <c r="K2725" s="1009"/>
      <c r="L2725" s="3"/>
      <c r="M2725" s="1533" t="s">
        <v>3664</v>
      </c>
      <c r="N2725" s="1527"/>
      <c r="O2725" s="1535" t="s">
        <v>4066</v>
      </c>
      <c r="P2725" s="1512"/>
      <c r="T2725" s="1216"/>
    </row>
    <row r="2726" spans="7:20">
      <c r="G2726" s="1574" t="s">
        <v>3512</v>
      </c>
      <c r="H2726" s="1574"/>
      <c r="I2726" s="1574"/>
      <c r="J2726" s="3">
        <f>N2718-J2725</f>
        <v>13800000</v>
      </c>
      <c r="K2726" s="1009"/>
      <c r="L2726" s="3"/>
      <c r="M2726" s="1528"/>
      <c r="O2726" s="1529"/>
      <c r="Q2726" s="661"/>
      <c r="T2726" s="1216"/>
    </row>
    <row r="2727" spans="7:20">
      <c r="G2727" s="1574" t="s">
        <v>3531</v>
      </c>
      <c r="H2727" s="1574"/>
      <c r="I2727" s="1574"/>
      <c r="J2727" s="3">
        <f>T2724</f>
        <v>0</v>
      </c>
      <c r="Q2727" s="3"/>
      <c r="T2727" s="1216"/>
    </row>
    <row r="2728" spans="7:20">
      <c r="G2728" s="1564" t="s">
        <v>4067</v>
      </c>
      <c r="H2728" s="1564"/>
      <c r="I2728" s="1564"/>
      <c r="R2728" s="3"/>
      <c r="T2728" s="1216"/>
    </row>
    <row r="2741" spans="7:22">
      <c r="G2741" s="1008">
        <v>46013</v>
      </c>
      <c r="H2741" s="1169"/>
      <c r="I2741" s="1575" t="s">
        <v>3510</v>
      </c>
      <c r="J2741" s="1576"/>
      <c r="K2741" s="1575" t="s">
        <v>3509</v>
      </c>
      <c r="L2741" s="1576"/>
      <c r="M2741" s="1575" t="s">
        <v>3541</v>
      </c>
      <c r="N2741" s="1576"/>
      <c r="O2741" s="1577" t="s">
        <v>3598</v>
      </c>
      <c r="P2741" s="1578"/>
      <c r="Q2741" s="1579" t="s">
        <v>3599</v>
      </c>
      <c r="R2741" s="1580"/>
      <c r="S2741" s="1583" t="s">
        <v>3953</v>
      </c>
      <c r="T2741" s="1583"/>
      <c r="U2741" s="1583" t="s">
        <v>3954</v>
      </c>
      <c r="V2741" s="1583"/>
    </row>
    <row r="2742" spans="7:22">
      <c r="G2742" s="1097"/>
      <c r="H2742" s="1170"/>
      <c r="I2742" s="1222"/>
      <c r="J2742" s="49"/>
      <c r="K2742" s="1495" t="s">
        <v>4019</v>
      </c>
      <c r="L2742" s="49">
        <v>4000000</v>
      </c>
      <c r="M2742" s="1495"/>
      <c r="N2742" s="49"/>
      <c r="O2742" s="1383" t="s">
        <v>4334</v>
      </c>
      <c r="P2742" s="644">
        <v>500000</v>
      </c>
      <c r="Q2742" s="1229" t="s">
        <v>4335</v>
      </c>
      <c r="R2742" s="644">
        <v>150000</v>
      </c>
      <c r="S2742" s="1223"/>
      <c r="T2742" s="1191"/>
      <c r="U2742" s="1183"/>
      <c r="V2742" s="48"/>
    </row>
    <row r="2743" spans="7:22">
      <c r="G2743" s="1098"/>
      <c r="H2743" s="1172"/>
      <c r="I2743" s="1222"/>
      <c r="J2743" s="49"/>
      <c r="K2743" s="1495"/>
      <c r="L2743" s="49"/>
      <c r="M2743" s="1495"/>
      <c r="N2743" s="49"/>
      <c r="O2743" s="1383" t="s">
        <v>3512</v>
      </c>
      <c r="P2743" s="644">
        <v>1692000</v>
      </c>
      <c r="Q2743" s="1229" t="s">
        <v>4151</v>
      </c>
      <c r="R2743" s="644">
        <v>500000</v>
      </c>
      <c r="S2743" s="1223"/>
      <c r="T2743" s="1191"/>
      <c r="U2743" s="48"/>
      <c r="V2743" s="49"/>
    </row>
    <row r="2744" spans="7:22">
      <c r="G2744" s="48"/>
      <c r="H2744" s="48"/>
      <c r="I2744" s="1200"/>
      <c r="J2744" s="49"/>
      <c r="K2744" s="1495"/>
      <c r="L2744" s="49"/>
      <c r="M2744" s="1493"/>
      <c r="N2744" s="49"/>
      <c r="O2744" s="1383"/>
      <c r="P2744" s="644"/>
      <c r="Q2744" s="1221"/>
      <c r="R2744" s="644"/>
      <c r="S2744" s="1215"/>
      <c r="T2744" s="1191"/>
      <c r="U2744" s="1078"/>
      <c r="V2744" s="49"/>
    </row>
    <row r="2745" spans="7:22">
      <c r="G2745" s="48"/>
      <c r="H2745" s="48"/>
      <c r="I2745" s="1197"/>
      <c r="J2745" s="49"/>
      <c r="K2745" s="1495"/>
      <c r="L2745" s="49"/>
      <c r="M2745" s="1493"/>
      <c r="N2745" s="49"/>
      <c r="O2745" s="644"/>
      <c r="P2745" s="644"/>
      <c r="Q2745" s="1192"/>
      <c r="R2745" s="644"/>
      <c r="S2745" s="48"/>
      <c r="T2745" s="1220"/>
      <c r="U2745" s="48"/>
      <c r="V2745" s="49"/>
    </row>
    <row r="2746" spans="7:22">
      <c r="G2746" s="48"/>
      <c r="H2746" s="48"/>
      <c r="I2746" s="1200"/>
      <c r="J2746" s="49"/>
      <c r="K2746" s="1495"/>
      <c r="L2746" s="49"/>
      <c r="M2746" s="1493"/>
      <c r="N2746" s="49"/>
      <c r="O2746" s="644"/>
      <c r="P2746" s="644"/>
      <c r="Q2746" s="1186"/>
      <c r="R2746" s="644"/>
      <c r="S2746" s="48"/>
      <c r="T2746" s="1220"/>
      <c r="U2746" s="48"/>
      <c r="V2746" s="49"/>
    </row>
    <row r="2747" spans="7:22">
      <c r="G2747" s="48"/>
      <c r="H2747" s="48"/>
      <c r="I2747" s="1200"/>
      <c r="J2747" s="49"/>
      <c r="K2747" s="1495"/>
      <c r="L2747" s="49"/>
      <c r="M2747" s="1495"/>
      <c r="N2747" s="49"/>
      <c r="O2747" s="644"/>
      <c r="P2747" s="644"/>
      <c r="Q2747" s="1176"/>
      <c r="R2747" s="644"/>
      <c r="S2747" s="48"/>
      <c r="T2747" s="1220"/>
      <c r="U2747" s="48"/>
      <c r="V2747" s="49"/>
    </row>
    <row r="2748" spans="7:22">
      <c r="G2748" s="48"/>
      <c r="H2748" s="48"/>
      <c r="I2748" s="1184"/>
      <c r="J2748" s="49"/>
      <c r="K2748" s="1495"/>
      <c r="L2748" s="49"/>
      <c r="M2748" s="1498"/>
      <c r="N2748" s="49"/>
      <c r="O2748" s="644"/>
      <c r="P2748" s="644"/>
      <c r="Q2748" s="1176"/>
      <c r="R2748" s="644"/>
      <c r="S2748" s="48"/>
      <c r="T2748" s="1220"/>
      <c r="U2748" s="48"/>
      <c r="V2748" s="49"/>
    </row>
    <row r="2749" spans="7:22">
      <c r="G2749" s="48"/>
      <c r="H2749" s="48"/>
      <c r="I2749" s="1184"/>
      <c r="J2749" s="49"/>
      <c r="K2749" s="1532"/>
      <c r="L2749" s="49"/>
      <c r="M2749" s="1498"/>
      <c r="N2749" s="49"/>
      <c r="O2749" s="644"/>
      <c r="P2749" s="644"/>
      <c r="Q2749" s="644"/>
      <c r="R2749" s="644"/>
      <c r="S2749" s="48"/>
      <c r="T2749" s="1220"/>
      <c r="U2749" s="48"/>
      <c r="V2749" s="49"/>
    </row>
    <row r="2750" spans="7:22">
      <c r="G2750" s="48"/>
      <c r="H2750" s="48"/>
      <c r="I2750" s="48"/>
      <c r="J2750" s="49"/>
      <c r="K2750" s="1495"/>
      <c r="L2750" s="49"/>
      <c r="M2750" s="1498"/>
      <c r="N2750" s="49"/>
      <c r="O2750" s="644"/>
      <c r="P2750" s="644"/>
      <c r="Q2750" s="644"/>
      <c r="R2750" s="644"/>
      <c r="S2750" s="48"/>
      <c r="T2750" s="1220"/>
      <c r="U2750" s="48"/>
      <c r="V2750" s="49"/>
    </row>
    <row r="2751" spans="7:22">
      <c r="G2751" s="48"/>
      <c r="H2751" s="48"/>
      <c r="I2751" s="48"/>
      <c r="J2751" s="49"/>
      <c r="K2751" s="1495"/>
      <c r="L2751" s="49"/>
      <c r="M2751" s="1498"/>
      <c r="N2751" s="49"/>
      <c r="O2751" s="644"/>
      <c r="P2751" s="644"/>
      <c r="Q2751" s="644"/>
      <c r="R2751" s="644"/>
      <c r="S2751" s="48"/>
      <c r="T2751" s="1220"/>
      <c r="U2751" s="48"/>
      <c r="V2751" s="49"/>
    </row>
    <row r="2752" spans="7:22">
      <c r="G2752" s="48"/>
      <c r="H2752" s="48"/>
      <c r="I2752" s="48"/>
      <c r="J2752" s="49"/>
      <c r="K2752" s="1498"/>
      <c r="L2752" s="49"/>
      <c r="M2752" s="1498"/>
      <c r="N2752" s="49"/>
      <c r="O2752" s="644"/>
      <c r="P2752" s="644"/>
      <c r="Q2752" s="644"/>
      <c r="R2752" s="644"/>
      <c r="S2752" s="48"/>
      <c r="T2752" s="1220"/>
      <c r="U2752" s="48"/>
      <c r="V2752" s="48"/>
    </row>
    <row r="2753" spans="7:22">
      <c r="G2753" s="48"/>
      <c r="H2753" s="48"/>
      <c r="I2753" s="48"/>
      <c r="J2753" s="49"/>
      <c r="K2753" s="49"/>
      <c r="L2753" s="49"/>
      <c r="M2753" s="1498"/>
      <c r="N2753" s="49"/>
      <c r="O2753" s="644"/>
      <c r="P2753" s="644"/>
      <c r="Q2753" s="644"/>
      <c r="R2753" s="644"/>
      <c r="S2753" s="48"/>
      <c r="T2753" s="1220"/>
      <c r="U2753" s="48"/>
      <c r="V2753" s="48"/>
    </row>
    <row r="2754" spans="7:22">
      <c r="G2754" s="48"/>
      <c r="H2754" s="48"/>
      <c r="I2754" s="48"/>
      <c r="J2754" s="954">
        <f>SUM(J2742:J2750)</f>
        <v>0</v>
      </c>
      <c r="K2754" s="954"/>
      <c r="L2754" s="954">
        <f>SUM(L2742:L2753)</f>
        <v>4000000</v>
      </c>
      <c r="M2754" s="1498"/>
      <c r="N2754" s="954">
        <f>SUM(N2742:N2753)</f>
        <v>0</v>
      </c>
      <c r="O2754" s="644"/>
      <c r="P2754" s="969">
        <f>SUM(P2742:P2748)</f>
        <v>2192000</v>
      </c>
      <c r="Q2754" s="969"/>
      <c r="R2754" s="969">
        <f>SUM(R2742:R2748)</f>
        <v>650000</v>
      </c>
      <c r="S2754" s="48"/>
      <c r="T2754" s="1178">
        <f>SUM(T2742:T2753)</f>
        <v>0</v>
      </c>
      <c r="U2754" s="48"/>
      <c r="V2754" s="878">
        <f>SUM(V2742:V2753)</f>
        <v>0</v>
      </c>
    </row>
    <row r="2755" spans="7:22">
      <c r="T2755" s="1219"/>
    </row>
    <row r="2756" spans="7:22">
      <c r="T2756" s="1219"/>
    </row>
    <row r="2757" spans="7:22">
      <c r="R2757" s="661"/>
      <c r="T2757" s="1219"/>
    </row>
    <row r="2758" spans="7:22">
      <c r="T2758" s="1219"/>
    </row>
    <row r="2759" spans="7:22">
      <c r="T2759" s="1219"/>
    </row>
    <row r="2760" spans="7:22">
      <c r="I2760" s="946"/>
      <c r="M2760" s="1533" t="s">
        <v>3699</v>
      </c>
      <c r="O2760" s="1535" t="s">
        <v>3741</v>
      </c>
      <c r="P2760" s="1512">
        <f>P2754-R2754</f>
        <v>1542000</v>
      </c>
      <c r="S2760" s="906" t="s">
        <v>4049</v>
      </c>
      <c r="T2760" s="1107">
        <f>T2754-V2754</f>
        <v>0</v>
      </c>
    </row>
    <row r="2761" spans="7:22">
      <c r="G2761" s="1574" t="s">
        <v>3530</v>
      </c>
      <c r="H2761" s="1574"/>
      <c r="I2761" s="1574"/>
      <c r="J2761" s="3">
        <f>J2754+L2754</f>
        <v>4000000</v>
      </c>
      <c r="K2761" s="1009"/>
      <c r="L2761" s="3"/>
      <c r="M2761" s="1533" t="s">
        <v>3664</v>
      </c>
      <c r="N2761" s="1527"/>
      <c r="O2761" s="1535" t="s">
        <v>4066</v>
      </c>
      <c r="P2761" s="1512"/>
      <c r="T2761" s="1219"/>
    </row>
    <row r="2762" spans="7:22">
      <c r="G2762" s="1574" t="s">
        <v>3512</v>
      </c>
      <c r="H2762" s="1574"/>
      <c r="I2762" s="1574"/>
      <c r="J2762" s="3">
        <f>N2754-J2761</f>
        <v>-4000000</v>
      </c>
      <c r="K2762" s="1009"/>
      <c r="L2762" s="3"/>
      <c r="M2762" s="1528"/>
      <c r="O2762" s="1529"/>
      <c r="Q2762" s="661"/>
      <c r="T2762" s="1219"/>
    </row>
    <row r="2763" spans="7:22">
      <c r="G2763" s="1574" t="s">
        <v>3531</v>
      </c>
      <c r="H2763" s="1574"/>
      <c r="I2763" s="1574"/>
      <c r="J2763" s="3">
        <f>T2760</f>
        <v>0</v>
      </c>
      <c r="Q2763" s="3"/>
      <c r="T2763" s="1219"/>
    </row>
    <row r="2764" spans="7:22">
      <c r="G2764" s="1564" t="s">
        <v>4067</v>
      </c>
      <c r="H2764" s="1564"/>
      <c r="I2764" s="1564"/>
      <c r="R2764" s="3"/>
      <c r="T2764" s="1219"/>
    </row>
    <row r="2765" spans="7:22">
      <c r="P2765" s="3"/>
    </row>
    <row r="2766" spans="7:22">
      <c r="P2766" s="3"/>
    </row>
    <row r="2774" spans="7:22">
      <c r="G2774" s="1008">
        <v>46014</v>
      </c>
      <c r="H2774" s="1169"/>
      <c r="I2774" s="1575" t="s">
        <v>3510</v>
      </c>
      <c r="J2774" s="1576"/>
      <c r="K2774" s="1575" t="s">
        <v>3509</v>
      </c>
      <c r="L2774" s="1576"/>
      <c r="M2774" s="1575" t="s">
        <v>3541</v>
      </c>
      <c r="N2774" s="1576"/>
      <c r="O2774" s="1577" t="s">
        <v>3598</v>
      </c>
      <c r="P2774" s="1578"/>
      <c r="Q2774" s="1579" t="s">
        <v>3599</v>
      </c>
      <c r="R2774" s="1580"/>
      <c r="S2774" s="1583" t="s">
        <v>3953</v>
      </c>
      <c r="T2774" s="1583"/>
      <c r="U2774" s="1583" t="s">
        <v>3954</v>
      </c>
      <c r="V2774" s="1583"/>
    </row>
    <row r="2775" spans="7:22">
      <c r="G2775" s="1097"/>
      <c r="H2775" s="1170"/>
      <c r="I2775" s="1222"/>
      <c r="J2775" s="49"/>
      <c r="K2775" s="1495" t="s">
        <v>3489</v>
      </c>
      <c r="L2775" s="49">
        <v>8000000</v>
      </c>
      <c r="M2775" s="1495" t="s">
        <v>3512</v>
      </c>
      <c r="N2775" s="49">
        <v>115000000</v>
      </c>
      <c r="O2775" s="1383" t="s">
        <v>3512</v>
      </c>
      <c r="P2775" s="644">
        <v>1542000</v>
      </c>
      <c r="Q2775" s="1231" t="s">
        <v>3455</v>
      </c>
      <c r="R2775" s="644">
        <v>1500000</v>
      </c>
      <c r="S2775" s="1223"/>
      <c r="T2775" s="1191"/>
      <c r="U2775" s="1183"/>
      <c r="V2775" s="48"/>
    </row>
    <row r="2776" spans="7:22">
      <c r="G2776" s="1098"/>
      <c r="H2776" s="1172"/>
      <c r="I2776" s="1222"/>
      <c r="J2776" s="49"/>
      <c r="K2776" s="1495"/>
      <c r="L2776" s="49"/>
      <c r="M2776" s="1495" t="s">
        <v>4336</v>
      </c>
      <c r="N2776" s="49">
        <v>5300000</v>
      </c>
      <c r="O2776" s="1383" t="s">
        <v>4324</v>
      </c>
      <c r="P2776" s="644">
        <v>1000000</v>
      </c>
      <c r="Q2776" s="1231" t="s">
        <v>4286</v>
      </c>
      <c r="R2776" s="644">
        <v>100000</v>
      </c>
      <c r="S2776" s="1223"/>
      <c r="T2776" s="1191"/>
      <c r="U2776" s="48"/>
      <c r="V2776" s="49"/>
    </row>
    <row r="2777" spans="7:22">
      <c r="G2777" s="48"/>
      <c r="H2777" s="48"/>
      <c r="I2777" s="1200"/>
      <c r="J2777" s="49"/>
      <c r="K2777" s="1495"/>
      <c r="L2777" s="49"/>
      <c r="M2777" s="1493" t="s">
        <v>4337</v>
      </c>
      <c r="N2777" s="49">
        <v>5000000</v>
      </c>
      <c r="O2777" s="1383"/>
      <c r="P2777" s="644"/>
      <c r="Q2777" s="1221"/>
      <c r="R2777" s="644"/>
      <c r="S2777" s="1215"/>
      <c r="T2777" s="1191"/>
      <c r="U2777" s="1078"/>
      <c r="V2777" s="49"/>
    </row>
    <row r="2778" spans="7:22">
      <c r="G2778" s="48"/>
      <c r="H2778" s="48"/>
      <c r="I2778" s="1197"/>
      <c r="J2778" s="49"/>
      <c r="K2778" s="1495"/>
      <c r="L2778" s="49"/>
      <c r="M2778" s="1493"/>
      <c r="N2778" s="49"/>
      <c r="O2778" s="644"/>
      <c r="P2778" s="644"/>
      <c r="Q2778" s="1192"/>
      <c r="R2778" s="644"/>
      <c r="S2778" s="48"/>
      <c r="T2778" s="1220"/>
      <c r="U2778" s="48"/>
      <c r="V2778" s="49"/>
    </row>
    <row r="2779" spans="7:22">
      <c r="G2779" s="48"/>
      <c r="H2779" s="48"/>
      <c r="I2779" s="1200"/>
      <c r="J2779" s="49"/>
      <c r="K2779" s="1495"/>
      <c r="L2779" s="49"/>
      <c r="M2779" s="1493"/>
      <c r="N2779" s="49"/>
      <c r="O2779" s="644"/>
      <c r="P2779" s="644"/>
      <c r="Q2779" s="1186"/>
      <c r="R2779" s="644"/>
      <c r="S2779" s="48"/>
      <c r="T2779" s="1220"/>
      <c r="U2779" s="48"/>
      <c r="V2779" s="49"/>
    </row>
    <row r="2780" spans="7:22">
      <c r="G2780" s="48"/>
      <c r="H2780" s="48"/>
      <c r="I2780" s="1200"/>
      <c r="J2780" s="49"/>
      <c r="K2780" s="1495"/>
      <c r="L2780" s="49"/>
      <c r="M2780" s="1495"/>
      <c r="N2780" s="49"/>
      <c r="O2780" s="644"/>
      <c r="P2780" s="644"/>
      <c r="Q2780" s="1176"/>
      <c r="R2780" s="644"/>
      <c r="S2780" s="48"/>
      <c r="T2780" s="1220"/>
      <c r="U2780" s="48"/>
      <c r="V2780" s="49"/>
    </row>
    <row r="2781" spans="7:22">
      <c r="G2781" s="48"/>
      <c r="H2781" s="48"/>
      <c r="I2781" s="1184"/>
      <c r="J2781" s="49"/>
      <c r="K2781" s="1495"/>
      <c r="L2781" s="49"/>
      <c r="M2781" s="1498"/>
      <c r="N2781" s="49"/>
      <c r="O2781" s="644"/>
      <c r="P2781" s="644"/>
      <c r="Q2781" s="1176"/>
      <c r="R2781" s="644"/>
      <c r="S2781" s="48"/>
      <c r="T2781" s="1220"/>
      <c r="U2781" s="48"/>
      <c r="V2781" s="49"/>
    </row>
    <row r="2782" spans="7:22">
      <c r="G2782" s="48"/>
      <c r="H2782" s="48"/>
      <c r="I2782" s="1184"/>
      <c r="J2782" s="49"/>
      <c r="K2782" s="1532"/>
      <c r="L2782" s="49"/>
      <c r="M2782" s="1498"/>
      <c r="N2782" s="49"/>
      <c r="O2782" s="644"/>
      <c r="P2782" s="644"/>
      <c r="Q2782" s="644"/>
      <c r="R2782" s="644"/>
      <c r="S2782" s="48"/>
      <c r="T2782" s="1220"/>
      <c r="U2782" s="48"/>
      <c r="V2782" s="49"/>
    </row>
    <row r="2783" spans="7:22">
      <c r="G2783" s="48"/>
      <c r="H2783" s="48"/>
      <c r="I2783" s="48"/>
      <c r="J2783" s="49"/>
      <c r="K2783" s="1495"/>
      <c r="L2783" s="49"/>
      <c r="M2783" s="1498"/>
      <c r="N2783" s="49"/>
      <c r="O2783" s="644"/>
      <c r="P2783" s="644"/>
      <c r="Q2783" s="644"/>
      <c r="R2783" s="644"/>
      <c r="S2783" s="48"/>
      <c r="T2783" s="1220"/>
      <c r="U2783" s="48"/>
      <c r="V2783" s="49"/>
    </row>
    <row r="2784" spans="7:22">
      <c r="G2784" s="48"/>
      <c r="H2784" s="48"/>
      <c r="I2784" s="48"/>
      <c r="J2784" s="49"/>
      <c r="K2784" s="1495"/>
      <c r="L2784" s="49"/>
      <c r="M2784" s="1498"/>
      <c r="N2784" s="49"/>
      <c r="O2784" s="644"/>
      <c r="P2784" s="644"/>
      <c r="Q2784" s="644"/>
      <c r="R2784" s="644"/>
      <c r="S2784" s="48"/>
      <c r="T2784" s="1220"/>
      <c r="U2784" s="48"/>
      <c r="V2784" s="49"/>
    </row>
    <row r="2785" spans="7:22">
      <c r="G2785" s="48"/>
      <c r="H2785" s="48"/>
      <c r="I2785" s="48"/>
      <c r="J2785" s="49"/>
      <c r="K2785" s="1498"/>
      <c r="L2785" s="49"/>
      <c r="M2785" s="1498"/>
      <c r="N2785" s="49"/>
      <c r="O2785" s="644"/>
      <c r="P2785" s="644"/>
      <c r="Q2785" s="644"/>
      <c r="R2785" s="644"/>
      <c r="S2785" s="48"/>
      <c r="T2785" s="1220"/>
      <c r="U2785" s="48"/>
      <c r="V2785" s="48"/>
    </row>
    <row r="2786" spans="7:22">
      <c r="G2786" s="48"/>
      <c r="H2786" s="48"/>
      <c r="I2786" s="48"/>
      <c r="J2786" s="49"/>
      <c r="K2786" s="49"/>
      <c r="L2786" s="49"/>
      <c r="M2786" s="1498"/>
      <c r="N2786" s="49"/>
      <c r="O2786" s="644"/>
      <c r="P2786" s="644"/>
      <c r="Q2786" s="644"/>
      <c r="R2786" s="644"/>
      <c r="S2786" s="48"/>
      <c r="T2786" s="1220"/>
      <c r="U2786" s="48"/>
      <c r="V2786" s="48"/>
    </row>
    <row r="2787" spans="7:22">
      <c r="G2787" s="48"/>
      <c r="H2787" s="48"/>
      <c r="I2787" s="48"/>
      <c r="J2787" s="954">
        <f>SUM(J2775:J2783)</f>
        <v>0</v>
      </c>
      <c r="K2787" s="954"/>
      <c r="L2787" s="954">
        <f>SUM(L2775:L2786)</f>
        <v>8000000</v>
      </c>
      <c r="M2787" s="1498"/>
      <c r="N2787" s="954">
        <f>SUM(N2775:N2786)</f>
        <v>125300000</v>
      </c>
      <c r="O2787" s="644"/>
      <c r="P2787" s="969">
        <f>SUM(P2775:P2781)</f>
        <v>2542000</v>
      </c>
      <c r="Q2787" s="969"/>
      <c r="R2787" s="969">
        <f>SUM(R2775:R2781)</f>
        <v>1600000</v>
      </c>
      <c r="S2787" s="48"/>
      <c r="T2787" s="1178">
        <f>SUM(T2775:T2786)</f>
        <v>0</v>
      </c>
      <c r="U2787" s="48"/>
      <c r="V2787" s="878">
        <f>SUM(V2775:V2786)</f>
        <v>0</v>
      </c>
    </row>
    <row r="2788" spans="7:22">
      <c r="T2788" s="1219"/>
    </row>
    <row r="2789" spans="7:22">
      <c r="T2789" s="1219"/>
    </row>
    <row r="2790" spans="7:22">
      <c r="R2790" s="661"/>
      <c r="T2790" s="1219"/>
    </row>
    <row r="2791" spans="7:22">
      <c r="T2791" s="1219"/>
    </row>
    <row r="2792" spans="7:22">
      <c r="T2792" s="1219"/>
    </row>
    <row r="2793" spans="7:22">
      <c r="I2793" s="946"/>
      <c r="M2793" s="1533" t="s">
        <v>3699</v>
      </c>
      <c r="O2793" s="1535" t="s">
        <v>3741</v>
      </c>
      <c r="P2793" s="1512">
        <f>P2787-R2787</f>
        <v>942000</v>
      </c>
      <c r="S2793" s="906" t="s">
        <v>4049</v>
      </c>
      <c r="T2793" s="1107">
        <f>T2787-V2787</f>
        <v>0</v>
      </c>
    </row>
    <row r="2794" spans="7:22">
      <c r="G2794" s="1574" t="s">
        <v>3530</v>
      </c>
      <c r="H2794" s="1574"/>
      <c r="I2794" s="1574"/>
      <c r="J2794" s="3">
        <f>J2787+L2787</f>
        <v>8000000</v>
      </c>
      <c r="K2794" s="1009"/>
      <c r="L2794" s="3"/>
      <c r="M2794" s="1533" t="s">
        <v>3664</v>
      </c>
      <c r="N2794" s="1527"/>
      <c r="O2794" s="1535" t="s">
        <v>4066</v>
      </c>
      <c r="P2794" s="1512"/>
      <c r="T2794" s="1219"/>
    </row>
    <row r="2795" spans="7:22">
      <c r="G2795" s="1574" t="s">
        <v>3512</v>
      </c>
      <c r="H2795" s="1574"/>
      <c r="I2795" s="1574"/>
      <c r="J2795" s="3">
        <f>N2787-J2794</f>
        <v>117300000</v>
      </c>
      <c r="K2795" s="1009"/>
      <c r="L2795" s="3"/>
      <c r="M2795" s="1528"/>
      <c r="O2795" s="1529"/>
      <c r="Q2795" s="661"/>
      <c r="T2795" s="1219"/>
    </row>
    <row r="2796" spans="7:22">
      <c r="G2796" s="1574" t="s">
        <v>3531</v>
      </c>
      <c r="H2796" s="1574"/>
      <c r="I2796" s="1574"/>
      <c r="J2796" s="3">
        <f>T2793</f>
        <v>0</v>
      </c>
      <c r="Q2796" s="3"/>
      <c r="T2796" s="1219"/>
    </row>
    <row r="2797" spans="7:22">
      <c r="G2797" s="1564" t="s">
        <v>4067</v>
      </c>
      <c r="H2797" s="1564"/>
      <c r="I2797" s="1564"/>
      <c r="R2797" s="3"/>
      <c r="T2797" s="1219"/>
    </row>
    <row r="2808" spans="7:22">
      <c r="G2808" s="1008">
        <v>46015</v>
      </c>
      <c r="H2808" s="1169"/>
      <c r="I2808" s="1575" t="s">
        <v>3510</v>
      </c>
      <c r="J2808" s="1576"/>
      <c r="K2808" s="1575" t="s">
        <v>3509</v>
      </c>
      <c r="L2808" s="1576"/>
      <c r="M2808" s="1575" t="s">
        <v>3541</v>
      </c>
      <c r="N2808" s="1576"/>
      <c r="O2808" s="1577" t="s">
        <v>3598</v>
      </c>
      <c r="P2808" s="1578"/>
      <c r="Q2808" s="1579" t="s">
        <v>3599</v>
      </c>
      <c r="R2808" s="1580"/>
      <c r="S2808" s="1583" t="s">
        <v>3953</v>
      </c>
      <c r="T2808" s="1583"/>
      <c r="U2808" s="1583" t="s">
        <v>3954</v>
      </c>
      <c r="V2808" s="1583"/>
    </row>
    <row r="2809" spans="7:22">
      <c r="G2809" s="1097"/>
      <c r="H2809" s="1170"/>
      <c r="I2809" s="1232" t="s">
        <v>4353</v>
      </c>
      <c r="J2809" s="49">
        <v>19320000</v>
      </c>
      <c r="K2809" s="1495" t="s">
        <v>4347</v>
      </c>
      <c r="L2809" s="49">
        <v>10000000</v>
      </c>
      <c r="M2809" s="1495" t="s">
        <v>3955</v>
      </c>
      <c r="N2809" s="49">
        <v>120000000</v>
      </c>
      <c r="O2809" s="1383" t="s">
        <v>4295</v>
      </c>
      <c r="P2809" s="644">
        <v>942000</v>
      </c>
      <c r="Q2809" s="1231" t="s">
        <v>3404</v>
      </c>
      <c r="R2809" s="644">
        <v>500000</v>
      </c>
      <c r="S2809" s="1239" t="s">
        <v>4354</v>
      </c>
      <c r="T2809" s="1191">
        <v>100</v>
      </c>
      <c r="U2809" s="1183"/>
      <c r="V2809" s="48"/>
    </row>
    <row r="2810" spans="7:22">
      <c r="G2810" s="1098"/>
      <c r="H2810" s="1172"/>
      <c r="I2810" s="1222"/>
      <c r="J2810" s="49"/>
      <c r="K2810" s="1495" t="s">
        <v>4348</v>
      </c>
      <c r="L2810" s="49">
        <v>3500000</v>
      </c>
      <c r="M2810" s="1495" t="s">
        <v>4324</v>
      </c>
      <c r="N2810" s="49">
        <v>2000000</v>
      </c>
      <c r="O2810" s="1383"/>
      <c r="P2810" s="644"/>
      <c r="Q2810" s="1231" t="s">
        <v>3312</v>
      </c>
      <c r="R2810" s="644">
        <v>300000</v>
      </c>
      <c r="S2810" s="1223"/>
      <c r="T2810" s="1191"/>
      <c r="U2810" s="48"/>
      <c r="V2810" s="49"/>
    </row>
    <row r="2811" spans="7:22">
      <c r="G2811" s="48"/>
      <c r="H2811" s="48"/>
      <c r="I2811" s="1200"/>
      <c r="J2811" s="49"/>
      <c r="K2811" s="1495"/>
      <c r="L2811" s="49"/>
      <c r="M2811" s="1493" t="s">
        <v>4351</v>
      </c>
      <c r="N2811" s="49">
        <v>60000000</v>
      </c>
      <c r="O2811" s="1383"/>
      <c r="P2811" s="644"/>
      <c r="Q2811" s="1221"/>
      <c r="R2811" s="644"/>
      <c r="S2811" s="1215"/>
      <c r="T2811" s="1191"/>
      <c r="U2811" s="1078"/>
      <c r="V2811" s="49"/>
    </row>
    <row r="2812" spans="7:22">
      <c r="G2812" s="48"/>
      <c r="H2812" s="48"/>
      <c r="I2812" s="1197"/>
      <c r="J2812" s="49"/>
      <c r="K2812" s="1495"/>
      <c r="L2812" s="49"/>
      <c r="M2812" s="1493" t="s">
        <v>4352</v>
      </c>
      <c r="N2812" s="49">
        <v>800000</v>
      </c>
      <c r="O2812" s="644"/>
      <c r="P2812" s="644"/>
      <c r="Q2812" s="1192"/>
      <c r="R2812" s="644"/>
      <c r="S2812" s="48"/>
      <c r="T2812" s="1228"/>
      <c r="U2812" s="48"/>
      <c r="V2812" s="49"/>
    </row>
    <row r="2813" spans="7:22">
      <c r="G2813" s="48"/>
      <c r="H2813" s="48"/>
      <c r="I2813" s="1200"/>
      <c r="J2813" s="49"/>
      <c r="K2813" s="1495"/>
      <c r="L2813" s="49"/>
      <c r="M2813" s="1493"/>
      <c r="N2813" s="49"/>
      <c r="O2813" s="644"/>
      <c r="P2813" s="644"/>
      <c r="Q2813" s="1186"/>
      <c r="R2813" s="644"/>
      <c r="S2813" s="48"/>
      <c r="T2813" s="1228"/>
      <c r="U2813" s="48"/>
      <c r="V2813" s="49"/>
    </row>
    <row r="2814" spans="7:22">
      <c r="G2814" s="48"/>
      <c r="H2814" s="48"/>
      <c r="I2814" s="1200"/>
      <c r="J2814" s="49"/>
      <c r="K2814" s="1495"/>
      <c r="L2814" s="49"/>
      <c r="M2814" s="1495"/>
      <c r="N2814" s="49"/>
      <c r="O2814" s="644"/>
      <c r="P2814" s="644"/>
      <c r="Q2814" s="1176"/>
      <c r="R2814" s="644"/>
      <c r="S2814" s="48"/>
      <c r="T2814" s="1228"/>
      <c r="U2814" s="48"/>
      <c r="V2814" s="49"/>
    </row>
    <row r="2815" spans="7:22">
      <c r="G2815" s="48"/>
      <c r="H2815" s="48"/>
      <c r="I2815" s="1184"/>
      <c r="J2815" s="49"/>
      <c r="K2815" s="1495"/>
      <c r="L2815" s="49"/>
      <c r="M2815" s="1498"/>
      <c r="N2815" s="49"/>
      <c r="O2815" s="644"/>
      <c r="P2815" s="644"/>
      <c r="Q2815" s="1176"/>
      <c r="R2815" s="644"/>
      <c r="S2815" s="48"/>
      <c r="T2815" s="1228"/>
      <c r="U2815" s="48"/>
      <c r="V2815" s="49"/>
    </row>
    <row r="2816" spans="7:22">
      <c r="G2816" s="48"/>
      <c r="H2816" s="48"/>
      <c r="I2816" s="1184"/>
      <c r="J2816" s="49"/>
      <c r="K2816" s="1532"/>
      <c r="L2816" s="49"/>
      <c r="M2816" s="1498"/>
      <c r="N2816" s="49"/>
      <c r="O2816" s="644"/>
      <c r="P2816" s="644"/>
      <c r="Q2816" s="644"/>
      <c r="R2816" s="644"/>
      <c r="S2816" s="48"/>
      <c r="T2816" s="1228"/>
      <c r="U2816" s="48"/>
      <c r="V2816" s="49"/>
    </row>
    <row r="2817" spans="7:22">
      <c r="G2817" s="48"/>
      <c r="H2817" s="48"/>
      <c r="I2817" s="48"/>
      <c r="J2817" s="49"/>
      <c r="K2817" s="1495"/>
      <c r="L2817" s="49"/>
      <c r="M2817" s="1498"/>
      <c r="N2817" s="49"/>
      <c r="O2817" s="644"/>
      <c r="P2817" s="644"/>
      <c r="Q2817" s="644"/>
      <c r="R2817" s="644"/>
      <c r="S2817" s="48"/>
      <c r="T2817" s="1228"/>
      <c r="U2817" s="48"/>
      <c r="V2817" s="49"/>
    </row>
    <row r="2818" spans="7:22">
      <c r="G2818" s="48"/>
      <c r="H2818" s="48"/>
      <c r="I2818" s="48"/>
      <c r="J2818" s="49"/>
      <c r="K2818" s="1495"/>
      <c r="L2818" s="49"/>
      <c r="M2818" s="1498"/>
      <c r="N2818" s="49"/>
      <c r="O2818" s="644"/>
      <c r="P2818" s="644"/>
      <c r="Q2818" s="644"/>
      <c r="R2818" s="644"/>
      <c r="S2818" s="48"/>
      <c r="T2818" s="1228"/>
      <c r="U2818" s="48"/>
      <c r="V2818" s="49"/>
    </row>
    <row r="2819" spans="7:22">
      <c r="G2819" s="48"/>
      <c r="H2819" s="48"/>
      <c r="I2819" s="48"/>
      <c r="J2819" s="49"/>
      <c r="K2819" s="1498"/>
      <c r="L2819" s="49"/>
      <c r="M2819" s="1498"/>
      <c r="N2819" s="49"/>
      <c r="O2819" s="644"/>
      <c r="P2819" s="644"/>
      <c r="Q2819" s="644"/>
      <c r="R2819" s="644"/>
      <c r="S2819" s="48"/>
      <c r="T2819" s="1228"/>
      <c r="U2819" s="48"/>
      <c r="V2819" s="48"/>
    </row>
    <row r="2820" spans="7:22">
      <c r="G2820" s="48"/>
      <c r="H2820" s="48"/>
      <c r="I2820" s="48"/>
      <c r="J2820" s="49"/>
      <c r="K2820" s="49"/>
      <c r="L2820" s="49"/>
      <c r="M2820" s="1498"/>
      <c r="N2820" s="49"/>
      <c r="O2820" s="644"/>
      <c r="P2820" s="644"/>
      <c r="Q2820" s="644"/>
      <c r="R2820" s="644"/>
      <c r="S2820" s="48"/>
      <c r="T2820" s="1228"/>
      <c r="U2820" s="48"/>
      <c r="V2820" s="48"/>
    </row>
    <row r="2821" spans="7:22">
      <c r="G2821" s="48"/>
      <c r="H2821" s="48"/>
      <c r="I2821" s="48"/>
      <c r="J2821" s="954">
        <f>SUM(J2809:J2817)</f>
        <v>19320000</v>
      </c>
      <c r="K2821" s="954"/>
      <c r="L2821" s="954">
        <f>SUM(L2809:L2820)</f>
        <v>13500000</v>
      </c>
      <c r="M2821" s="1498"/>
      <c r="N2821" s="954">
        <f>SUM(N2809:N2820)</f>
        <v>182800000</v>
      </c>
      <c r="O2821" s="644"/>
      <c r="P2821" s="969">
        <f>SUM(P2809:P2815)</f>
        <v>942000</v>
      </c>
      <c r="Q2821" s="969"/>
      <c r="R2821" s="969">
        <f>SUM(R2809:R2815)</f>
        <v>800000</v>
      </c>
      <c r="S2821" s="48"/>
      <c r="T2821" s="1178">
        <f>SUM(T2809:T2820)</f>
        <v>100</v>
      </c>
      <c r="U2821" s="48"/>
      <c r="V2821" s="878">
        <f>SUM(V2809:V2820)</f>
        <v>0</v>
      </c>
    </row>
    <row r="2822" spans="7:22">
      <c r="T2822" s="1227"/>
    </row>
    <row r="2823" spans="7:22">
      <c r="T2823" s="1227"/>
    </row>
    <row r="2824" spans="7:22">
      <c r="R2824" s="661"/>
      <c r="T2824" s="1227"/>
    </row>
    <row r="2825" spans="7:22">
      <c r="T2825" s="1227"/>
    </row>
    <row r="2826" spans="7:22">
      <c r="T2826" s="1227"/>
    </row>
    <row r="2827" spans="7:22">
      <c r="I2827" s="946"/>
      <c r="M2827" s="1533" t="s">
        <v>3699</v>
      </c>
      <c r="O2827" s="1535" t="s">
        <v>3741</v>
      </c>
      <c r="P2827" s="1512">
        <f>P2821-R2821</f>
        <v>142000</v>
      </c>
      <c r="S2827" s="906" t="s">
        <v>4049</v>
      </c>
      <c r="T2827" s="1107">
        <f>T2821-V2821</f>
        <v>100</v>
      </c>
    </row>
    <row r="2828" spans="7:22">
      <c r="G2828" s="1574" t="s">
        <v>3530</v>
      </c>
      <c r="H2828" s="1574"/>
      <c r="I2828" s="1574"/>
      <c r="J2828" s="3">
        <f>J2821+L2821</f>
        <v>32820000</v>
      </c>
      <c r="K2828" s="1009"/>
      <c r="L2828" s="3"/>
      <c r="M2828" s="1533" t="s">
        <v>3664</v>
      </c>
      <c r="N2828" s="1527"/>
      <c r="O2828" s="1535" t="s">
        <v>4066</v>
      </c>
      <c r="P2828" s="1512"/>
      <c r="T2828" s="1227"/>
    </row>
    <row r="2829" spans="7:22">
      <c r="G2829" s="1574" t="s">
        <v>3512</v>
      </c>
      <c r="H2829" s="1574"/>
      <c r="I2829" s="1574"/>
      <c r="J2829" s="3">
        <f>N2821-J2828</f>
        <v>149980000</v>
      </c>
      <c r="K2829" s="1009"/>
      <c r="L2829" s="3"/>
      <c r="M2829" s="1528"/>
      <c r="O2829" s="1529"/>
      <c r="Q2829" s="661"/>
      <c r="T2829" s="1227"/>
    </row>
    <row r="2830" spans="7:22">
      <c r="G2830" s="1574" t="s">
        <v>3531</v>
      </c>
      <c r="H2830" s="1574"/>
      <c r="I2830" s="1574"/>
      <c r="J2830" s="3">
        <f>T2827</f>
        <v>100</v>
      </c>
      <c r="Q2830" s="3"/>
      <c r="T2830" s="1227"/>
    </row>
    <row r="2831" spans="7:22">
      <c r="G2831" s="1564" t="s">
        <v>4067</v>
      </c>
      <c r="H2831" s="1564"/>
      <c r="I2831" s="1564"/>
      <c r="R2831" s="3"/>
      <c r="T2831" s="1227"/>
    </row>
    <row r="2837" spans="7:22">
      <c r="J2837" s="3">
        <v>169000000</v>
      </c>
    </row>
    <row r="2838" spans="7:22">
      <c r="J2838" s="3">
        <f>J2837-J2829</f>
        <v>19020000</v>
      </c>
    </row>
    <row r="2845" spans="7:22">
      <c r="G2845" s="1008">
        <v>46016</v>
      </c>
      <c r="H2845" s="1169"/>
      <c r="I2845" s="1575" t="s">
        <v>3510</v>
      </c>
      <c r="J2845" s="1576"/>
      <c r="K2845" s="1575" t="s">
        <v>3509</v>
      </c>
      <c r="L2845" s="1576"/>
      <c r="M2845" s="1575" t="s">
        <v>3541</v>
      </c>
      <c r="N2845" s="1576"/>
      <c r="O2845" s="1577" t="s">
        <v>3598</v>
      </c>
      <c r="P2845" s="1578"/>
      <c r="Q2845" s="1579" t="s">
        <v>3599</v>
      </c>
      <c r="R2845" s="1580"/>
      <c r="S2845" s="1583" t="s">
        <v>3953</v>
      </c>
      <c r="T2845" s="1583"/>
      <c r="U2845" s="1583" t="s">
        <v>3954</v>
      </c>
      <c r="V2845" s="1583"/>
    </row>
    <row r="2846" spans="7:22">
      <c r="G2846" s="1097"/>
      <c r="H2846" s="1170"/>
      <c r="I2846" s="1230" t="s">
        <v>4356</v>
      </c>
      <c r="J2846" s="49">
        <f>20250000+450000</f>
        <v>20700000</v>
      </c>
      <c r="K2846" s="1495"/>
      <c r="L2846" s="49"/>
      <c r="M2846" s="1495" t="s">
        <v>4355</v>
      </c>
      <c r="N2846" s="49">
        <v>10000000</v>
      </c>
      <c r="O2846" s="1383" t="s">
        <v>4354</v>
      </c>
      <c r="P2846" s="644">
        <v>3000000</v>
      </c>
      <c r="Q2846" s="1231" t="s">
        <v>3164</v>
      </c>
      <c r="R2846" s="644">
        <v>29000</v>
      </c>
      <c r="S2846" s="1223"/>
      <c r="T2846" s="1191"/>
      <c r="U2846" s="1183"/>
      <c r="V2846" s="48"/>
    </row>
    <row r="2847" spans="7:22">
      <c r="G2847" s="1098"/>
      <c r="H2847" s="1172"/>
      <c r="I2847" s="1232" t="s">
        <v>4358</v>
      </c>
      <c r="J2847" s="49">
        <v>49000000</v>
      </c>
      <c r="K2847" s="1495"/>
      <c r="L2847" s="49"/>
      <c r="M2847" s="1495" t="s">
        <v>4357</v>
      </c>
      <c r="N2847" s="49">
        <v>200000</v>
      </c>
      <c r="O2847" s="1383" t="s">
        <v>4360</v>
      </c>
      <c r="P2847" s="644">
        <v>50000</v>
      </c>
      <c r="Q2847" s="1231"/>
      <c r="R2847" s="644"/>
      <c r="S2847" s="1223"/>
      <c r="T2847" s="1191"/>
      <c r="U2847" s="48"/>
      <c r="V2847" s="49"/>
    </row>
    <row r="2848" spans="7:22">
      <c r="G2848" s="48"/>
      <c r="H2848" s="48"/>
      <c r="I2848" s="1239" t="s">
        <v>4359</v>
      </c>
      <c r="J2848" s="49">
        <v>92000000</v>
      </c>
      <c r="K2848" s="1495"/>
      <c r="L2848" s="49"/>
      <c r="M2848" s="1493" t="s">
        <v>3512</v>
      </c>
      <c r="N2848" s="49">
        <v>150000000</v>
      </c>
      <c r="O2848" s="1383"/>
      <c r="P2848" s="644"/>
      <c r="Q2848" s="1221"/>
      <c r="R2848" s="644"/>
      <c r="S2848" s="1215"/>
      <c r="T2848" s="1191"/>
      <c r="U2848" s="1078"/>
      <c r="V2848" s="49"/>
    </row>
    <row r="2849" spans="7:22">
      <c r="G2849" s="48"/>
      <c r="H2849" s="48"/>
      <c r="I2849" s="1197"/>
      <c r="J2849" s="49"/>
      <c r="K2849" s="1495"/>
      <c r="L2849" s="49"/>
      <c r="M2849" s="1493"/>
      <c r="N2849" s="49"/>
      <c r="O2849" s="644"/>
      <c r="P2849" s="644"/>
      <c r="Q2849" s="1192"/>
      <c r="R2849" s="644"/>
      <c r="S2849" s="48"/>
      <c r="T2849" s="1228"/>
      <c r="U2849" s="48"/>
      <c r="V2849" s="49"/>
    </row>
    <row r="2850" spans="7:22">
      <c r="G2850" s="48"/>
      <c r="H2850" s="48"/>
      <c r="I2850" s="1200"/>
      <c r="J2850" s="49"/>
      <c r="K2850" s="1495"/>
      <c r="L2850" s="49"/>
      <c r="M2850" s="1493"/>
      <c r="N2850" s="49"/>
      <c r="O2850" s="644"/>
      <c r="P2850" s="644"/>
      <c r="Q2850" s="1186"/>
      <c r="R2850" s="644"/>
      <c r="S2850" s="48"/>
      <c r="T2850" s="1228"/>
      <c r="U2850" s="48"/>
      <c r="V2850" s="49"/>
    </row>
    <row r="2851" spans="7:22">
      <c r="G2851" s="48"/>
      <c r="H2851" s="48"/>
      <c r="I2851" s="1200"/>
      <c r="J2851" s="49"/>
      <c r="K2851" s="1495"/>
      <c r="L2851" s="49"/>
      <c r="M2851" s="1495"/>
      <c r="N2851" s="49"/>
      <c r="O2851" s="644"/>
      <c r="P2851" s="644"/>
      <c r="Q2851" s="1176"/>
      <c r="R2851" s="644"/>
      <c r="S2851" s="48"/>
      <c r="T2851" s="1228"/>
      <c r="U2851" s="48"/>
      <c r="V2851" s="49"/>
    </row>
    <row r="2852" spans="7:22">
      <c r="G2852" s="48"/>
      <c r="H2852" s="48"/>
      <c r="I2852" s="1184"/>
      <c r="J2852" s="49"/>
      <c r="K2852" s="1495"/>
      <c r="L2852" s="49"/>
      <c r="M2852" s="1498"/>
      <c r="N2852" s="49"/>
      <c r="O2852" s="644"/>
      <c r="P2852" s="644"/>
      <c r="Q2852" s="1176"/>
      <c r="R2852" s="644"/>
      <c r="S2852" s="48"/>
      <c r="T2852" s="1228"/>
      <c r="U2852" s="48"/>
      <c r="V2852" s="49"/>
    </row>
    <row r="2853" spans="7:22">
      <c r="G2853" s="48"/>
      <c r="H2853" s="48"/>
      <c r="I2853" s="1184"/>
      <c r="J2853" s="49"/>
      <c r="K2853" s="1532"/>
      <c r="L2853" s="49"/>
      <c r="M2853" s="1498"/>
      <c r="N2853" s="49"/>
      <c r="O2853" s="644"/>
      <c r="P2853" s="644"/>
      <c r="Q2853" s="644"/>
      <c r="R2853" s="644"/>
      <c r="S2853" s="48"/>
      <c r="T2853" s="1228"/>
      <c r="U2853" s="48"/>
      <c r="V2853" s="49"/>
    </row>
    <row r="2854" spans="7:22">
      <c r="G2854" s="48"/>
      <c r="H2854" s="48"/>
      <c r="I2854" s="48"/>
      <c r="J2854" s="49"/>
      <c r="K2854" s="1495"/>
      <c r="L2854" s="49"/>
      <c r="M2854" s="1498"/>
      <c r="N2854" s="49"/>
      <c r="O2854" s="644"/>
      <c r="P2854" s="644"/>
      <c r="Q2854" s="644"/>
      <c r="R2854" s="644"/>
      <c r="S2854" s="48"/>
      <c r="T2854" s="1228"/>
      <c r="U2854" s="48"/>
      <c r="V2854" s="49"/>
    </row>
    <row r="2855" spans="7:22">
      <c r="G2855" s="48"/>
      <c r="H2855" s="48"/>
      <c r="I2855" s="48"/>
      <c r="J2855" s="49"/>
      <c r="K2855" s="1495"/>
      <c r="L2855" s="49"/>
      <c r="M2855" s="1498"/>
      <c r="N2855" s="49"/>
      <c r="O2855" s="644"/>
      <c r="P2855" s="644"/>
      <c r="Q2855" s="644"/>
      <c r="R2855" s="644"/>
      <c r="S2855" s="48"/>
      <c r="T2855" s="1228"/>
      <c r="U2855" s="48"/>
      <c r="V2855" s="49"/>
    </row>
    <row r="2856" spans="7:22">
      <c r="G2856" s="48"/>
      <c r="H2856" s="48"/>
      <c r="I2856" s="48"/>
      <c r="J2856" s="49"/>
      <c r="K2856" s="1498"/>
      <c r="L2856" s="49"/>
      <c r="M2856" s="1498"/>
      <c r="N2856" s="49"/>
      <c r="O2856" s="644"/>
      <c r="P2856" s="644"/>
      <c r="Q2856" s="644"/>
      <c r="R2856" s="644"/>
      <c r="S2856" s="48"/>
      <c r="T2856" s="1228"/>
      <c r="U2856" s="48"/>
      <c r="V2856" s="48"/>
    </row>
    <row r="2857" spans="7:22">
      <c r="G2857" s="48"/>
      <c r="H2857" s="48"/>
      <c r="I2857" s="48"/>
      <c r="J2857" s="49"/>
      <c r="K2857" s="49"/>
      <c r="L2857" s="49"/>
      <c r="M2857" s="1498"/>
      <c r="N2857" s="49"/>
      <c r="O2857" s="644"/>
      <c r="P2857" s="644"/>
      <c r="Q2857" s="644"/>
      <c r="R2857" s="644"/>
      <c r="S2857" s="48"/>
      <c r="T2857" s="1228"/>
      <c r="U2857" s="48"/>
      <c r="V2857" s="48"/>
    </row>
    <row r="2858" spans="7:22">
      <c r="G2858" s="48"/>
      <c r="H2858" s="48"/>
      <c r="I2858" s="48"/>
      <c r="J2858" s="954">
        <f>SUM(J2846:J2854)</f>
        <v>161700000</v>
      </c>
      <c r="K2858" s="954"/>
      <c r="L2858" s="954">
        <f>SUM(L2846:L2857)</f>
        <v>0</v>
      </c>
      <c r="M2858" s="1498"/>
      <c r="N2858" s="954">
        <f>SUM(N2846:N2857)</f>
        <v>160200000</v>
      </c>
      <c r="O2858" s="644"/>
      <c r="P2858" s="969">
        <f>SUM(P2846:P2852)</f>
        <v>3050000</v>
      </c>
      <c r="Q2858" s="969"/>
      <c r="R2858" s="969">
        <f>SUM(R2846:R2852)</f>
        <v>29000</v>
      </c>
      <c r="S2858" s="48"/>
      <c r="T2858" s="1178">
        <f>SUM(T2846:T2857)</f>
        <v>0</v>
      </c>
      <c r="U2858" s="48"/>
      <c r="V2858" s="878">
        <f>SUM(V2846:V2857)</f>
        <v>0</v>
      </c>
    </row>
    <row r="2859" spans="7:22">
      <c r="T2859" s="1227"/>
    </row>
    <row r="2860" spans="7:22">
      <c r="T2860" s="1227"/>
    </row>
    <row r="2861" spans="7:22">
      <c r="R2861" s="661"/>
      <c r="T2861" s="1227"/>
    </row>
    <row r="2862" spans="7:22">
      <c r="T2862" s="1227"/>
    </row>
    <row r="2863" spans="7:22">
      <c r="T2863" s="1227"/>
    </row>
    <row r="2864" spans="7:22">
      <c r="I2864" s="946"/>
      <c r="M2864" s="1533" t="s">
        <v>3699</v>
      </c>
      <c r="O2864" s="1535" t="s">
        <v>3741</v>
      </c>
      <c r="P2864" s="1512">
        <f>P2858-R2858</f>
        <v>3021000</v>
      </c>
      <c r="S2864" s="906" t="s">
        <v>4049</v>
      </c>
      <c r="T2864" s="1107">
        <f>T2858-V2858</f>
        <v>0</v>
      </c>
    </row>
    <row r="2865" spans="7:22">
      <c r="G2865" s="1574" t="s">
        <v>3530</v>
      </c>
      <c r="H2865" s="1574"/>
      <c r="I2865" s="1574"/>
      <c r="J2865" s="3">
        <f>J2858+L2858</f>
        <v>161700000</v>
      </c>
      <c r="K2865" s="1009"/>
      <c r="L2865" s="3"/>
      <c r="M2865" s="1533" t="s">
        <v>3664</v>
      </c>
      <c r="N2865" s="1527"/>
      <c r="O2865" s="1535" t="s">
        <v>4066</v>
      </c>
      <c r="P2865" s="1512"/>
      <c r="T2865" s="1227"/>
    </row>
    <row r="2866" spans="7:22">
      <c r="G2866" s="1574" t="s">
        <v>3512</v>
      </c>
      <c r="H2866" s="1574"/>
      <c r="I2866" s="1574"/>
      <c r="J2866" s="3">
        <f>N2858-J2865</f>
        <v>-1500000</v>
      </c>
      <c r="K2866" s="1009"/>
      <c r="L2866" s="3"/>
      <c r="M2866" s="1528"/>
      <c r="O2866" s="1529"/>
      <c r="Q2866" s="661"/>
      <c r="T2866" s="1227"/>
    </row>
    <row r="2867" spans="7:22">
      <c r="G2867" s="1574" t="s">
        <v>3531</v>
      </c>
      <c r="H2867" s="1574"/>
      <c r="I2867" s="1574"/>
      <c r="J2867" s="3">
        <f>T2864</f>
        <v>0</v>
      </c>
      <c r="Q2867" s="3"/>
      <c r="T2867" s="1227"/>
    </row>
    <row r="2868" spans="7:22">
      <c r="G2868" s="1564" t="s">
        <v>4067</v>
      </c>
      <c r="H2868" s="1564"/>
      <c r="I2868" s="1564"/>
      <c r="R2868" s="3"/>
      <c r="T2868" s="1227"/>
    </row>
    <row r="2872" spans="7:22">
      <c r="G2872" s="1008">
        <v>46017</v>
      </c>
      <c r="H2872" s="1169"/>
      <c r="I2872" s="1575" t="s">
        <v>3510</v>
      </c>
      <c r="J2872" s="1576"/>
      <c r="K2872" s="1575" t="s">
        <v>3509</v>
      </c>
      <c r="L2872" s="1576"/>
      <c r="M2872" s="1575" t="s">
        <v>3541</v>
      </c>
      <c r="N2872" s="1576"/>
      <c r="O2872" s="1577" t="s">
        <v>3598</v>
      </c>
      <c r="P2872" s="1578"/>
      <c r="Q2872" s="1579" t="s">
        <v>3599</v>
      </c>
      <c r="R2872" s="1580"/>
      <c r="S2872" s="1583" t="s">
        <v>3953</v>
      </c>
      <c r="T2872" s="1583"/>
      <c r="U2872" s="1583" t="s">
        <v>3954</v>
      </c>
      <c r="V2872" s="1583"/>
    </row>
    <row r="2873" spans="7:22">
      <c r="G2873" s="1097"/>
      <c r="H2873" s="1170"/>
      <c r="I2873" s="1230"/>
      <c r="J2873" s="49">
        <v>237500000</v>
      </c>
      <c r="K2873" s="1495" t="s">
        <v>3952</v>
      </c>
      <c r="L2873" s="49">
        <v>4800000</v>
      </c>
      <c r="M2873" s="1495" t="s">
        <v>3955</v>
      </c>
      <c r="N2873" s="49">
        <v>300000000</v>
      </c>
      <c r="O2873" s="1383" t="s">
        <v>4361</v>
      </c>
      <c r="P2873" s="644">
        <v>6000000</v>
      </c>
      <c r="Q2873" s="1231" t="s">
        <v>4286</v>
      </c>
      <c r="R2873" s="644">
        <v>100000</v>
      </c>
      <c r="S2873" s="1223"/>
      <c r="T2873" s="1191"/>
      <c r="U2873" s="1232" t="s">
        <v>4223</v>
      </c>
      <c r="V2873" s="48">
        <v>400</v>
      </c>
    </row>
    <row r="2874" spans="7:22">
      <c r="G2874" s="1098"/>
      <c r="H2874" s="1172"/>
      <c r="I2874" s="1232" t="s">
        <v>4358</v>
      </c>
      <c r="J2874" s="49">
        <v>43000000</v>
      </c>
      <c r="K2874" s="1495"/>
      <c r="L2874" s="49"/>
      <c r="M2874" s="1495"/>
      <c r="N2874" s="49"/>
      <c r="O2874" s="1383"/>
      <c r="P2874" s="644"/>
      <c r="Q2874" s="1231" t="s">
        <v>4362</v>
      </c>
      <c r="R2874" s="644">
        <v>150000</v>
      </c>
      <c r="S2874" s="1223"/>
      <c r="T2874" s="1191"/>
      <c r="U2874" s="48"/>
      <c r="V2874" s="49"/>
    </row>
    <row r="2875" spans="7:22">
      <c r="G2875" s="48"/>
      <c r="H2875" s="48"/>
      <c r="I2875" s="1239"/>
      <c r="J2875" s="49"/>
      <c r="K2875" s="1495"/>
      <c r="L2875" s="49"/>
      <c r="M2875" s="1493"/>
      <c r="N2875" s="49"/>
      <c r="O2875" s="1383"/>
      <c r="P2875" s="644"/>
      <c r="Q2875" s="1231" t="s">
        <v>4363</v>
      </c>
      <c r="R2875" s="644">
        <v>1500000</v>
      </c>
      <c r="S2875" s="1215"/>
      <c r="T2875" s="1191"/>
      <c r="U2875" s="1078"/>
      <c r="V2875" s="49"/>
    </row>
    <row r="2876" spans="7:22">
      <c r="G2876" s="48"/>
      <c r="H2876" s="48"/>
      <c r="I2876" s="1197"/>
      <c r="J2876" s="49"/>
      <c r="K2876" s="1495"/>
      <c r="L2876" s="49"/>
      <c r="M2876" s="1493"/>
      <c r="N2876" s="49"/>
      <c r="O2876" s="644"/>
      <c r="P2876" s="644"/>
      <c r="Q2876" s="1192"/>
      <c r="R2876" s="644"/>
      <c r="S2876" s="48"/>
      <c r="T2876" s="1228"/>
      <c r="U2876" s="48"/>
      <c r="V2876" s="49"/>
    </row>
    <row r="2877" spans="7:22">
      <c r="G2877" s="48"/>
      <c r="H2877" s="48"/>
      <c r="I2877" s="1200"/>
      <c r="J2877" s="49"/>
      <c r="K2877" s="1495"/>
      <c r="L2877" s="49"/>
      <c r="M2877" s="1493"/>
      <c r="N2877" s="49"/>
      <c r="O2877" s="644"/>
      <c r="P2877" s="644"/>
      <c r="Q2877" s="1186"/>
      <c r="R2877" s="644"/>
      <c r="S2877" s="48"/>
      <c r="T2877" s="1228"/>
      <c r="U2877" s="48"/>
      <c r="V2877" s="49"/>
    </row>
    <row r="2878" spans="7:22">
      <c r="G2878" s="48"/>
      <c r="H2878" s="48"/>
      <c r="I2878" s="1200"/>
      <c r="J2878" s="49"/>
      <c r="K2878" s="1495"/>
      <c r="L2878" s="49"/>
      <c r="M2878" s="1495"/>
      <c r="N2878" s="49"/>
      <c r="O2878" s="644"/>
      <c r="P2878" s="644"/>
      <c r="Q2878" s="1176"/>
      <c r="R2878" s="644"/>
      <c r="S2878" s="48"/>
      <c r="T2878" s="1228"/>
      <c r="U2878" s="48"/>
      <c r="V2878" s="49"/>
    </row>
    <row r="2879" spans="7:22">
      <c r="G2879" s="48"/>
      <c r="H2879" s="48"/>
      <c r="I2879" s="1184"/>
      <c r="J2879" s="49"/>
      <c r="K2879" s="1495"/>
      <c r="L2879" s="49"/>
      <c r="M2879" s="1498"/>
      <c r="N2879" s="49"/>
      <c r="O2879" s="644"/>
      <c r="P2879" s="644"/>
      <c r="Q2879" s="1176"/>
      <c r="R2879" s="644"/>
      <c r="S2879" s="48"/>
      <c r="T2879" s="1228"/>
      <c r="U2879" s="48"/>
      <c r="V2879" s="49"/>
    </row>
    <row r="2880" spans="7:22">
      <c r="G2880" s="48"/>
      <c r="H2880" s="48"/>
      <c r="I2880" s="1184"/>
      <c r="J2880" s="49"/>
      <c r="K2880" s="1532"/>
      <c r="L2880" s="49"/>
      <c r="M2880" s="1498"/>
      <c r="N2880" s="49"/>
      <c r="O2880" s="644"/>
      <c r="P2880" s="644"/>
      <c r="Q2880" s="644"/>
      <c r="R2880" s="644"/>
      <c r="S2880" s="48"/>
      <c r="T2880" s="1228"/>
      <c r="U2880" s="48"/>
      <c r="V2880" s="49"/>
    </row>
    <row r="2881" spans="7:22">
      <c r="G2881" s="48"/>
      <c r="H2881" s="48"/>
      <c r="I2881" s="48"/>
      <c r="J2881" s="49"/>
      <c r="K2881" s="1495"/>
      <c r="L2881" s="49"/>
      <c r="M2881" s="1498"/>
      <c r="N2881" s="49"/>
      <c r="O2881" s="644"/>
      <c r="P2881" s="644"/>
      <c r="Q2881" s="644"/>
      <c r="R2881" s="644"/>
      <c r="S2881" s="48"/>
      <c r="T2881" s="1228"/>
      <c r="U2881" s="48"/>
      <c r="V2881" s="49"/>
    </row>
    <row r="2882" spans="7:22">
      <c r="G2882" s="48"/>
      <c r="H2882" s="48"/>
      <c r="I2882" s="48"/>
      <c r="J2882" s="49"/>
      <c r="K2882" s="1495"/>
      <c r="L2882" s="49"/>
      <c r="M2882" s="1498"/>
      <c r="N2882" s="49"/>
      <c r="O2882" s="644"/>
      <c r="P2882" s="644"/>
      <c r="Q2882" s="644"/>
      <c r="R2882" s="644"/>
      <c r="S2882" s="48"/>
      <c r="T2882" s="1228"/>
      <c r="U2882" s="48"/>
      <c r="V2882" s="49"/>
    </row>
    <row r="2883" spans="7:22">
      <c r="G2883" s="48"/>
      <c r="H2883" s="48"/>
      <c r="I2883" s="48"/>
      <c r="J2883" s="49"/>
      <c r="K2883" s="1498"/>
      <c r="L2883" s="49"/>
      <c r="M2883" s="1498"/>
      <c r="N2883" s="49"/>
      <c r="O2883" s="644"/>
      <c r="P2883" s="644"/>
      <c r="Q2883" s="644"/>
      <c r="R2883" s="644"/>
      <c r="S2883" s="48"/>
      <c r="T2883" s="1228"/>
      <c r="U2883" s="48"/>
      <c r="V2883" s="48"/>
    </row>
    <row r="2884" spans="7:22">
      <c r="G2884" s="48"/>
      <c r="H2884" s="48"/>
      <c r="I2884" s="48"/>
      <c r="J2884" s="49"/>
      <c r="K2884" s="49"/>
      <c r="L2884" s="49"/>
      <c r="M2884" s="1498"/>
      <c r="N2884" s="49"/>
      <c r="O2884" s="644"/>
      <c r="P2884" s="644"/>
      <c r="Q2884" s="644"/>
      <c r="R2884" s="644"/>
      <c r="S2884" s="48"/>
      <c r="T2884" s="1228"/>
      <c r="U2884" s="48"/>
      <c r="V2884" s="48"/>
    </row>
    <row r="2885" spans="7:22">
      <c r="G2885" s="48"/>
      <c r="H2885" s="48"/>
      <c r="I2885" s="48"/>
      <c r="J2885" s="954">
        <f>SUM(J2873:J2881)</f>
        <v>280500000</v>
      </c>
      <c r="K2885" s="954"/>
      <c r="L2885" s="954">
        <f>SUM(L2873:L2884)</f>
        <v>4800000</v>
      </c>
      <c r="M2885" s="1498"/>
      <c r="N2885" s="954">
        <f>SUM(N2873:N2884)</f>
        <v>300000000</v>
      </c>
      <c r="O2885" s="644"/>
      <c r="P2885" s="969">
        <f>SUM(P2873:P2879)</f>
        <v>6000000</v>
      </c>
      <c r="Q2885" s="969"/>
      <c r="R2885" s="969">
        <f>SUM(R2873:R2879)</f>
        <v>1750000</v>
      </c>
      <c r="S2885" s="48"/>
      <c r="T2885" s="1178">
        <f>SUM(T2873:T2884)</f>
        <v>0</v>
      </c>
      <c r="U2885" s="48"/>
      <c r="V2885" s="878">
        <f>SUM(V2873:V2884)</f>
        <v>400</v>
      </c>
    </row>
    <row r="2886" spans="7:22">
      <c r="T2886" s="1227"/>
    </row>
    <row r="2887" spans="7:22">
      <c r="T2887" s="1227"/>
    </row>
    <row r="2888" spans="7:22">
      <c r="R2888" s="661"/>
      <c r="T2888" s="1227"/>
    </row>
    <row r="2889" spans="7:22">
      <c r="T2889" s="1227"/>
    </row>
    <row r="2890" spans="7:22">
      <c r="T2890" s="1227"/>
    </row>
    <row r="2891" spans="7:22">
      <c r="I2891" s="946"/>
      <c r="M2891" s="1533" t="s">
        <v>3699</v>
      </c>
      <c r="O2891" s="1535" t="s">
        <v>3741</v>
      </c>
      <c r="P2891" s="1512">
        <f>P2885-R2885</f>
        <v>4250000</v>
      </c>
      <c r="S2891" s="906" t="s">
        <v>4049</v>
      </c>
      <c r="T2891" s="1107">
        <f>T2885-V2885</f>
        <v>-400</v>
      </c>
    </row>
    <row r="2892" spans="7:22">
      <c r="G2892" s="1574" t="s">
        <v>3530</v>
      </c>
      <c r="H2892" s="1574"/>
      <c r="I2892" s="1574"/>
      <c r="J2892" s="3">
        <f>J2885+L2885</f>
        <v>285300000</v>
      </c>
      <c r="K2892" s="1009"/>
      <c r="L2892" s="3"/>
      <c r="M2892" s="1533" t="s">
        <v>3664</v>
      </c>
      <c r="N2892" s="1527"/>
      <c r="O2892" s="1535" t="s">
        <v>4066</v>
      </c>
      <c r="P2892" s="1512"/>
      <c r="T2892" s="1227"/>
    </row>
    <row r="2893" spans="7:22">
      <c r="G2893" s="1574" t="s">
        <v>3512</v>
      </c>
      <c r="H2893" s="1574"/>
      <c r="I2893" s="1574"/>
      <c r="J2893" s="3">
        <f>N2885-J2892</f>
        <v>14700000</v>
      </c>
      <c r="K2893" s="1009"/>
      <c r="L2893" s="3"/>
      <c r="M2893" s="1528"/>
      <c r="O2893" s="1529"/>
      <c r="Q2893" s="661"/>
      <c r="T2893" s="1227"/>
    </row>
    <row r="2894" spans="7:22">
      <c r="G2894" s="1574" t="s">
        <v>3531</v>
      </c>
      <c r="H2894" s="1574"/>
      <c r="I2894" s="1574"/>
      <c r="J2894" s="3">
        <f>T2891</f>
        <v>-400</v>
      </c>
      <c r="Q2894" s="3"/>
      <c r="T2894" s="1227"/>
    </row>
    <row r="2895" spans="7:22">
      <c r="G2895" s="1564" t="s">
        <v>4067</v>
      </c>
      <c r="H2895" s="1564"/>
      <c r="I2895" s="1564"/>
      <c r="R2895" s="3"/>
      <c r="T2895" s="1227"/>
    </row>
    <row r="2900" spans="7:22">
      <c r="G2900" s="1008">
        <v>46018</v>
      </c>
      <c r="H2900" s="1169"/>
      <c r="I2900" s="1575" t="s">
        <v>3510</v>
      </c>
      <c r="J2900" s="1576"/>
      <c r="K2900" s="1575" t="s">
        <v>3509</v>
      </c>
      <c r="L2900" s="1576"/>
      <c r="M2900" s="1575" t="s">
        <v>3541</v>
      </c>
      <c r="N2900" s="1576"/>
      <c r="O2900" s="1577" t="s">
        <v>3598</v>
      </c>
      <c r="P2900" s="1578"/>
      <c r="Q2900" s="1579" t="s">
        <v>3599</v>
      </c>
      <c r="R2900" s="1580"/>
      <c r="S2900" s="1583" t="s">
        <v>3953</v>
      </c>
      <c r="T2900" s="1583"/>
      <c r="U2900" s="1583" t="s">
        <v>3954</v>
      </c>
      <c r="V2900" s="1583"/>
    </row>
    <row r="2901" spans="7:22">
      <c r="G2901" s="1097"/>
      <c r="H2901" s="1170"/>
      <c r="I2901" s="1230"/>
      <c r="J2901" s="49"/>
      <c r="K2901" s="1495"/>
      <c r="L2901" s="49"/>
      <c r="M2901" s="1495"/>
      <c r="N2901" s="49"/>
      <c r="O2901" s="1383" t="s">
        <v>4295</v>
      </c>
      <c r="P2901" s="644">
        <v>4250000</v>
      </c>
      <c r="Q2901" s="1231" t="s">
        <v>3875</v>
      </c>
      <c r="R2901" s="644">
        <v>2000000</v>
      </c>
      <c r="S2901" s="1223"/>
      <c r="T2901" s="1191"/>
      <c r="U2901" s="1232"/>
      <c r="V2901" s="48"/>
    </row>
    <row r="2902" spans="7:22">
      <c r="G2902" s="1098"/>
      <c r="H2902" s="1172"/>
      <c r="I2902" s="1232"/>
      <c r="J2902" s="49"/>
      <c r="K2902" s="1495"/>
      <c r="L2902" s="49"/>
      <c r="M2902" s="1495"/>
      <c r="N2902" s="49"/>
      <c r="O2902" s="1383" t="s">
        <v>4364</v>
      </c>
      <c r="P2902" s="644">
        <v>5900000</v>
      </c>
      <c r="Q2902" s="1231"/>
      <c r="R2902" s="644"/>
      <c r="S2902" s="1223"/>
      <c r="T2902" s="1191"/>
      <c r="U2902" s="48"/>
      <c r="V2902" s="49"/>
    </row>
    <row r="2903" spans="7:22">
      <c r="G2903" s="48"/>
      <c r="H2903" s="48"/>
      <c r="I2903" s="1239"/>
      <c r="J2903" s="49"/>
      <c r="K2903" s="1495"/>
      <c r="L2903" s="49"/>
      <c r="M2903" s="1493"/>
      <c r="N2903" s="49"/>
      <c r="O2903" s="1383"/>
      <c r="P2903" s="644"/>
      <c r="Q2903" s="1221"/>
      <c r="R2903" s="644"/>
      <c r="S2903" s="1215"/>
      <c r="T2903" s="1191"/>
      <c r="U2903" s="1078"/>
      <c r="V2903" s="49"/>
    </row>
    <row r="2904" spans="7:22">
      <c r="G2904" s="48"/>
      <c r="H2904" s="48"/>
      <c r="I2904" s="1197"/>
      <c r="J2904" s="49"/>
      <c r="K2904" s="1495"/>
      <c r="L2904" s="49"/>
      <c r="M2904" s="1493"/>
      <c r="N2904" s="49"/>
      <c r="O2904" s="644"/>
      <c r="P2904" s="644"/>
      <c r="Q2904" s="1192"/>
      <c r="R2904" s="644"/>
      <c r="S2904" s="48"/>
      <c r="T2904" s="1228"/>
      <c r="U2904" s="48"/>
      <c r="V2904" s="49"/>
    </row>
    <row r="2905" spans="7:22">
      <c r="G2905" s="48"/>
      <c r="H2905" s="48"/>
      <c r="I2905" s="1200"/>
      <c r="J2905" s="49"/>
      <c r="K2905" s="1495"/>
      <c r="L2905" s="49"/>
      <c r="M2905" s="1493"/>
      <c r="N2905" s="49"/>
      <c r="O2905" s="644"/>
      <c r="P2905" s="644"/>
      <c r="Q2905" s="1186"/>
      <c r="R2905" s="644"/>
      <c r="S2905" s="48"/>
      <c r="T2905" s="1228"/>
      <c r="U2905" s="48"/>
      <c r="V2905" s="49"/>
    </row>
    <row r="2906" spans="7:22">
      <c r="G2906" s="48"/>
      <c r="H2906" s="48"/>
      <c r="I2906" s="1200"/>
      <c r="J2906" s="49"/>
      <c r="K2906" s="1495"/>
      <c r="L2906" s="49"/>
      <c r="M2906" s="1495"/>
      <c r="N2906" s="49"/>
      <c r="O2906" s="644"/>
      <c r="P2906" s="644"/>
      <c r="Q2906" s="1176"/>
      <c r="R2906" s="644"/>
      <c r="S2906" s="48"/>
      <c r="T2906" s="1228"/>
      <c r="U2906" s="48"/>
      <c r="V2906" s="49"/>
    </row>
    <row r="2907" spans="7:22">
      <c r="G2907" s="48"/>
      <c r="H2907" s="48"/>
      <c r="I2907" s="1184"/>
      <c r="J2907" s="49"/>
      <c r="K2907" s="1495"/>
      <c r="L2907" s="49"/>
      <c r="M2907" s="1498"/>
      <c r="N2907" s="49"/>
      <c r="O2907" s="644"/>
      <c r="P2907" s="644"/>
      <c r="Q2907" s="1176"/>
      <c r="R2907" s="644"/>
      <c r="S2907" s="48"/>
      <c r="T2907" s="1228"/>
      <c r="U2907" s="48"/>
      <c r="V2907" s="49"/>
    </row>
    <row r="2908" spans="7:22">
      <c r="G2908" s="48"/>
      <c r="H2908" s="48"/>
      <c r="I2908" s="1184"/>
      <c r="J2908" s="49"/>
      <c r="K2908" s="1532"/>
      <c r="L2908" s="49"/>
      <c r="M2908" s="1498"/>
      <c r="N2908" s="49"/>
      <c r="O2908" s="644"/>
      <c r="P2908" s="644"/>
      <c r="Q2908" s="644"/>
      <c r="R2908" s="644"/>
      <c r="S2908" s="48"/>
      <c r="T2908" s="1228"/>
      <c r="U2908" s="48"/>
      <c r="V2908" s="49"/>
    </row>
    <row r="2909" spans="7:22">
      <c r="G2909" s="48"/>
      <c r="H2909" s="48"/>
      <c r="I2909" s="48"/>
      <c r="J2909" s="49"/>
      <c r="K2909" s="1495"/>
      <c r="L2909" s="49"/>
      <c r="M2909" s="1498"/>
      <c r="N2909" s="49"/>
      <c r="O2909" s="644"/>
      <c r="P2909" s="644"/>
      <c r="Q2909" s="644"/>
      <c r="R2909" s="644"/>
      <c r="S2909" s="48"/>
      <c r="T2909" s="1228"/>
      <c r="U2909" s="48"/>
      <c r="V2909" s="49"/>
    </row>
    <row r="2910" spans="7:22">
      <c r="G2910" s="48"/>
      <c r="H2910" s="48"/>
      <c r="I2910" s="48"/>
      <c r="J2910" s="49"/>
      <c r="K2910" s="1495"/>
      <c r="L2910" s="49"/>
      <c r="M2910" s="1498"/>
      <c r="N2910" s="49"/>
      <c r="O2910" s="644"/>
      <c r="P2910" s="644"/>
      <c r="Q2910" s="644"/>
      <c r="R2910" s="644"/>
      <c r="S2910" s="48"/>
      <c r="T2910" s="1228"/>
      <c r="U2910" s="48"/>
      <c r="V2910" s="49"/>
    </row>
    <row r="2911" spans="7:22">
      <c r="G2911" s="48"/>
      <c r="H2911" s="48"/>
      <c r="I2911" s="48"/>
      <c r="J2911" s="49"/>
      <c r="K2911" s="1498"/>
      <c r="L2911" s="49"/>
      <c r="M2911" s="1498"/>
      <c r="N2911" s="49"/>
      <c r="O2911" s="644"/>
      <c r="P2911" s="644"/>
      <c r="Q2911" s="644"/>
      <c r="R2911" s="644"/>
      <c r="S2911" s="48"/>
      <c r="T2911" s="1228"/>
      <c r="U2911" s="48"/>
      <c r="V2911" s="48"/>
    </row>
    <row r="2912" spans="7:22">
      <c r="G2912" s="48"/>
      <c r="H2912" s="48"/>
      <c r="I2912" s="48"/>
      <c r="J2912" s="49"/>
      <c r="K2912" s="49"/>
      <c r="L2912" s="49"/>
      <c r="M2912" s="1498"/>
      <c r="N2912" s="49"/>
      <c r="O2912" s="644"/>
      <c r="P2912" s="644"/>
      <c r="Q2912" s="644"/>
      <c r="R2912" s="644"/>
      <c r="S2912" s="48"/>
      <c r="T2912" s="1228"/>
      <c r="U2912" s="48"/>
      <c r="V2912" s="48"/>
    </row>
    <row r="2913" spans="7:22">
      <c r="G2913" s="48"/>
      <c r="H2913" s="48"/>
      <c r="I2913" s="48"/>
      <c r="J2913" s="954">
        <f>SUM(J2901:J2909)</f>
        <v>0</v>
      </c>
      <c r="K2913" s="954"/>
      <c r="L2913" s="954">
        <f>SUM(L2901:L2912)</f>
        <v>0</v>
      </c>
      <c r="M2913" s="1498"/>
      <c r="N2913" s="954">
        <f>SUM(N2901:N2912)</f>
        <v>0</v>
      </c>
      <c r="O2913" s="644"/>
      <c r="P2913" s="969">
        <f>SUM(P2901:P2907)</f>
        <v>10150000</v>
      </c>
      <c r="Q2913" s="969"/>
      <c r="R2913" s="969">
        <f>SUM(R2901:R2907)</f>
        <v>2000000</v>
      </c>
      <c r="S2913" s="48"/>
      <c r="T2913" s="1178">
        <f>SUM(T2901:T2912)</f>
        <v>0</v>
      </c>
      <c r="U2913" s="48"/>
      <c r="V2913" s="878">
        <f>SUM(V2901:V2912)</f>
        <v>0</v>
      </c>
    </row>
    <row r="2914" spans="7:22">
      <c r="T2914" s="1227"/>
    </row>
    <row r="2915" spans="7:22">
      <c r="T2915" s="1227"/>
    </row>
    <row r="2916" spans="7:22">
      <c r="R2916" s="661"/>
      <c r="T2916" s="1227"/>
    </row>
    <row r="2917" spans="7:22">
      <c r="T2917" s="1227"/>
    </row>
    <row r="2918" spans="7:22">
      <c r="T2918" s="1227"/>
    </row>
    <row r="2919" spans="7:22">
      <c r="I2919" s="946"/>
      <c r="M2919" s="1533" t="s">
        <v>3699</v>
      </c>
      <c r="O2919" s="1535" t="s">
        <v>3741</v>
      </c>
      <c r="P2919" s="1512">
        <f>P2913-R2913</f>
        <v>8150000</v>
      </c>
      <c r="S2919" s="906" t="s">
        <v>4049</v>
      </c>
      <c r="T2919" s="1107">
        <f>T2913-V2913</f>
        <v>0</v>
      </c>
    </row>
    <row r="2920" spans="7:22">
      <c r="G2920" s="1574" t="s">
        <v>3530</v>
      </c>
      <c r="H2920" s="1574"/>
      <c r="I2920" s="1574"/>
      <c r="J2920" s="3">
        <f>J2913+L2913</f>
        <v>0</v>
      </c>
      <c r="K2920" s="1009"/>
      <c r="L2920" s="3"/>
      <c r="M2920" s="1533" t="s">
        <v>3664</v>
      </c>
      <c r="N2920" s="1527"/>
      <c r="O2920" s="1535" t="s">
        <v>4066</v>
      </c>
      <c r="P2920" s="1512"/>
      <c r="T2920" s="1227"/>
    </row>
    <row r="2921" spans="7:22">
      <c r="G2921" s="1574" t="s">
        <v>3512</v>
      </c>
      <c r="H2921" s="1574"/>
      <c r="I2921" s="1574"/>
      <c r="J2921" s="3">
        <f>N2913-J2920</f>
        <v>0</v>
      </c>
      <c r="K2921" s="1009"/>
      <c r="L2921" s="3"/>
      <c r="M2921" s="1528"/>
      <c r="O2921" s="1529"/>
      <c r="Q2921" s="661"/>
      <c r="T2921" s="1227"/>
    </row>
    <row r="2922" spans="7:22">
      <c r="G2922" s="1574" t="s">
        <v>3531</v>
      </c>
      <c r="H2922" s="1574"/>
      <c r="I2922" s="1574"/>
      <c r="J2922" s="3">
        <f>T2919</f>
        <v>0</v>
      </c>
      <c r="Q2922" s="3"/>
      <c r="T2922" s="1227"/>
    </row>
    <row r="2923" spans="7:22">
      <c r="G2923" s="1564" t="s">
        <v>4067</v>
      </c>
      <c r="H2923" s="1564"/>
      <c r="I2923" s="1564"/>
      <c r="R2923" s="3"/>
      <c r="T2923" s="1227"/>
    </row>
    <row r="2924" spans="7:22">
      <c r="P2924" s="3"/>
    </row>
    <row r="2925" spans="7:22">
      <c r="P2925" s="3"/>
    </row>
    <row r="2926" spans="7:22">
      <c r="P2926" s="1527">
        <v>9700000</v>
      </c>
    </row>
    <row r="2927" spans="7:22">
      <c r="P2927" s="1527">
        <v>5900000</v>
      </c>
    </row>
    <row r="2928" spans="7:22">
      <c r="P2928" s="1527">
        <f>P2926-P2927</f>
        <v>3800000</v>
      </c>
    </row>
    <row r="2929" spans="7:22">
      <c r="P2929" s="1527">
        <v>2400000</v>
      </c>
    </row>
    <row r="2930" spans="7:22">
      <c r="P2930" s="1527">
        <f>P2928-P2929</f>
        <v>1400000</v>
      </c>
    </row>
    <row r="2931" spans="7:22">
      <c r="P2931" s="1527">
        <v>890000</v>
      </c>
    </row>
    <row r="2932" spans="7:22">
      <c r="P2932" s="1527">
        <f>P2930-P2931</f>
        <v>510000</v>
      </c>
    </row>
    <row r="2933" spans="7:22">
      <c r="G2933" s="1008">
        <v>46019</v>
      </c>
      <c r="H2933" s="1169"/>
      <c r="I2933" s="1575" t="s">
        <v>3510</v>
      </c>
      <c r="J2933" s="1576"/>
      <c r="K2933" s="1575" t="s">
        <v>3509</v>
      </c>
      <c r="L2933" s="1576"/>
      <c r="M2933" s="1575" t="s">
        <v>3541</v>
      </c>
      <c r="N2933" s="1576"/>
      <c r="O2933" s="1577" t="s">
        <v>3598</v>
      </c>
      <c r="P2933" s="1578"/>
      <c r="Q2933" s="1579" t="s">
        <v>3599</v>
      </c>
      <c r="R2933" s="1580"/>
      <c r="S2933" s="1583" t="s">
        <v>3953</v>
      </c>
      <c r="T2933" s="1583"/>
      <c r="U2933" s="1583" t="s">
        <v>3954</v>
      </c>
      <c r="V2933" s="1583"/>
    </row>
    <row r="2934" spans="7:22">
      <c r="G2934" s="1097"/>
      <c r="H2934" s="1170"/>
      <c r="I2934" s="1230"/>
      <c r="J2934" s="49"/>
      <c r="K2934" s="1495"/>
      <c r="L2934" s="49"/>
      <c r="M2934" s="1495"/>
      <c r="N2934" s="49"/>
      <c r="O2934" s="1383" t="s">
        <v>3955</v>
      </c>
      <c r="P2934" s="644">
        <v>6236000</v>
      </c>
      <c r="Q2934" s="1231" t="s">
        <v>4365</v>
      </c>
      <c r="R2934" s="644">
        <v>900000</v>
      </c>
      <c r="S2934" s="1223"/>
      <c r="T2934" s="1191"/>
      <c r="U2934" s="1232"/>
      <c r="V2934" s="48"/>
    </row>
    <row r="2935" spans="7:22">
      <c r="G2935" s="1098"/>
      <c r="H2935" s="1172"/>
      <c r="I2935" s="1232"/>
      <c r="J2935" s="49"/>
      <c r="K2935" s="1495"/>
      <c r="L2935" s="49"/>
      <c r="M2935" s="1495"/>
      <c r="N2935" s="49">
        <v>1770000</v>
      </c>
      <c r="O2935" s="1383"/>
      <c r="P2935" s="644">
        <v>200000</v>
      </c>
      <c r="Q2935" s="1231" t="s">
        <v>4366</v>
      </c>
      <c r="R2935" s="644">
        <v>1500000</v>
      </c>
      <c r="S2935" s="1223"/>
      <c r="T2935" s="1191"/>
      <c r="U2935" s="48"/>
      <c r="V2935" s="49"/>
    </row>
    <row r="2936" spans="7:22">
      <c r="G2936" s="48"/>
      <c r="H2936" s="48"/>
      <c r="I2936" s="1239"/>
      <c r="J2936" s="49"/>
      <c r="K2936" s="1495"/>
      <c r="L2936" s="49"/>
      <c r="M2936" s="1493"/>
      <c r="N2936" s="49"/>
      <c r="O2936" s="1383"/>
      <c r="P2936" s="644"/>
      <c r="Q2936" s="1231" t="s">
        <v>4286</v>
      </c>
      <c r="R2936" s="644">
        <v>200000</v>
      </c>
      <c r="S2936" s="1215"/>
      <c r="T2936" s="1191"/>
      <c r="U2936" s="1078"/>
      <c r="V2936" s="49"/>
    </row>
    <row r="2937" spans="7:22">
      <c r="G2937" s="48"/>
      <c r="H2937" s="48"/>
      <c r="I2937" s="1197"/>
      <c r="J2937" s="49"/>
      <c r="K2937" s="1495"/>
      <c r="L2937" s="49"/>
      <c r="M2937" s="1493"/>
      <c r="N2937" s="49"/>
      <c r="O2937" s="644"/>
      <c r="P2937" s="644"/>
      <c r="Q2937" s="1231" t="s">
        <v>4367</v>
      </c>
      <c r="R2937" s="644">
        <v>880000</v>
      </c>
      <c r="S2937" s="48"/>
      <c r="T2937" s="1228"/>
      <c r="U2937" s="48"/>
      <c r="V2937" s="49"/>
    </row>
    <row r="2938" spans="7:22">
      <c r="G2938" s="48"/>
      <c r="H2938" s="48"/>
      <c r="I2938" s="1200"/>
      <c r="J2938" s="49"/>
      <c r="K2938" s="1495"/>
      <c r="L2938" s="49"/>
      <c r="M2938" s="1493"/>
      <c r="N2938" s="49"/>
      <c r="O2938" s="644"/>
      <c r="P2938" s="644"/>
      <c r="Q2938" s="1231" t="s">
        <v>4367</v>
      </c>
      <c r="R2938" s="644">
        <v>890000</v>
      </c>
      <c r="S2938" s="48"/>
      <c r="T2938" s="1228"/>
      <c r="U2938" s="48"/>
      <c r="V2938" s="49"/>
    </row>
    <row r="2939" spans="7:22">
      <c r="G2939" s="48"/>
      <c r="H2939" s="48"/>
      <c r="I2939" s="1200"/>
      <c r="J2939" s="49"/>
      <c r="K2939" s="1495"/>
      <c r="L2939" s="49"/>
      <c r="M2939" s="1495"/>
      <c r="N2939" s="49"/>
      <c r="O2939" s="644"/>
      <c r="P2939" s="644"/>
      <c r="Q2939" s="1243" t="s">
        <v>4368</v>
      </c>
      <c r="R2939" s="644">
        <v>120000</v>
      </c>
      <c r="S2939" s="48"/>
      <c r="T2939" s="1228"/>
      <c r="U2939" s="48"/>
      <c r="V2939" s="49"/>
    </row>
    <row r="2940" spans="7:22">
      <c r="G2940" s="48"/>
      <c r="H2940" s="48"/>
      <c r="I2940" s="1184"/>
      <c r="J2940" s="49"/>
      <c r="K2940" s="1495"/>
      <c r="L2940" s="49"/>
      <c r="M2940" s="1498"/>
      <c r="N2940" s="49"/>
      <c r="O2940" s="644"/>
      <c r="P2940" s="644"/>
      <c r="Q2940" s="1176"/>
      <c r="R2940" s="644"/>
      <c r="S2940" s="48"/>
      <c r="T2940" s="1228"/>
      <c r="U2940" s="48"/>
      <c r="V2940" s="49"/>
    </row>
    <row r="2941" spans="7:22">
      <c r="G2941" s="48"/>
      <c r="H2941" s="48"/>
      <c r="I2941" s="1184"/>
      <c r="J2941" s="49"/>
      <c r="K2941" s="1532"/>
      <c r="L2941" s="49"/>
      <c r="M2941" s="1498"/>
      <c r="N2941" s="49"/>
      <c r="O2941" s="644"/>
      <c r="P2941" s="644"/>
      <c r="Q2941" s="644"/>
      <c r="R2941" s="644"/>
      <c r="S2941" s="48"/>
      <c r="T2941" s="1228"/>
      <c r="U2941" s="48"/>
      <c r="V2941" s="49"/>
    </row>
    <row r="2942" spans="7:22">
      <c r="G2942" s="48"/>
      <c r="H2942" s="48"/>
      <c r="I2942" s="48"/>
      <c r="J2942" s="49"/>
      <c r="K2942" s="1495"/>
      <c r="L2942" s="49"/>
      <c r="M2942" s="1498"/>
      <c r="N2942" s="49"/>
      <c r="O2942" s="644"/>
      <c r="P2942" s="644"/>
      <c r="Q2942" s="644"/>
      <c r="R2942" s="644"/>
      <c r="S2942" s="48"/>
      <c r="T2942" s="1228"/>
      <c r="U2942" s="48"/>
      <c r="V2942" s="49"/>
    </row>
    <row r="2943" spans="7:22">
      <c r="G2943" s="48"/>
      <c r="H2943" s="48"/>
      <c r="I2943" s="48"/>
      <c r="J2943" s="49"/>
      <c r="K2943" s="1495"/>
      <c r="L2943" s="49"/>
      <c r="M2943" s="1498"/>
      <c r="N2943" s="49"/>
      <c r="O2943" s="644"/>
      <c r="P2943" s="644"/>
      <c r="Q2943" s="644"/>
      <c r="R2943" s="644"/>
      <c r="S2943" s="48"/>
      <c r="T2943" s="1228"/>
      <c r="U2943" s="48"/>
      <c r="V2943" s="49"/>
    </row>
    <row r="2944" spans="7:22">
      <c r="G2944" s="48"/>
      <c r="H2944" s="48"/>
      <c r="I2944" s="48"/>
      <c r="J2944" s="49"/>
      <c r="K2944" s="1498"/>
      <c r="L2944" s="49"/>
      <c r="M2944" s="1498"/>
      <c r="N2944" s="49"/>
      <c r="O2944" s="644"/>
      <c r="P2944" s="644"/>
      <c r="Q2944" s="644"/>
      <c r="R2944" s="644"/>
      <c r="S2944" s="48"/>
      <c r="T2944" s="1228"/>
      <c r="U2944" s="48"/>
      <c r="V2944" s="48"/>
    </row>
    <row r="2945" spans="7:22">
      <c r="G2945" s="48"/>
      <c r="H2945" s="48"/>
      <c r="I2945" s="48"/>
      <c r="J2945" s="49"/>
      <c r="K2945" s="49"/>
      <c r="L2945" s="49"/>
      <c r="M2945" s="1498"/>
      <c r="N2945" s="49"/>
      <c r="O2945" s="644"/>
      <c r="P2945" s="644"/>
      <c r="Q2945" s="644"/>
      <c r="R2945" s="644"/>
      <c r="S2945" s="48"/>
      <c r="T2945" s="1228"/>
      <c r="U2945" s="48"/>
      <c r="V2945" s="48"/>
    </row>
    <row r="2946" spans="7:22">
      <c r="G2946" s="48"/>
      <c r="H2946" s="48"/>
      <c r="I2946" s="48"/>
      <c r="J2946" s="954">
        <f>SUM(J2934:J2942)</f>
        <v>0</v>
      </c>
      <c r="K2946" s="954"/>
      <c r="L2946" s="954">
        <f>SUM(L2934:L2945)</f>
        <v>0</v>
      </c>
      <c r="M2946" s="1498"/>
      <c r="N2946" s="954">
        <f>SUM(N2934:N2945)</f>
        <v>1770000</v>
      </c>
      <c r="O2946" s="644"/>
      <c r="P2946" s="969">
        <f>SUM(P2934:P2940)</f>
        <v>6436000</v>
      </c>
      <c r="Q2946" s="969"/>
      <c r="R2946" s="969">
        <f>SUM(R2934:R2940)</f>
        <v>4490000</v>
      </c>
      <c r="S2946" s="48"/>
      <c r="T2946" s="1178">
        <f>SUM(T2934:T2945)</f>
        <v>0</v>
      </c>
      <c r="U2946" s="48"/>
      <c r="V2946" s="878">
        <f>SUM(V2934:V2945)</f>
        <v>0</v>
      </c>
    </row>
    <row r="2947" spans="7:22">
      <c r="T2947" s="1227"/>
    </row>
    <row r="2948" spans="7:22">
      <c r="T2948" s="1227"/>
    </row>
    <row r="2949" spans="7:22">
      <c r="R2949" s="661"/>
      <c r="T2949" s="1227"/>
    </row>
    <row r="2950" spans="7:22">
      <c r="T2950" s="1227"/>
    </row>
    <row r="2951" spans="7:22">
      <c r="T2951" s="1227"/>
    </row>
    <row r="2952" spans="7:22">
      <c r="I2952" s="946"/>
      <c r="M2952" s="1533" t="s">
        <v>3699</v>
      </c>
      <c r="O2952" s="1535" t="s">
        <v>3741</v>
      </c>
      <c r="P2952" s="1512">
        <f>P2946-R2946</f>
        <v>1946000</v>
      </c>
      <c r="S2952" s="906" t="s">
        <v>4049</v>
      </c>
      <c r="T2952" s="1107">
        <f>T2946-V2946</f>
        <v>0</v>
      </c>
    </row>
    <row r="2953" spans="7:22">
      <c r="G2953" s="1574" t="s">
        <v>3530</v>
      </c>
      <c r="H2953" s="1574"/>
      <c r="I2953" s="1574"/>
      <c r="J2953" s="3">
        <f>J2946+L2946</f>
        <v>0</v>
      </c>
      <c r="K2953" s="1009"/>
      <c r="L2953" s="3"/>
      <c r="M2953" s="1533" t="s">
        <v>3664</v>
      </c>
      <c r="N2953" s="1527"/>
      <c r="O2953" s="1535" t="s">
        <v>4066</v>
      </c>
      <c r="P2953" s="1512"/>
      <c r="T2953" s="1227"/>
    </row>
    <row r="2954" spans="7:22">
      <c r="G2954" s="1574" t="s">
        <v>3512</v>
      </c>
      <c r="H2954" s="1574"/>
      <c r="I2954" s="1574"/>
      <c r="J2954" s="3">
        <f>N2946-J2953</f>
        <v>1770000</v>
      </c>
      <c r="K2954" s="1009"/>
      <c r="L2954" s="3"/>
      <c r="M2954" s="1528"/>
      <c r="O2954" s="1529"/>
      <c r="Q2954" s="661"/>
      <c r="T2954" s="1227"/>
    </row>
    <row r="2955" spans="7:22">
      <c r="G2955" s="1574" t="s">
        <v>3531</v>
      </c>
      <c r="H2955" s="1574"/>
      <c r="I2955" s="1574"/>
      <c r="J2955" s="3">
        <f>T2952</f>
        <v>0</v>
      </c>
      <c r="Q2955" s="3"/>
      <c r="T2955" s="1227"/>
    </row>
    <row r="2956" spans="7:22">
      <c r="G2956" s="1564" t="s">
        <v>4067</v>
      </c>
      <c r="H2956" s="1564"/>
      <c r="I2956" s="1564"/>
      <c r="R2956" s="3"/>
      <c r="T2956" s="1227"/>
    </row>
    <row r="2962" spans="7:22">
      <c r="G2962" s="1008">
        <v>46025</v>
      </c>
      <c r="H2962" s="1169"/>
      <c r="I2962" s="1575" t="s">
        <v>3510</v>
      </c>
      <c r="J2962" s="1576"/>
      <c r="K2962" s="1575" t="s">
        <v>3509</v>
      </c>
      <c r="L2962" s="1576"/>
      <c r="M2962" s="1575" t="s">
        <v>3541</v>
      </c>
      <c r="N2962" s="1576"/>
      <c r="O2962" s="1577" t="s">
        <v>3598</v>
      </c>
      <c r="P2962" s="1578"/>
      <c r="Q2962" s="1579" t="s">
        <v>3599</v>
      </c>
      <c r="R2962" s="1580"/>
      <c r="S2962" s="1583" t="s">
        <v>3953</v>
      </c>
      <c r="T2962" s="1583"/>
      <c r="U2962" s="1583" t="s">
        <v>3954</v>
      </c>
      <c r="V2962" s="1583"/>
    </row>
    <row r="2963" spans="7:22">
      <c r="G2963" s="1097"/>
      <c r="H2963" s="1170"/>
      <c r="I2963" s="1230"/>
      <c r="J2963" s="49"/>
      <c r="K2963" s="1495"/>
      <c r="L2963" s="49"/>
      <c r="M2963" s="1495" t="s">
        <v>3568</v>
      </c>
      <c r="N2963" s="49">
        <v>520000</v>
      </c>
      <c r="O2963" s="1383" t="s">
        <v>4374</v>
      </c>
      <c r="P2963" s="644">
        <v>2000000</v>
      </c>
      <c r="Q2963" s="1231" t="s">
        <v>4370</v>
      </c>
      <c r="R2963" s="644">
        <v>400000</v>
      </c>
      <c r="S2963" s="1223"/>
      <c r="T2963" s="1191"/>
      <c r="U2963" s="1232"/>
      <c r="V2963" s="48"/>
    </row>
    <row r="2964" spans="7:22">
      <c r="G2964" s="1098"/>
      <c r="H2964" s="1172"/>
      <c r="I2964" s="1232"/>
      <c r="J2964" s="49"/>
      <c r="K2964" s="1495"/>
      <c r="L2964" s="49"/>
      <c r="M2964" s="1495"/>
      <c r="N2964" s="49"/>
      <c r="O2964" s="1383" t="s">
        <v>4369</v>
      </c>
      <c r="P2964" s="644">
        <v>700000</v>
      </c>
      <c r="Q2964" s="1231" t="s">
        <v>4371</v>
      </c>
      <c r="R2964" s="644">
        <v>564000</v>
      </c>
      <c r="S2964" s="1223"/>
      <c r="T2964" s="1191"/>
      <c r="U2964" s="48"/>
      <c r="V2964" s="49"/>
    </row>
    <row r="2965" spans="7:22">
      <c r="G2965" s="48"/>
      <c r="H2965" s="48"/>
      <c r="I2965" s="1239"/>
      <c r="J2965" s="49"/>
      <c r="K2965" s="1495"/>
      <c r="L2965" s="49"/>
      <c r="M2965" s="1493"/>
      <c r="N2965" s="49"/>
      <c r="O2965" s="1383"/>
      <c r="P2965" s="644">
        <v>400000</v>
      </c>
      <c r="Q2965" s="1231" t="s">
        <v>4371</v>
      </c>
      <c r="R2965" s="644">
        <v>566000</v>
      </c>
      <c r="S2965" s="1215"/>
      <c r="T2965" s="1191"/>
      <c r="U2965" s="1078"/>
      <c r="V2965" s="49"/>
    </row>
    <row r="2966" spans="7:22">
      <c r="G2966" s="48"/>
      <c r="H2966" s="48"/>
      <c r="I2966" s="1197"/>
      <c r="J2966" s="49"/>
      <c r="K2966" s="1495"/>
      <c r="L2966" s="49"/>
      <c r="M2966" s="1493"/>
      <c r="N2966" s="49"/>
      <c r="O2966" s="644"/>
      <c r="P2966" s="644"/>
      <c r="Q2966" s="1231" t="s">
        <v>4372</v>
      </c>
      <c r="R2966" s="644">
        <v>45000</v>
      </c>
      <c r="S2966" s="48"/>
      <c r="T2966" s="1228"/>
      <c r="U2966" s="48"/>
      <c r="V2966" s="49"/>
    </row>
    <row r="2967" spans="7:22">
      <c r="G2967" s="48"/>
      <c r="H2967" s="48"/>
      <c r="I2967" s="1200"/>
      <c r="J2967" s="49"/>
      <c r="K2967" s="1495"/>
      <c r="L2967" s="49"/>
      <c r="M2967" s="1493"/>
      <c r="N2967" s="49"/>
      <c r="O2967" s="644"/>
      <c r="P2967" s="644"/>
      <c r="Q2967" s="1231" t="s">
        <v>3608</v>
      </c>
      <c r="R2967" s="644">
        <v>100000</v>
      </c>
      <c r="S2967" s="48"/>
      <c r="T2967" s="1228"/>
      <c r="U2967" s="48"/>
      <c r="V2967" s="49"/>
    </row>
    <row r="2968" spans="7:22">
      <c r="G2968" s="48"/>
      <c r="H2968" s="48"/>
      <c r="I2968" s="1200"/>
      <c r="J2968" s="49"/>
      <c r="K2968" s="1495"/>
      <c r="L2968" s="49"/>
      <c r="M2968" s="1495"/>
      <c r="N2968" s="49"/>
      <c r="O2968" s="644"/>
      <c r="P2968" s="644"/>
      <c r="Q2968" s="1231" t="s">
        <v>4373</v>
      </c>
      <c r="R2968" s="644">
        <v>110000</v>
      </c>
      <c r="S2968" s="48"/>
      <c r="T2968" s="1228"/>
      <c r="U2968" s="48"/>
      <c r="V2968" s="49"/>
    </row>
    <row r="2969" spans="7:22">
      <c r="G2969" s="48"/>
      <c r="H2969" s="48"/>
      <c r="I2969" s="1184"/>
      <c r="J2969" s="49"/>
      <c r="K2969" s="1495"/>
      <c r="L2969" s="49"/>
      <c r="M2969" s="1498"/>
      <c r="N2969" s="49"/>
      <c r="O2969" s="644"/>
      <c r="P2969" s="644"/>
      <c r="Q2969" s="1243" t="s">
        <v>4089</v>
      </c>
      <c r="R2969" s="644">
        <v>520000</v>
      </c>
      <c r="S2969" s="48"/>
      <c r="T2969" s="1228"/>
      <c r="U2969" s="48"/>
      <c r="V2969" s="49"/>
    </row>
    <row r="2970" spans="7:22">
      <c r="G2970" s="48"/>
      <c r="H2970" s="48"/>
      <c r="I2970" s="1184"/>
      <c r="J2970" s="49"/>
      <c r="K2970" s="1532"/>
      <c r="L2970" s="49"/>
      <c r="M2970" s="1498"/>
      <c r="N2970" s="49"/>
      <c r="O2970" s="644"/>
      <c r="P2970" s="644"/>
      <c r="Q2970" s="644"/>
      <c r="R2970" s="644"/>
      <c r="S2970" s="48"/>
      <c r="T2970" s="1228"/>
      <c r="U2970" s="48"/>
      <c r="V2970" s="49"/>
    </row>
    <row r="2971" spans="7:22">
      <c r="G2971" s="48"/>
      <c r="H2971" s="48"/>
      <c r="I2971" s="48"/>
      <c r="J2971" s="49"/>
      <c r="K2971" s="1495"/>
      <c r="L2971" s="49"/>
      <c r="M2971" s="1498"/>
      <c r="N2971" s="49"/>
      <c r="O2971" s="644"/>
      <c r="P2971" s="644"/>
      <c r="Q2971" s="644"/>
      <c r="R2971" s="644"/>
      <c r="S2971" s="48"/>
      <c r="T2971" s="1228"/>
      <c r="U2971" s="48"/>
      <c r="V2971" s="49"/>
    </row>
    <row r="2972" spans="7:22">
      <c r="G2972" s="48"/>
      <c r="H2972" s="48"/>
      <c r="I2972" s="48"/>
      <c r="J2972" s="49"/>
      <c r="K2972" s="1495"/>
      <c r="L2972" s="49"/>
      <c r="M2972" s="1498"/>
      <c r="N2972" s="49"/>
      <c r="O2972" s="644"/>
      <c r="P2972" s="644"/>
      <c r="Q2972" s="644"/>
      <c r="R2972" s="644"/>
      <c r="S2972" s="48"/>
      <c r="T2972" s="1228"/>
      <c r="U2972" s="48"/>
      <c r="V2972" s="49"/>
    </row>
    <row r="2973" spans="7:22">
      <c r="G2973" s="48"/>
      <c r="H2973" s="48"/>
      <c r="I2973" s="48"/>
      <c r="J2973" s="49"/>
      <c r="K2973" s="1498"/>
      <c r="L2973" s="49"/>
      <c r="M2973" s="1498"/>
      <c r="N2973" s="49"/>
      <c r="O2973" s="644"/>
      <c r="P2973" s="644"/>
      <c r="Q2973" s="644"/>
      <c r="R2973" s="644"/>
      <c r="S2973" s="48"/>
      <c r="T2973" s="1228"/>
      <c r="U2973" s="48"/>
      <c r="V2973" s="48"/>
    </row>
    <row r="2974" spans="7:22">
      <c r="G2974" s="48"/>
      <c r="H2974" s="48"/>
      <c r="I2974" s="48"/>
      <c r="J2974" s="49"/>
      <c r="K2974" s="49"/>
      <c r="L2974" s="49"/>
      <c r="M2974" s="1498"/>
      <c r="N2974" s="49"/>
      <c r="O2974" s="644"/>
      <c r="P2974" s="644"/>
      <c r="Q2974" s="644"/>
      <c r="R2974" s="644"/>
      <c r="S2974" s="48"/>
      <c r="T2974" s="1228"/>
      <c r="U2974" s="48"/>
      <c r="V2974" s="48"/>
    </row>
    <row r="2975" spans="7:22">
      <c r="G2975" s="48"/>
      <c r="H2975" s="48"/>
      <c r="I2975" s="48"/>
      <c r="J2975" s="954">
        <f>SUM(J2963:J2971)</f>
        <v>0</v>
      </c>
      <c r="K2975" s="954"/>
      <c r="L2975" s="954">
        <f>SUM(L2963:L2974)</f>
        <v>0</v>
      </c>
      <c r="M2975" s="1498"/>
      <c r="N2975" s="954">
        <f>SUM(N2963:N2974)</f>
        <v>520000</v>
      </c>
      <c r="O2975" s="644"/>
      <c r="P2975" s="969">
        <f>SUM(P2963:P2969)</f>
        <v>3100000</v>
      </c>
      <c r="Q2975" s="969"/>
      <c r="R2975" s="969">
        <f>SUM(R2963:R2969)</f>
        <v>2305000</v>
      </c>
      <c r="S2975" s="48"/>
      <c r="T2975" s="1178">
        <f>SUM(T2963:T2974)</f>
        <v>0</v>
      </c>
      <c r="U2975" s="48"/>
      <c r="V2975" s="878">
        <f>SUM(V2963:V2974)</f>
        <v>0</v>
      </c>
    </row>
    <row r="2976" spans="7:22">
      <c r="T2976" s="1227"/>
    </row>
    <row r="2977" spans="7:22">
      <c r="T2977" s="1227"/>
    </row>
    <row r="2978" spans="7:22">
      <c r="R2978" s="661"/>
      <c r="T2978" s="1227"/>
    </row>
    <row r="2979" spans="7:22">
      <c r="T2979" s="1227"/>
    </row>
    <row r="2980" spans="7:22">
      <c r="T2980" s="1227"/>
    </row>
    <row r="2981" spans="7:22">
      <c r="I2981" s="946"/>
      <c r="M2981" s="1533" t="s">
        <v>3699</v>
      </c>
      <c r="O2981" s="1535" t="s">
        <v>3741</v>
      </c>
      <c r="P2981" s="1512">
        <f>P2975-R2975</f>
        <v>795000</v>
      </c>
      <c r="S2981" s="906" t="s">
        <v>4049</v>
      </c>
      <c r="T2981" s="1107">
        <f>T2975-V2975</f>
        <v>0</v>
      </c>
    </row>
    <row r="2982" spans="7:22">
      <c r="G2982" s="1574" t="s">
        <v>3530</v>
      </c>
      <c r="H2982" s="1574"/>
      <c r="I2982" s="1574"/>
      <c r="J2982" s="3">
        <f>J2975+L2975</f>
        <v>0</v>
      </c>
      <c r="K2982" s="1009"/>
      <c r="L2982" s="3"/>
      <c r="M2982" s="1533" t="s">
        <v>3664</v>
      </c>
      <c r="N2982" s="1527"/>
      <c r="O2982" s="1535" t="s">
        <v>4066</v>
      </c>
      <c r="P2982" s="1512"/>
      <c r="T2982" s="1227"/>
    </row>
    <row r="2983" spans="7:22">
      <c r="G2983" s="1574" t="s">
        <v>3512</v>
      </c>
      <c r="H2983" s="1574"/>
      <c r="I2983" s="1574"/>
      <c r="J2983" s="3">
        <f>N2975-J2982</f>
        <v>520000</v>
      </c>
      <c r="K2983" s="1009"/>
      <c r="L2983" s="3"/>
      <c r="M2983" s="1528"/>
      <c r="O2983" s="1529"/>
      <c r="Q2983" s="661"/>
      <c r="T2983" s="1227"/>
    </row>
    <row r="2984" spans="7:22">
      <c r="G2984" s="1574" t="s">
        <v>3531</v>
      </c>
      <c r="H2984" s="1574"/>
      <c r="I2984" s="1574"/>
      <c r="J2984" s="3">
        <f>T2981</f>
        <v>0</v>
      </c>
      <c r="Q2984" s="3"/>
      <c r="T2984" s="1227"/>
    </row>
    <row r="2985" spans="7:22">
      <c r="G2985" s="1564" t="s">
        <v>4067</v>
      </c>
      <c r="H2985" s="1564"/>
      <c r="I2985" s="1564"/>
      <c r="R2985" s="3"/>
      <c r="T2985" s="1227"/>
    </row>
    <row r="2992" spans="7:22">
      <c r="G2992" s="1008">
        <v>46026</v>
      </c>
      <c r="H2992" s="1169"/>
      <c r="I2992" s="1575" t="s">
        <v>3510</v>
      </c>
      <c r="J2992" s="1576"/>
      <c r="K2992" s="1575" t="s">
        <v>3509</v>
      </c>
      <c r="L2992" s="1576"/>
      <c r="M2992" s="1575" t="s">
        <v>3541</v>
      </c>
      <c r="N2992" s="1576"/>
      <c r="O2992" s="1577" t="s">
        <v>3598</v>
      </c>
      <c r="P2992" s="1578"/>
      <c r="Q2992" s="1579" t="s">
        <v>3599</v>
      </c>
      <c r="R2992" s="1580"/>
      <c r="S2992" s="1583" t="s">
        <v>3953</v>
      </c>
      <c r="T2992" s="1583"/>
      <c r="U2992" s="1583" t="s">
        <v>3954</v>
      </c>
      <c r="V2992" s="1583"/>
    </row>
    <row r="2993" spans="7:22">
      <c r="G2993" s="1097"/>
      <c r="H2993" s="1170"/>
      <c r="I2993" s="1230"/>
      <c r="J2993" s="49"/>
      <c r="K2993" s="1495"/>
      <c r="L2993" s="49"/>
      <c r="M2993" s="1495"/>
      <c r="N2993" s="49"/>
      <c r="O2993" s="1383" t="s">
        <v>4360</v>
      </c>
      <c r="P2993" s="644">
        <v>795000</v>
      </c>
      <c r="Q2993" s="1231" t="s">
        <v>3404</v>
      </c>
      <c r="R2993" s="644">
        <v>33000</v>
      </c>
      <c r="S2993" s="1223"/>
      <c r="T2993" s="1191"/>
      <c r="U2993" s="1232"/>
      <c r="V2993" s="48"/>
    </row>
    <row r="2994" spans="7:22">
      <c r="G2994" s="1098"/>
      <c r="H2994" s="1172"/>
      <c r="I2994" s="1232"/>
      <c r="J2994" s="49"/>
      <c r="K2994" s="1495"/>
      <c r="L2994" s="49"/>
      <c r="M2994" s="1495"/>
      <c r="N2994" s="49"/>
      <c r="O2994" s="1383" t="s">
        <v>4381</v>
      </c>
      <c r="P2994" s="644">
        <v>3300000</v>
      </c>
      <c r="Q2994" s="1231"/>
      <c r="R2994" s="644"/>
      <c r="S2994" s="1223"/>
      <c r="T2994" s="1191"/>
      <c r="U2994" s="48"/>
      <c r="V2994" s="49"/>
    </row>
    <row r="2995" spans="7:22">
      <c r="G2995" s="48"/>
      <c r="H2995" s="48"/>
      <c r="I2995" s="1239"/>
      <c r="J2995" s="49"/>
      <c r="K2995" s="1495"/>
      <c r="L2995" s="49"/>
      <c r="M2995" s="1493"/>
      <c r="N2995" s="49"/>
      <c r="O2995" s="1383"/>
      <c r="P2995" s="644"/>
      <c r="Q2995" s="1231"/>
      <c r="R2995" s="644"/>
      <c r="S2995" s="1215"/>
      <c r="T2995" s="1191"/>
      <c r="U2995" s="1078"/>
      <c r="V2995" s="49"/>
    </row>
    <row r="2996" spans="7:22">
      <c r="G2996" s="48"/>
      <c r="H2996" s="48"/>
      <c r="I2996" s="1197"/>
      <c r="J2996" s="49"/>
      <c r="K2996" s="1495"/>
      <c r="L2996" s="49"/>
      <c r="M2996" s="1493"/>
      <c r="N2996" s="49"/>
      <c r="O2996" s="644"/>
      <c r="P2996" s="644"/>
      <c r="Q2996" s="1231"/>
      <c r="R2996" s="644"/>
      <c r="S2996" s="48"/>
      <c r="T2996" s="1228"/>
      <c r="U2996" s="48"/>
      <c r="V2996" s="49"/>
    </row>
    <row r="2997" spans="7:22">
      <c r="G2997" s="48"/>
      <c r="H2997" s="48"/>
      <c r="I2997" s="1200"/>
      <c r="J2997" s="49"/>
      <c r="K2997" s="1495"/>
      <c r="L2997" s="49"/>
      <c r="M2997" s="1493"/>
      <c r="N2997" s="49"/>
      <c r="O2997" s="644"/>
      <c r="P2997" s="644"/>
      <c r="Q2997" s="1231"/>
      <c r="R2997" s="644"/>
      <c r="S2997" s="48"/>
      <c r="T2997" s="1228"/>
      <c r="U2997" s="48"/>
      <c r="V2997" s="49"/>
    </row>
    <row r="2998" spans="7:22">
      <c r="G2998" s="48"/>
      <c r="H2998" s="48"/>
      <c r="I2998" s="1200"/>
      <c r="J2998" s="49"/>
      <c r="K2998" s="1495"/>
      <c r="L2998" s="49"/>
      <c r="M2998" s="1495"/>
      <c r="N2998" s="49"/>
      <c r="O2998" s="644"/>
      <c r="P2998" s="644"/>
      <c r="Q2998" s="1231"/>
      <c r="R2998" s="644"/>
      <c r="S2998" s="48"/>
      <c r="T2998" s="1228"/>
      <c r="U2998" s="48"/>
      <c r="V2998" s="49"/>
    </row>
    <row r="2999" spans="7:22">
      <c r="G2999" s="48"/>
      <c r="H2999" s="48"/>
      <c r="I2999" s="1184"/>
      <c r="J2999" s="49"/>
      <c r="K2999" s="1495"/>
      <c r="L2999" s="49"/>
      <c r="M2999" s="1498"/>
      <c r="N2999" s="49"/>
      <c r="O2999" s="644"/>
      <c r="P2999" s="644"/>
      <c r="Q2999" s="1243"/>
      <c r="R2999" s="644"/>
      <c r="S2999" s="48"/>
      <c r="T2999" s="1228"/>
      <c r="U2999" s="48"/>
      <c r="V2999" s="49"/>
    </row>
    <row r="3000" spans="7:22">
      <c r="G3000" s="48"/>
      <c r="H3000" s="48"/>
      <c r="I3000" s="1184"/>
      <c r="J3000" s="49"/>
      <c r="K3000" s="1532"/>
      <c r="L3000" s="49"/>
      <c r="M3000" s="1498"/>
      <c r="N3000" s="49"/>
      <c r="O3000" s="644"/>
      <c r="P3000" s="644"/>
      <c r="Q3000" s="644"/>
      <c r="R3000" s="644"/>
      <c r="S3000" s="48"/>
      <c r="T3000" s="1228"/>
      <c r="U3000" s="48"/>
      <c r="V3000" s="49"/>
    </row>
    <row r="3001" spans="7:22">
      <c r="G3001" s="48"/>
      <c r="H3001" s="48"/>
      <c r="I3001" s="48"/>
      <c r="J3001" s="49"/>
      <c r="K3001" s="1495"/>
      <c r="L3001" s="49"/>
      <c r="M3001" s="1498"/>
      <c r="N3001" s="49"/>
      <c r="O3001" s="644"/>
      <c r="P3001" s="644"/>
      <c r="Q3001" s="644"/>
      <c r="R3001" s="644"/>
      <c r="S3001" s="48"/>
      <c r="T3001" s="1228"/>
      <c r="U3001" s="48"/>
      <c r="V3001" s="49"/>
    </row>
    <row r="3002" spans="7:22">
      <c r="G3002" s="48"/>
      <c r="H3002" s="48"/>
      <c r="I3002" s="48"/>
      <c r="J3002" s="49"/>
      <c r="K3002" s="1495"/>
      <c r="L3002" s="49"/>
      <c r="M3002" s="1498"/>
      <c r="N3002" s="49"/>
      <c r="O3002" s="644"/>
      <c r="P3002" s="644"/>
      <c r="Q3002" s="644"/>
      <c r="R3002" s="644"/>
      <c r="S3002" s="48"/>
      <c r="T3002" s="1228"/>
      <c r="U3002" s="48"/>
      <c r="V3002" s="49"/>
    </row>
    <row r="3003" spans="7:22">
      <c r="G3003" s="48"/>
      <c r="H3003" s="48"/>
      <c r="I3003" s="48"/>
      <c r="J3003" s="49"/>
      <c r="K3003" s="1498"/>
      <c r="L3003" s="49"/>
      <c r="M3003" s="1498"/>
      <c r="N3003" s="49"/>
      <c r="O3003" s="644"/>
      <c r="P3003" s="644"/>
      <c r="Q3003" s="644"/>
      <c r="R3003" s="644"/>
      <c r="S3003" s="48"/>
      <c r="T3003" s="1228"/>
      <c r="U3003" s="48"/>
      <c r="V3003" s="48"/>
    </row>
    <row r="3004" spans="7:22">
      <c r="G3004" s="48"/>
      <c r="H3004" s="48"/>
      <c r="I3004" s="48"/>
      <c r="J3004" s="49"/>
      <c r="K3004" s="49"/>
      <c r="L3004" s="49"/>
      <c r="M3004" s="1498"/>
      <c r="N3004" s="49"/>
      <c r="O3004" s="644"/>
      <c r="P3004" s="644"/>
      <c r="Q3004" s="644"/>
      <c r="R3004" s="644"/>
      <c r="S3004" s="48"/>
      <c r="T3004" s="1228"/>
      <c r="U3004" s="48"/>
      <c r="V3004" s="48"/>
    </row>
    <row r="3005" spans="7:22">
      <c r="G3005" s="48"/>
      <c r="H3005" s="48"/>
      <c r="I3005" s="48"/>
      <c r="J3005" s="954">
        <f>SUM(J2993:J3001)</f>
        <v>0</v>
      </c>
      <c r="K3005" s="954"/>
      <c r="L3005" s="954">
        <f>SUM(L2993:L3004)</f>
        <v>0</v>
      </c>
      <c r="M3005" s="1498"/>
      <c r="N3005" s="954">
        <f>SUM(N2993:N3004)</f>
        <v>0</v>
      </c>
      <c r="O3005" s="644"/>
      <c r="P3005" s="969">
        <f>SUM(P2993:P2999)</f>
        <v>4095000</v>
      </c>
      <c r="Q3005" s="969"/>
      <c r="R3005" s="969">
        <f>SUM(R2993:R2999)</f>
        <v>33000</v>
      </c>
      <c r="S3005" s="48"/>
      <c r="T3005" s="1178">
        <f>SUM(T2993:T3004)</f>
        <v>0</v>
      </c>
      <c r="U3005" s="48"/>
      <c r="V3005" s="878">
        <f>SUM(V2993:V3004)</f>
        <v>0</v>
      </c>
    </row>
    <row r="3006" spans="7:22">
      <c r="T3006" s="1227"/>
    </row>
    <row r="3007" spans="7:22">
      <c r="T3007" s="1227"/>
    </row>
    <row r="3008" spans="7:22">
      <c r="R3008" s="661"/>
      <c r="T3008" s="1227"/>
    </row>
    <row r="3009" spans="7:20">
      <c r="T3009" s="1227"/>
    </row>
    <row r="3010" spans="7:20">
      <c r="T3010" s="1227"/>
    </row>
    <row r="3011" spans="7:20">
      <c r="I3011" s="946"/>
      <c r="M3011" s="1533" t="s">
        <v>3699</v>
      </c>
      <c r="O3011" s="1535" t="s">
        <v>3741</v>
      </c>
      <c r="P3011" s="1512">
        <f>P3005-R3005</f>
        <v>4062000</v>
      </c>
      <c r="S3011" s="906" t="s">
        <v>4049</v>
      </c>
      <c r="T3011" s="1107">
        <f>T3005-V3005</f>
        <v>0</v>
      </c>
    </row>
    <row r="3012" spans="7:20">
      <c r="G3012" s="1574" t="s">
        <v>3530</v>
      </c>
      <c r="H3012" s="1574"/>
      <c r="I3012" s="1574"/>
      <c r="J3012" s="3">
        <f>J3005+L3005</f>
        <v>0</v>
      </c>
      <c r="K3012" s="1009"/>
      <c r="L3012" s="3"/>
      <c r="M3012" s="1533" t="s">
        <v>3664</v>
      </c>
      <c r="N3012" s="1527"/>
      <c r="O3012" s="1535" t="s">
        <v>4066</v>
      </c>
      <c r="P3012" s="1512"/>
      <c r="T3012" s="1227"/>
    </row>
    <row r="3013" spans="7:20">
      <c r="G3013" s="1574" t="s">
        <v>3512</v>
      </c>
      <c r="H3013" s="1574"/>
      <c r="I3013" s="1574"/>
      <c r="J3013" s="3">
        <f>N3005-J3012</f>
        <v>0</v>
      </c>
      <c r="K3013" s="1009"/>
      <c r="L3013" s="3"/>
      <c r="M3013" s="1528"/>
      <c r="O3013" s="1529"/>
      <c r="Q3013" s="661"/>
      <c r="T3013" s="1227"/>
    </row>
    <row r="3014" spans="7:20">
      <c r="G3014" s="1574" t="s">
        <v>3531</v>
      </c>
      <c r="H3014" s="1574"/>
      <c r="I3014" s="1574"/>
      <c r="J3014" s="3">
        <f>T3011</f>
        <v>0</v>
      </c>
      <c r="Q3014" s="3"/>
      <c r="T3014" s="1227"/>
    </row>
    <row r="3015" spans="7:20">
      <c r="G3015" s="1564" t="s">
        <v>4067</v>
      </c>
      <c r="H3015" s="1564"/>
      <c r="I3015" s="1564"/>
      <c r="R3015" s="3"/>
      <c r="T3015" s="1227"/>
    </row>
    <row r="3020" spans="7:20">
      <c r="Q3020" s="3">
        <v>15000</v>
      </c>
    </row>
    <row r="3021" spans="7:20">
      <c r="Q3021" s="3">
        <v>1800000</v>
      </c>
    </row>
    <row r="3022" spans="7:20">
      <c r="Q3022">
        <f>Q3021/Q3020</f>
        <v>120</v>
      </c>
    </row>
    <row r="3023" spans="7:20">
      <c r="Q3023">
        <f>Q3022/30</f>
        <v>4</v>
      </c>
    </row>
    <row r="3028" spans="7:22">
      <c r="G3028" s="1008">
        <v>46027</v>
      </c>
      <c r="H3028" s="1169"/>
      <c r="I3028" s="1575" t="s">
        <v>3510</v>
      </c>
      <c r="J3028" s="1576"/>
      <c r="K3028" s="1575" t="s">
        <v>3509</v>
      </c>
      <c r="L3028" s="1576"/>
      <c r="M3028" s="1575" t="s">
        <v>3541</v>
      </c>
      <c r="N3028" s="1576"/>
      <c r="O3028" s="1577" t="s">
        <v>3598</v>
      </c>
      <c r="P3028" s="1578"/>
      <c r="Q3028" s="1579" t="s">
        <v>3599</v>
      </c>
      <c r="R3028" s="1580"/>
      <c r="S3028" s="1583" t="s">
        <v>3953</v>
      </c>
      <c r="T3028" s="1583"/>
      <c r="U3028" s="1583" t="s">
        <v>3954</v>
      </c>
      <c r="V3028" s="1583"/>
    </row>
    <row r="3029" spans="7:22">
      <c r="G3029" s="1097"/>
      <c r="H3029" s="1170"/>
      <c r="I3029" s="1230"/>
      <c r="J3029" s="49"/>
      <c r="K3029" s="1495"/>
      <c r="L3029" s="49"/>
      <c r="M3029" s="49" t="s">
        <v>4380</v>
      </c>
      <c r="N3029" s="49">
        <v>2200000</v>
      </c>
      <c r="O3029" s="1383" t="s">
        <v>4360</v>
      </c>
      <c r="P3029" s="644">
        <v>4062000</v>
      </c>
      <c r="Q3029" s="1231" t="s">
        <v>3838</v>
      </c>
      <c r="R3029" s="644">
        <f>18000*2</f>
        <v>36000</v>
      </c>
      <c r="S3029" s="1223"/>
      <c r="T3029" s="1191"/>
      <c r="U3029" s="1232"/>
      <c r="V3029" s="48"/>
    </row>
    <row r="3030" spans="7:22">
      <c r="G3030" s="1098"/>
      <c r="H3030" s="1172"/>
      <c r="I3030" s="1232"/>
      <c r="J3030" s="49"/>
      <c r="K3030" s="1495"/>
      <c r="L3030" s="49"/>
      <c r="M3030" s="1495"/>
      <c r="N3030" s="49"/>
      <c r="O3030" s="1383" t="s">
        <v>4382</v>
      </c>
      <c r="P3030" s="644">
        <v>2000000</v>
      </c>
      <c r="Q3030" s="1231" t="s">
        <v>4286</v>
      </c>
      <c r="R3030" s="644">
        <v>250000</v>
      </c>
      <c r="S3030" s="1223"/>
      <c r="T3030" s="1191"/>
      <c r="U3030" s="48"/>
      <c r="V3030" s="49"/>
    </row>
    <row r="3031" spans="7:22">
      <c r="G3031" s="48"/>
      <c r="H3031" s="48"/>
      <c r="I3031" s="1239"/>
      <c r="J3031" s="49"/>
      <c r="K3031" s="1495"/>
      <c r="L3031" s="49"/>
      <c r="M3031" s="1493"/>
      <c r="N3031" s="49"/>
      <c r="O3031" s="1383" t="s">
        <v>4277</v>
      </c>
      <c r="P3031" s="644">
        <v>1000000</v>
      </c>
      <c r="Q3031" s="1231" t="s">
        <v>4379</v>
      </c>
      <c r="R3031" s="644">
        <v>45000</v>
      </c>
      <c r="S3031" s="1215"/>
      <c r="T3031" s="1191"/>
      <c r="U3031" s="1078"/>
      <c r="V3031" s="49"/>
    </row>
    <row r="3032" spans="7:22">
      <c r="G3032" s="48"/>
      <c r="H3032" s="48"/>
      <c r="I3032" s="1197"/>
      <c r="J3032" s="49"/>
      <c r="K3032" s="1495"/>
      <c r="L3032" s="49"/>
      <c r="M3032" s="1493"/>
      <c r="N3032" s="49"/>
      <c r="O3032" s="644" t="s">
        <v>4383</v>
      </c>
      <c r="P3032" s="644">
        <v>5000000</v>
      </c>
      <c r="Q3032" s="1231" t="s">
        <v>3532</v>
      </c>
      <c r="R3032" s="644">
        <v>490000</v>
      </c>
      <c r="S3032" s="48"/>
      <c r="T3032" s="1228"/>
      <c r="U3032" s="48"/>
      <c r="V3032" s="49"/>
    </row>
    <row r="3033" spans="7:22">
      <c r="G3033" s="48"/>
      <c r="H3033" s="48"/>
      <c r="I3033" s="1200"/>
      <c r="J3033" s="49"/>
      <c r="K3033" s="1495"/>
      <c r="L3033" s="49"/>
      <c r="M3033" s="1493"/>
      <c r="N3033" s="49"/>
      <c r="O3033" s="644"/>
      <c r="P3033" s="644"/>
      <c r="Q3033" s="1231" t="s">
        <v>3576</v>
      </c>
      <c r="R3033" s="644">
        <v>2200000</v>
      </c>
      <c r="S3033" s="48"/>
      <c r="T3033" s="1228"/>
      <c r="U3033" s="48"/>
      <c r="V3033" s="49"/>
    </row>
    <row r="3034" spans="7:22">
      <c r="G3034" s="48"/>
      <c r="H3034" s="48"/>
      <c r="I3034" s="1200"/>
      <c r="J3034" s="49"/>
      <c r="K3034" s="1495"/>
      <c r="L3034" s="49"/>
      <c r="M3034" s="1495"/>
      <c r="N3034" s="49"/>
      <c r="O3034" s="644"/>
      <c r="P3034" s="644"/>
      <c r="Q3034" s="1231"/>
      <c r="R3034" s="644"/>
      <c r="S3034" s="48"/>
      <c r="T3034" s="1228"/>
      <c r="U3034" s="48"/>
      <c r="V3034" s="49"/>
    </row>
    <row r="3035" spans="7:22">
      <c r="G3035" s="48"/>
      <c r="H3035" s="48"/>
      <c r="I3035" s="1184"/>
      <c r="J3035" s="49"/>
      <c r="K3035" s="1495"/>
      <c r="L3035" s="49"/>
      <c r="M3035" s="1498"/>
      <c r="N3035" s="49"/>
      <c r="O3035" s="644"/>
      <c r="P3035" s="644"/>
      <c r="Q3035" s="1243"/>
      <c r="R3035" s="644"/>
      <c r="S3035" s="48"/>
      <c r="T3035" s="1228"/>
      <c r="U3035" s="48"/>
      <c r="V3035" s="49"/>
    </row>
    <row r="3036" spans="7:22">
      <c r="G3036" s="48"/>
      <c r="H3036" s="48"/>
      <c r="I3036" s="1184"/>
      <c r="J3036" s="49"/>
      <c r="K3036" s="1532"/>
      <c r="L3036" s="49"/>
      <c r="M3036" s="1498"/>
      <c r="N3036" s="49"/>
      <c r="O3036" s="644"/>
      <c r="P3036" s="644"/>
      <c r="Q3036" s="644"/>
      <c r="R3036" s="644"/>
      <c r="S3036" s="48"/>
      <c r="T3036" s="1228"/>
      <c r="U3036" s="48"/>
      <c r="V3036" s="49"/>
    </row>
    <row r="3037" spans="7:22">
      <c r="G3037" s="48"/>
      <c r="H3037" s="48"/>
      <c r="I3037" s="48"/>
      <c r="J3037" s="49"/>
      <c r="K3037" s="1495"/>
      <c r="L3037" s="49"/>
      <c r="M3037" s="1498"/>
      <c r="N3037" s="49"/>
      <c r="O3037" s="644"/>
      <c r="P3037" s="644"/>
      <c r="Q3037" s="644"/>
      <c r="R3037" s="644"/>
      <c r="S3037" s="48"/>
      <c r="T3037" s="1228"/>
      <c r="U3037" s="48"/>
      <c r="V3037" s="49"/>
    </row>
    <row r="3038" spans="7:22">
      <c r="G3038" s="48"/>
      <c r="H3038" s="48"/>
      <c r="I3038" s="48"/>
      <c r="J3038" s="49"/>
      <c r="K3038" s="1495"/>
      <c r="L3038" s="49"/>
      <c r="M3038" s="1498"/>
      <c r="N3038" s="49"/>
      <c r="O3038" s="644"/>
      <c r="P3038" s="644"/>
      <c r="Q3038" s="644"/>
      <c r="R3038" s="644"/>
      <c r="S3038" s="48"/>
      <c r="T3038" s="1228"/>
      <c r="U3038" s="48"/>
      <c r="V3038" s="49"/>
    </row>
    <row r="3039" spans="7:22">
      <c r="G3039" s="48"/>
      <c r="H3039" s="48"/>
      <c r="I3039" s="48"/>
      <c r="J3039" s="49"/>
      <c r="K3039" s="1498"/>
      <c r="L3039" s="49"/>
      <c r="M3039" s="1498"/>
      <c r="N3039" s="49"/>
      <c r="O3039" s="644"/>
      <c r="P3039" s="644"/>
      <c r="Q3039" s="644"/>
      <c r="R3039" s="644"/>
      <c r="S3039" s="48"/>
      <c r="T3039" s="1228"/>
      <c r="U3039" s="48"/>
      <c r="V3039" s="48"/>
    </row>
    <row r="3040" spans="7:22">
      <c r="G3040" s="48"/>
      <c r="H3040" s="48"/>
      <c r="I3040" s="48"/>
      <c r="J3040" s="49"/>
      <c r="K3040" s="49"/>
      <c r="L3040" s="49"/>
      <c r="M3040" s="1498"/>
      <c r="N3040" s="49"/>
      <c r="O3040" s="644"/>
      <c r="P3040" s="644"/>
      <c r="Q3040" s="644"/>
      <c r="R3040" s="644"/>
      <c r="S3040" s="48"/>
      <c r="T3040" s="1228"/>
      <c r="U3040" s="48"/>
      <c r="V3040" s="48"/>
    </row>
    <row r="3041" spans="7:22">
      <c r="G3041" s="48"/>
      <c r="H3041" s="48"/>
      <c r="I3041" s="48"/>
      <c r="J3041" s="954">
        <f>SUM(J3029:J3037)</f>
        <v>0</v>
      </c>
      <c r="K3041" s="954"/>
      <c r="L3041" s="954">
        <f>SUM(L3029:L3040)</f>
        <v>0</v>
      </c>
      <c r="M3041" s="1498"/>
      <c r="N3041" s="954">
        <f>SUM(N3029:N3040)</f>
        <v>2200000</v>
      </c>
      <c r="O3041" s="644"/>
      <c r="P3041" s="969">
        <f>SUM(P3029:P3035)</f>
        <v>12062000</v>
      </c>
      <c r="Q3041" s="969"/>
      <c r="R3041" s="969">
        <f>SUM(R3029:R3035)</f>
        <v>3021000</v>
      </c>
      <c r="S3041" s="48"/>
      <c r="T3041" s="1178">
        <f>SUM(T3029:T3040)</f>
        <v>0</v>
      </c>
      <c r="U3041" s="48"/>
      <c r="V3041" s="878">
        <f>SUM(V3029:V3040)</f>
        <v>0</v>
      </c>
    </row>
    <row r="3042" spans="7:22">
      <c r="T3042" s="1227"/>
    </row>
    <row r="3043" spans="7:22">
      <c r="T3043" s="1227"/>
    </row>
    <row r="3044" spans="7:22">
      <c r="R3044" s="661"/>
      <c r="T3044" s="1227"/>
    </row>
    <row r="3045" spans="7:22">
      <c r="T3045" s="1227"/>
    </row>
    <row r="3046" spans="7:22">
      <c r="T3046" s="1227"/>
    </row>
    <row r="3047" spans="7:22">
      <c r="I3047" s="946"/>
      <c r="M3047" s="1533" t="s">
        <v>3699</v>
      </c>
      <c r="O3047" s="1535" t="s">
        <v>3741</v>
      </c>
      <c r="P3047" s="1512">
        <f>P3041-R3041</f>
        <v>9041000</v>
      </c>
      <c r="S3047" s="906" t="s">
        <v>4049</v>
      </c>
      <c r="T3047" s="1107">
        <f>T3041-V3041</f>
        <v>0</v>
      </c>
    </row>
    <row r="3048" spans="7:22">
      <c r="G3048" s="1574" t="s">
        <v>3530</v>
      </c>
      <c r="H3048" s="1574"/>
      <c r="I3048" s="1574"/>
      <c r="J3048" s="3">
        <f>J3041+L3041</f>
        <v>0</v>
      </c>
      <c r="K3048" s="1009"/>
      <c r="L3048" s="3"/>
      <c r="M3048" s="1533" t="s">
        <v>3664</v>
      </c>
      <c r="N3048" s="1527"/>
      <c r="O3048" s="1535" t="s">
        <v>4066</v>
      </c>
      <c r="P3048" s="1512"/>
      <c r="T3048" s="1227"/>
    </row>
    <row r="3049" spans="7:22">
      <c r="G3049" s="1574" t="s">
        <v>3512</v>
      </c>
      <c r="H3049" s="1574"/>
      <c r="I3049" s="1574"/>
      <c r="J3049" s="3">
        <f>N3041-J3048</f>
        <v>2200000</v>
      </c>
      <c r="K3049" s="1009"/>
      <c r="L3049" s="3"/>
      <c r="M3049" s="1528"/>
      <c r="O3049" s="1529"/>
      <c r="Q3049" s="661"/>
      <c r="T3049" s="1227"/>
    </row>
    <row r="3050" spans="7:22">
      <c r="G3050" s="1574" t="s">
        <v>3531</v>
      </c>
      <c r="H3050" s="1574"/>
      <c r="I3050" s="1574"/>
      <c r="J3050" s="3">
        <f>T3047</f>
        <v>0</v>
      </c>
      <c r="Q3050" s="3"/>
      <c r="T3050" s="1227"/>
    </row>
    <row r="3051" spans="7:22">
      <c r="G3051" s="1564" t="s">
        <v>4067</v>
      </c>
      <c r="H3051" s="1564"/>
      <c r="I3051" s="1564"/>
      <c r="R3051" s="3"/>
      <c r="T3051" s="1227"/>
    </row>
    <row r="3060" spans="7:22">
      <c r="G3060" s="1008">
        <v>46028</v>
      </c>
      <c r="H3060" s="1169"/>
      <c r="I3060" s="1575" t="s">
        <v>3510</v>
      </c>
      <c r="J3060" s="1576"/>
      <c r="K3060" s="1575" t="s">
        <v>3509</v>
      </c>
      <c r="L3060" s="1576"/>
      <c r="M3060" s="1575" t="s">
        <v>3541</v>
      </c>
      <c r="N3060" s="1576"/>
      <c r="O3060" s="1577" t="s">
        <v>3598</v>
      </c>
      <c r="P3060" s="1578"/>
      <c r="Q3060" s="1579" t="s">
        <v>3599</v>
      </c>
      <c r="R3060" s="1580"/>
      <c r="S3060" s="1583" t="s">
        <v>3953</v>
      </c>
      <c r="T3060" s="1583"/>
      <c r="U3060" s="1583" t="s">
        <v>3954</v>
      </c>
      <c r="V3060" s="1583"/>
    </row>
    <row r="3061" spans="7:22">
      <c r="G3061" s="1097"/>
      <c r="H3061" s="1170"/>
      <c r="I3061" s="1230"/>
      <c r="J3061" s="49"/>
      <c r="K3061" s="1495"/>
      <c r="L3061" s="49"/>
      <c r="M3061" s="49" t="s">
        <v>4380</v>
      </c>
      <c r="N3061" s="49"/>
      <c r="O3061" s="1383" t="s">
        <v>4360</v>
      </c>
      <c r="P3061" s="644">
        <v>9041000</v>
      </c>
      <c r="Q3061" s="1231" t="s">
        <v>4385</v>
      </c>
      <c r="R3061" s="644">
        <v>380000</v>
      </c>
      <c r="S3061" s="1223"/>
      <c r="T3061" s="1191"/>
      <c r="U3061" s="1232"/>
      <c r="V3061" s="48"/>
    </row>
    <row r="3062" spans="7:22">
      <c r="G3062" s="1098"/>
      <c r="H3062" s="1172"/>
      <c r="I3062" s="1232"/>
      <c r="J3062" s="49"/>
      <c r="K3062" s="1495"/>
      <c r="L3062" s="49"/>
      <c r="M3062" s="1495"/>
      <c r="N3062" s="49"/>
      <c r="O3062" s="1383"/>
      <c r="P3062" s="644"/>
      <c r="Q3062" s="1231" t="s">
        <v>4386</v>
      </c>
      <c r="R3062" s="644">
        <v>42000</v>
      </c>
      <c r="S3062" s="1223"/>
      <c r="T3062" s="1191"/>
      <c r="U3062" s="48"/>
      <c r="V3062" s="49"/>
    </row>
    <row r="3063" spans="7:22">
      <c r="G3063" s="48"/>
      <c r="H3063" s="48"/>
      <c r="I3063" s="1239"/>
      <c r="J3063" s="49"/>
      <c r="K3063" s="1495"/>
      <c r="L3063" s="49"/>
      <c r="M3063" s="1493"/>
      <c r="N3063" s="49"/>
      <c r="O3063" s="1383"/>
      <c r="P3063" s="644"/>
      <c r="Q3063" s="1231" t="s">
        <v>4386</v>
      </c>
      <c r="R3063" s="644">
        <v>42000</v>
      </c>
      <c r="S3063" s="1215"/>
      <c r="T3063" s="1191"/>
      <c r="U3063" s="1078"/>
      <c r="V3063" s="49"/>
    </row>
    <row r="3064" spans="7:22">
      <c r="G3064" s="48"/>
      <c r="H3064" s="48"/>
      <c r="I3064" s="1197"/>
      <c r="J3064" s="49"/>
      <c r="K3064" s="1495"/>
      <c r="L3064" s="49"/>
      <c r="M3064" s="1493"/>
      <c r="N3064" s="49"/>
      <c r="O3064" s="644"/>
      <c r="P3064" s="644"/>
      <c r="Q3064" s="1231" t="s">
        <v>4151</v>
      </c>
      <c r="R3064" s="644">
        <v>1010000</v>
      </c>
      <c r="S3064" s="48"/>
      <c r="T3064" s="1228"/>
      <c r="U3064" s="48"/>
      <c r="V3064" s="49"/>
    </row>
    <row r="3065" spans="7:22">
      <c r="G3065" s="48"/>
      <c r="H3065" s="48"/>
      <c r="I3065" s="1200"/>
      <c r="J3065" s="49"/>
      <c r="K3065" s="1495"/>
      <c r="L3065" s="49"/>
      <c r="M3065" s="1493"/>
      <c r="N3065" s="49"/>
      <c r="O3065" s="644"/>
      <c r="P3065" s="644"/>
      <c r="Q3065" s="1231"/>
      <c r="R3065" s="644"/>
      <c r="S3065" s="48"/>
      <c r="T3065" s="1228"/>
      <c r="U3065" s="48"/>
      <c r="V3065" s="49"/>
    </row>
    <row r="3066" spans="7:22">
      <c r="G3066" s="48"/>
      <c r="H3066" s="48"/>
      <c r="I3066" s="1200"/>
      <c r="J3066" s="49"/>
      <c r="K3066" s="1495"/>
      <c r="L3066" s="49"/>
      <c r="M3066" s="1495"/>
      <c r="N3066" s="49"/>
      <c r="O3066" s="644"/>
      <c r="P3066" s="644"/>
      <c r="Q3066" s="1231"/>
      <c r="R3066" s="644"/>
      <c r="S3066" s="48"/>
      <c r="T3066" s="1228"/>
      <c r="U3066" s="48"/>
      <c r="V3066" s="49"/>
    </row>
    <row r="3067" spans="7:22">
      <c r="G3067" s="48"/>
      <c r="H3067" s="48"/>
      <c r="I3067" s="1184"/>
      <c r="J3067" s="49"/>
      <c r="K3067" s="1495"/>
      <c r="L3067" s="49"/>
      <c r="M3067" s="1498"/>
      <c r="N3067" s="49"/>
      <c r="O3067" s="644"/>
      <c r="P3067" s="644"/>
      <c r="Q3067" s="1243"/>
      <c r="R3067" s="644"/>
      <c r="S3067" s="48"/>
      <c r="T3067" s="1228"/>
      <c r="U3067" s="48"/>
      <c r="V3067" s="49"/>
    </row>
    <row r="3068" spans="7:22">
      <c r="G3068" s="48"/>
      <c r="H3068" s="48"/>
      <c r="I3068" s="1184"/>
      <c r="J3068" s="49"/>
      <c r="K3068" s="1532"/>
      <c r="L3068" s="49"/>
      <c r="M3068" s="1498"/>
      <c r="N3068" s="49"/>
      <c r="O3068" s="644"/>
      <c r="P3068" s="644"/>
      <c r="Q3068" s="644"/>
      <c r="R3068" s="644"/>
      <c r="S3068" s="48"/>
      <c r="T3068" s="1228"/>
      <c r="U3068" s="48"/>
      <c r="V3068" s="49"/>
    </row>
    <row r="3069" spans="7:22">
      <c r="G3069" s="48"/>
      <c r="H3069" s="48"/>
      <c r="I3069" s="48"/>
      <c r="J3069" s="49"/>
      <c r="K3069" s="1495"/>
      <c r="L3069" s="49"/>
      <c r="M3069" s="1498"/>
      <c r="N3069" s="49"/>
      <c r="O3069" s="644"/>
      <c r="P3069" s="644"/>
      <c r="Q3069" s="644"/>
      <c r="R3069" s="644"/>
      <c r="S3069" s="48"/>
      <c r="T3069" s="1228"/>
      <c r="U3069" s="48"/>
      <c r="V3069" s="49"/>
    </row>
    <row r="3070" spans="7:22">
      <c r="G3070" s="48"/>
      <c r="H3070" s="48"/>
      <c r="I3070" s="48"/>
      <c r="J3070" s="49"/>
      <c r="K3070" s="1495"/>
      <c r="L3070" s="49"/>
      <c r="M3070" s="1498"/>
      <c r="N3070" s="49"/>
      <c r="O3070" s="644"/>
      <c r="P3070" s="644"/>
      <c r="Q3070" s="644"/>
      <c r="R3070" s="644"/>
      <c r="S3070" s="48"/>
      <c r="T3070" s="1228"/>
      <c r="U3070" s="48"/>
      <c r="V3070" s="49"/>
    </row>
    <row r="3071" spans="7:22">
      <c r="G3071" s="48"/>
      <c r="H3071" s="48"/>
      <c r="I3071" s="48"/>
      <c r="J3071" s="49"/>
      <c r="K3071" s="1498"/>
      <c r="L3071" s="49"/>
      <c r="M3071" s="1498"/>
      <c r="N3071" s="49"/>
      <c r="O3071" s="644"/>
      <c r="P3071" s="644"/>
      <c r="Q3071" s="644"/>
      <c r="R3071" s="644"/>
      <c r="S3071" s="48"/>
      <c r="T3071" s="1228"/>
      <c r="U3071" s="48"/>
      <c r="V3071" s="48"/>
    </row>
    <row r="3072" spans="7:22">
      <c r="G3072" s="48"/>
      <c r="H3072" s="48"/>
      <c r="I3072" s="48"/>
      <c r="J3072" s="49"/>
      <c r="K3072" s="49"/>
      <c r="L3072" s="49"/>
      <c r="M3072" s="1498"/>
      <c r="N3072" s="49"/>
      <c r="O3072" s="644"/>
      <c r="P3072" s="644"/>
      <c r="Q3072" s="644"/>
      <c r="R3072" s="644"/>
      <c r="S3072" s="48"/>
      <c r="T3072" s="1228"/>
      <c r="U3072" s="48"/>
      <c r="V3072" s="48"/>
    </row>
    <row r="3073" spans="7:22">
      <c r="G3073" s="48"/>
      <c r="H3073" s="48"/>
      <c r="I3073" s="48"/>
      <c r="J3073" s="954">
        <f>SUM(J3061:J3069)</f>
        <v>0</v>
      </c>
      <c r="K3073" s="954"/>
      <c r="L3073" s="954">
        <f>SUM(L3061:L3072)</f>
        <v>0</v>
      </c>
      <c r="M3073" s="1498"/>
      <c r="N3073" s="954">
        <f>SUM(N3061:N3072)</f>
        <v>0</v>
      </c>
      <c r="O3073" s="644"/>
      <c r="P3073" s="969">
        <f>SUM(P3061:P3067)</f>
        <v>9041000</v>
      </c>
      <c r="Q3073" s="969"/>
      <c r="R3073" s="969">
        <f>SUM(R3061:R3067)</f>
        <v>1474000</v>
      </c>
      <c r="S3073" s="48"/>
      <c r="T3073" s="1178">
        <f>SUM(T3061:T3072)</f>
        <v>0</v>
      </c>
      <c r="U3073" s="48"/>
      <c r="V3073" s="878">
        <f>SUM(V3061:V3072)</f>
        <v>0</v>
      </c>
    </row>
    <row r="3074" spans="7:22">
      <c r="T3074" s="1227"/>
    </row>
    <row r="3075" spans="7:22">
      <c r="T3075" s="1227"/>
    </row>
    <row r="3076" spans="7:22">
      <c r="R3076" s="661"/>
      <c r="T3076" s="1227"/>
    </row>
    <row r="3077" spans="7:22">
      <c r="T3077" s="1227"/>
    </row>
    <row r="3078" spans="7:22">
      <c r="T3078" s="1227"/>
    </row>
    <row r="3079" spans="7:22">
      <c r="I3079" s="946"/>
      <c r="M3079" s="1533" t="s">
        <v>3699</v>
      </c>
      <c r="O3079" s="1535" t="s">
        <v>3741</v>
      </c>
      <c r="P3079" s="1512">
        <f>P3073-R3073</f>
        <v>7567000</v>
      </c>
      <c r="S3079" s="906" t="s">
        <v>4049</v>
      </c>
      <c r="T3079" s="1107">
        <f>T3073-V3073</f>
        <v>0</v>
      </c>
    </row>
    <row r="3080" spans="7:22">
      <c r="G3080" s="1574" t="s">
        <v>3530</v>
      </c>
      <c r="H3080" s="1574"/>
      <c r="I3080" s="1574"/>
      <c r="J3080" s="3">
        <f>J3073+L3073</f>
        <v>0</v>
      </c>
      <c r="K3080" s="1009"/>
      <c r="L3080" s="3"/>
      <c r="M3080" s="1533" t="s">
        <v>3664</v>
      </c>
      <c r="N3080" s="1527"/>
      <c r="O3080" s="1535" t="s">
        <v>4066</v>
      </c>
      <c r="P3080" s="1512"/>
      <c r="T3080" s="1227"/>
    </row>
    <row r="3081" spans="7:22">
      <c r="G3081" s="1574" t="s">
        <v>3512</v>
      </c>
      <c r="H3081" s="1574"/>
      <c r="I3081" s="1574"/>
      <c r="J3081" s="3">
        <f>N3073-J3080</f>
        <v>0</v>
      </c>
      <c r="K3081" s="1009"/>
      <c r="L3081" s="3"/>
      <c r="M3081" s="1528"/>
      <c r="O3081" s="1529"/>
      <c r="Q3081" s="661"/>
      <c r="T3081" s="1227"/>
    </row>
    <row r="3082" spans="7:22">
      <c r="G3082" s="1574" t="s">
        <v>3531</v>
      </c>
      <c r="H3082" s="1574"/>
      <c r="I3082" s="1574"/>
      <c r="J3082" s="3">
        <f>T3079</f>
        <v>0</v>
      </c>
      <c r="Q3082" s="3"/>
      <c r="T3082" s="1227"/>
    </row>
    <row r="3083" spans="7:22">
      <c r="G3083" s="1564" t="s">
        <v>4067</v>
      </c>
      <c r="H3083" s="1564"/>
      <c r="I3083" s="1564"/>
      <c r="R3083" s="3"/>
      <c r="T3083" s="1227"/>
    </row>
    <row r="3088" spans="7:22">
      <c r="G3088" s="1008">
        <v>46029</v>
      </c>
      <c r="H3088" s="1169"/>
      <c r="I3088" s="1575" t="s">
        <v>3510</v>
      </c>
      <c r="J3088" s="1576"/>
      <c r="K3088" s="1575" t="s">
        <v>3509</v>
      </c>
      <c r="L3088" s="1576"/>
      <c r="M3088" s="1575" t="s">
        <v>3541</v>
      </c>
      <c r="N3088" s="1576"/>
      <c r="O3088" s="1577" t="s">
        <v>3598</v>
      </c>
      <c r="P3088" s="1578"/>
      <c r="Q3088" s="1579" t="s">
        <v>3599</v>
      </c>
      <c r="R3088" s="1580"/>
      <c r="S3088" s="1583" t="s">
        <v>3953</v>
      </c>
      <c r="T3088" s="1583"/>
      <c r="U3088" s="1583" t="s">
        <v>3954</v>
      </c>
      <c r="V3088" s="1583"/>
    </row>
    <row r="3089" spans="7:22">
      <c r="G3089" s="1097"/>
      <c r="H3089" s="1170"/>
      <c r="I3089" s="1230"/>
      <c r="J3089" s="49"/>
      <c r="K3089" s="1495"/>
      <c r="L3089" s="49"/>
      <c r="M3089" s="49" t="s">
        <v>4380</v>
      </c>
      <c r="N3089" s="49"/>
      <c r="O3089" s="1383" t="s">
        <v>4360</v>
      </c>
      <c r="P3089" s="644">
        <v>7567000</v>
      </c>
      <c r="Q3089" s="1231" t="s">
        <v>4387</v>
      </c>
      <c r="R3089" s="644">
        <v>1100000</v>
      </c>
      <c r="S3089" s="1223"/>
      <c r="T3089" s="1191"/>
      <c r="U3089" s="1232"/>
      <c r="V3089" s="48"/>
    </row>
    <row r="3090" spans="7:22">
      <c r="G3090" s="1098"/>
      <c r="H3090" s="1172"/>
      <c r="I3090" s="1232"/>
      <c r="J3090" s="49"/>
      <c r="K3090" s="1495"/>
      <c r="L3090" s="49"/>
      <c r="M3090" s="1495"/>
      <c r="N3090" s="49"/>
      <c r="O3090" s="1383"/>
      <c r="P3090" s="644"/>
      <c r="Q3090" s="1256" t="s">
        <v>4388</v>
      </c>
      <c r="R3090" s="644">
        <v>400000</v>
      </c>
      <c r="S3090" s="1223"/>
      <c r="T3090" s="1191"/>
      <c r="U3090" s="48"/>
      <c r="V3090" s="49"/>
    </row>
    <row r="3091" spans="7:22">
      <c r="G3091" s="48"/>
      <c r="H3091" s="48"/>
      <c r="I3091" s="1239"/>
      <c r="J3091" s="49"/>
      <c r="K3091" s="1495"/>
      <c r="L3091" s="49"/>
      <c r="M3091" s="1493"/>
      <c r="N3091" s="49"/>
      <c r="O3091" s="1383"/>
      <c r="P3091" s="644"/>
      <c r="Q3091" s="1231"/>
      <c r="R3091" s="644"/>
      <c r="S3091" s="1215"/>
      <c r="T3091" s="1191"/>
      <c r="U3091" s="1078"/>
      <c r="V3091" s="49"/>
    </row>
    <row r="3092" spans="7:22">
      <c r="G3092" s="48"/>
      <c r="H3092" s="48"/>
      <c r="I3092" s="1197"/>
      <c r="J3092" s="49"/>
      <c r="K3092" s="1495"/>
      <c r="L3092" s="49"/>
      <c r="M3092" s="1493"/>
      <c r="N3092" s="49"/>
      <c r="O3092" s="644"/>
      <c r="P3092" s="644"/>
      <c r="Q3092" s="1231"/>
      <c r="R3092" s="644"/>
      <c r="S3092" s="48"/>
      <c r="T3092" s="1228"/>
      <c r="U3092" s="48"/>
      <c r="V3092" s="49"/>
    </row>
    <row r="3093" spans="7:22">
      <c r="G3093" s="48"/>
      <c r="H3093" s="48"/>
      <c r="I3093" s="1200"/>
      <c r="J3093" s="49"/>
      <c r="K3093" s="1495"/>
      <c r="L3093" s="49"/>
      <c r="M3093" s="1493"/>
      <c r="N3093" s="49"/>
      <c r="O3093" s="644"/>
      <c r="P3093" s="644"/>
      <c r="Q3093" s="1231"/>
      <c r="R3093" s="644"/>
      <c r="S3093" s="48"/>
      <c r="T3093" s="1228"/>
      <c r="U3093" s="48"/>
      <c r="V3093" s="49"/>
    </row>
    <row r="3094" spans="7:22">
      <c r="G3094" s="48"/>
      <c r="H3094" s="48"/>
      <c r="I3094" s="1200"/>
      <c r="J3094" s="49"/>
      <c r="K3094" s="1495"/>
      <c r="L3094" s="49"/>
      <c r="M3094" s="1495"/>
      <c r="N3094" s="49"/>
      <c r="O3094" s="644"/>
      <c r="P3094" s="644"/>
      <c r="Q3094" s="1231"/>
      <c r="R3094" s="644"/>
      <c r="S3094" s="48"/>
      <c r="T3094" s="1228"/>
      <c r="U3094" s="48"/>
      <c r="V3094" s="49"/>
    </row>
    <row r="3095" spans="7:22">
      <c r="G3095" s="48"/>
      <c r="H3095" s="48"/>
      <c r="I3095" s="1184"/>
      <c r="J3095" s="49"/>
      <c r="K3095" s="1495"/>
      <c r="L3095" s="49"/>
      <c r="M3095" s="1498"/>
      <c r="N3095" s="49"/>
      <c r="O3095" s="644"/>
      <c r="P3095" s="644"/>
      <c r="Q3095" s="1243"/>
      <c r="R3095" s="644"/>
      <c r="S3095" s="48"/>
      <c r="T3095" s="1228"/>
      <c r="U3095" s="48"/>
      <c r="V3095" s="49"/>
    </row>
    <row r="3096" spans="7:22">
      <c r="G3096" s="48"/>
      <c r="H3096" s="48"/>
      <c r="I3096" s="1184"/>
      <c r="J3096" s="49"/>
      <c r="K3096" s="1532"/>
      <c r="L3096" s="49"/>
      <c r="M3096" s="1498"/>
      <c r="N3096" s="49"/>
      <c r="O3096" s="644"/>
      <c r="P3096" s="644"/>
      <c r="Q3096" s="644"/>
      <c r="R3096" s="644"/>
      <c r="S3096" s="48"/>
      <c r="T3096" s="1228"/>
      <c r="U3096" s="48"/>
      <c r="V3096" s="49"/>
    </row>
    <row r="3097" spans="7:22">
      <c r="G3097" s="48"/>
      <c r="H3097" s="48"/>
      <c r="I3097" s="48"/>
      <c r="J3097" s="49"/>
      <c r="K3097" s="1495"/>
      <c r="L3097" s="49"/>
      <c r="M3097" s="1498"/>
      <c r="N3097" s="49"/>
      <c r="O3097" s="644"/>
      <c r="P3097" s="644"/>
      <c r="Q3097" s="644"/>
      <c r="R3097" s="644"/>
      <c r="S3097" s="48"/>
      <c r="T3097" s="1228"/>
      <c r="U3097" s="48"/>
      <c r="V3097" s="49"/>
    </row>
    <row r="3098" spans="7:22">
      <c r="G3098" s="48"/>
      <c r="H3098" s="48"/>
      <c r="I3098" s="48"/>
      <c r="J3098" s="49"/>
      <c r="K3098" s="1495"/>
      <c r="L3098" s="49"/>
      <c r="M3098" s="1498"/>
      <c r="N3098" s="49"/>
      <c r="O3098" s="644"/>
      <c r="P3098" s="644"/>
      <c r="Q3098" s="644"/>
      <c r="R3098" s="644"/>
      <c r="S3098" s="48"/>
      <c r="T3098" s="1228"/>
      <c r="U3098" s="48"/>
      <c r="V3098" s="49"/>
    </row>
    <row r="3099" spans="7:22">
      <c r="G3099" s="48"/>
      <c r="H3099" s="48"/>
      <c r="I3099" s="48"/>
      <c r="J3099" s="49"/>
      <c r="K3099" s="1498"/>
      <c r="L3099" s="49"/>
      <c r="M3099" s="1498"/>
      <c r="N3099" s="49"/>
      <c r="O3099" s="644"/>
      <c r="P3099" s="644"/>
      <c r="Q3099" s="644"/>
      <c r="R3099" s="644"/>
      <c r="S3099" s="48"/>
      <c r="T3099" s="1228"/>
      <c r="U3099" s="48"/>
      <c r="V3099" s="48"/>
    </row>
    <row r="3100" spans="7:22">
      <c r="G3100" s="48"/>
      <c r="H3100" s="48"/>
      <c r="I3100" s="48"/>
      <c r="J3100" s="49"/>
      <c r="K3100" s="49"/>
      <c r="L3100" s="49"/>
      <c r="M3100" s="1498"/>
      <c r="N3100" s="49"/>
      <c r="O3100" s="644"/>
      <c r="P3100" s="644"/>
      <c r="Q3100" s="644"/>
      <c r="R3100" s="644"/>
      <c r="S3100" s="48"/>
      <c r="T3100" s="1228"/>
      <c r="U3100" s="48"/>
      <c r="V3100" s="48"/>
    </row>
    <row r="3101" spans="7:22">
      <c r="G3101" s="48"/>
      <c r="H3101" s="48"/>
      <c r="I3101" s="48"/>
      <c r="J3101" s="954">
        <f>SUM(J3089:J3097)</f>
        <v>0</v>
      </c>
      <c r="K3101" s="954"/>
      <c r="L3101" s="954">
        <f>SUM(L3089:L3100)</f>
        <v>0</v>
      </c>
      <c r="M3101" s="1498"/>
      <c r="N3101" s="954">
        <f>SUM(N3089:N3100)</f>
        <v>0</v>
      </c>
      <c r="O3101" s="644"/>
      <c r="P3101" s="969">
        <f>SUM(P3089:P3095)</f>
        <v>7567000</v>
      </c>
      <c r="Q3101" s="969"/>
      <c r="R3101" s="969">
        <f>SUM(R3089:R3095)</f>
        <v>1500000</v>
      </c>
      <c r="S3101" s="48"/>
      <c r="T3101" s="1178">
        <f>SUM(T3089:T3100)</f>
        <v>0</v>
      </c>
      <c r="U3101" s="48"/>
      <c r="V3101" s="878">
        <f>SUM(V3089:V3100)</f>
        <v>0</v>
      </c>
    </row>
    <row r="3102" spans="7:22">
      <c r="T3102" s="1227"/>
    </row>
    <row r="3103" spans="7:22">
      <c r="T3103" s="1227"/>
    </row>
    <row r="3104" spans="7:22">
      <c r="R3104" s="661"/>
      <c r="T3104" s="1227"/>
    </row>
    <row r="3105" spans="7:22">
      <c r="T3105" s="1227"/>
    </row>
    <row r="3106" spans="7:22">
      <c r="T3106" s="1227"/>
    </row>
    <row r="3107" spans="7:22">
      <c r="I3107" s="946"/>
      <c r="M3107" s="1533" t="s">
        <v>3699</v>
      </c>
      <c r="O3107" s="1535" t="s">
        <v>3741</v>
      </c>
      <c r="P3107" s="1512">
        <f>P3101-R3101</f>
        <v>6067000</v>
      </c>
      <c r="S3107" s="906" t="s">
        <v>4049</v>
      </c>
      <c r="T3107" s="1107">
        <f>T3101-V3101</f>
        <v>0</v>
      </c>
    </row>
    <row r="3108" spans="7:22">
      <c r="G3108" s="1574" t="s">
        <v>3530</v>
      </c>
      <c r="H3108" s="1574"/>
      <c r="I3108" s="1574"/>
      <c r="J3108" s="3">
        <f>J3101+L3101</f>
        <v>0</v>
      </c>
      <c r="K3108" s="1009"/>
      <c r="L3108" s="3"/>
      <c r="M3108" s="1533" t="s">
        <v>3664</v>
      </c>
      <c r="N3108" s="1527"/>
      <c r="O3108" s="1535" t="s">
        <v>4066</v>
      </c>
      <c r="P3108" s="1512"/>
      <c r="T3108" s="1227"/>
    </row>
    <row r="3109" spans="7:22">
      <c r="G3109" s="1574" t="s">
        <v>3512</v>
      </c>
      <c r="H3109" s="1574"/>
      <c r="I3109" s="1574"/>
      <c r="J3109" s="3">
        <f>N3101-J3108</f>
        <v>0</v>
      </c>
      <c r="K3109" s="1009"/>
      <c r="L3109" s="3"/>
      <c r="M3109" s="1528"/>
      <c r="O3109" s="1529"/>
      <c r="Q3109" s="661"/>
      <c r="T3109" s="1227"/>
    </row>
    <row r="3110" spans="7:22">
      <c r="G3110" s="1574" t="s">
        <v>3531</v>
      </c>
      <c r="H3110" s="1574"/>
      <c r="I3110" s="1574"/>
      <c r="J3110" s="3">
        <f>T3107</f>
        <v>0</v>
      </c>
      <c r="Q3110" s="3"/>
      <c r="T3110" s="1227"/>
    </row>
    <row r="3111" spans="7:22">
      <c r="G3111" s="1564" t="s">
        <v>4067</v>
      </c>
      <c r="H3111" s="1564"/>
      <c r="I3111" s="1564"/>
      <c r="R3111" s="3"/>
      <c r="T3111" s="1227"/>
    </row>
    <row r="3113" spans="7:22">
      <c r="N3113" s="3">
        <v>1228200000</v>
      </c>
    </row>
    <row r="3114" spans="7:22">
      <c r="N3114" s="3">
        <f>N3113*0.99</f>
        <v>1215918000</v>
      </c>
    </row>
    <row r="3115" spans="7:22">
      <c r="N3115" s="3">
        <f>N3114</f>
        <v>1215918000</v>
      </c>
    </row>
    <row r="3116" spans="7:22">
      <c r="N3116" s="3">
        <f>N3115-125000000</f>
        <v>1090918000</v>
      </c>
    </row>
    <row r="3117" spans="7:22">
      <c r="N3117" s="3">
        <v>125000000</v>
      </c>
    </row>
    <row r="3118" spans="7:22">
      <c r="G3118" s="1008">
        <v>46030</v>
      </c>
      <c r="H3118" s="1169"/>
      <c r="I3118" s="1575" t="s">
        <v>3510</v>
      </c>
      <c r="J3118" s="1576"/>
      <c r="K3118" s="1575" t="s">
        <v>3509</v>
      </c>
      <c r="L3118" s="1576"/>
      <c r="M3118" s="1575" t="s">
        <v>3541</v>
      </c>
      <c r="N3118" s="1576"/>
      <c r="O3118" s="1577" t="s">
        <v>3598</v>
      </c>
      <c r="P3118" s="1578"/>
      <c r="Q3118" s="1579" t="s">
        <v>3599</v>
      </c>
      <c r="R3118" s="1580"/>
      <c r="S3118" s="1583" t="s">
        <v>3953</v>
      </c>
      <c r="T3118" s="1583"/>
      <c r="U3118" s="1583" t="s">
        <v>3954</v>
      </c>
      <c r="V3118" s="1583"/>
    </row>
    <row r="3119" spans="7:22">
      <c r="G3119" s="1097"/>
      <c r="H3119" s="1170"/>
      <c r="I3119" s="1230"/>
      <c r="J3119" s="49"/>
      <c r="K3119" s="1495" t="s">
        <v>3532</v>
      </c>
      <c r="L3119" s="49">
        <v>218000</v>
      </c>
      <c r="M3119" s="1495" t="s">
        <v>3567</v>
      </c>
      <c r="N3119" s="49">
        <v>125000000</v>
      </c>
      <c r="O3119" s="1383" t="s">
        <v>4360</v>
      </c>
      <c r="P3119" s="644">
        <v>6067000</v>
      </c>
      <c r="Q3119" s="1256" t="s">
        <v>3808</v>
      </c>
      <c r="R3119" s="644">
        <v>5525000</v>
      </c>
      <c r="S3119" s="1223"/>
      <c r="T3119" s="1191"/>
      <c r="U3119" s="1232"/>
      <c r="V3119" s="48"/>
    </row>
    <row r="3120" spans="7:22">
      <c r="G3120" s="1098"/>
      <c r="H3120" s="1172"/>
      <c r="I3120" s="1232"/>
      <c r="J3120" s="49"/>
      <c r="K3120" s="1495"/>
      <c r="L3120" s="49"/>
      <c r="M3120" s="1495" t="s">
        <v>4391</v>
      </c>
      <c r="N3120" s="49">
        <v>700000</v>
      </c>
      <c r="O3120" s="1383"/>
      <c r="P3120" s="644"/>
      <c r="Q3120" s="1256" t="s">
        <v>4389</v>
      </c>
      <c r="R3120" s="644">
        <v>42000</v>
      </c>
      <c r="S3120" s="1223"/>
      <c r="T3120" s="1191"/>
      <c r="U3120" s="48"/>
      <c r="V3120" s="49"/>
    </row>
    <row r="3121" spans="7:22">
      <c r="G3121" s="48"/>
      <c r="H3121" s="48"/>
      <c r="I3121" s="1239"/>
      <c r="J3121" s="49"/>
      <c r="K3121" s="1495"/>
      <c r="L3121" s="49"/>
      <c r="M3121" s="1493" t="s">
        <v>4395</v>
      </c>
      <c r="N3121" s="49">
        <v>1090918000</v>
      </c>
      <c r="O3121" s="1383"/>
      <c r="P3121" s="644"/>
      <c r="Q3121" s="1256" t="s">
        <v>3612</v>
      </c>
      <c r="R3121" s="644">
        <v>62000</v>
      </c>
      <c r="S3121" s="1215"/>
      <c r="T3121" s="1191"/>
      <c r="U3121" s="1078"/>
      <c r="V3121" s="49"/>
    </row>
    <row r="3122" spans="7:22">
      <c r="G3122" s="48"/>
      <c r="H3122" s="48"/>
      <c r="I3122" s="1197"/>
      <c r="J3122" s="49"/>
      <c r="K3122" s="1495"/>
      <c r="L3122" s="49"/>
      <c r="M3122" s="1493"/>
      <c r="N3122" s="49"/>
      <c r="O3122" s="644"/>
      <c r="P3122" s="644"/>
      <c r="Q3122" s="1231"/>
      <c r="R3122" s="644"/>
      <c r="S3122" s="48"/>
      <c r="T3122" s="1250"/>
      <c r="U3122" s="48"/>
      <c r="V3122" s="49"/>
    </row>
    <row r="3123" spans="7:22">
      <c r="G3123" s="48"/>
      <c r="H3123" s="48"/>
      <c r="I3123" s="1200"/>
      <c r="J3123" s="49"/>
      <c r="K3123" s="1495"/>
      <c r="L3123" s="49"/>
      <c r="M3123" s="1493"/>
      <c r="N3123" s="49"/>
      <c r="O3123" s="644"/>
      <c r="P3123" s="644"/>
      <c r="Q3123" s="1231"/>
      <c r="R3123" s="644"/>
      <c r="S3123" s="48"/>
      <c r="T3123" s="1250"/>
      <c r="U3123" s="48"/>
      <c r="V3123" s="49"/>
    </row>
    <row r="3124" spans="7:22">
      <c r="G3124" s="48"/>
      <c r="H3124" s="48"/>
      <c r="I3124" s="1200"/>
      <c r="J3124" s="49"/>
      <c r="K3124" s="1495"/>
      <c r="L3124" s="49"/>
      <c r="M3124" s="1495"/>
      <c r="N3124" s="49"/>
      <c r="O3124" s="644"/>
      <c r="P3124" s="644"/>
      <c r="Q3124" s="1231"/>
      <c r="R3124" s="644"/>
      <c r="S3124" s="48"/>
      <c r="T3124" s="1250"/>
      <c r="U3124" s="48"/>
      <c r="V3124" s="49"/>
    </row>
    <row r="3125" spans="7:22">
      <c r="G3125" s="48"/>
      <c r="H3125" s="48"/>
      <c r="I3125" s="1184"/>
      <c r="J3125" s="49"/>
      <c r="K3125" s="1495"/>
      <c r="L3125" s="49"/>
      <c r="M3125" s="1498"/>
      <c r="N3125" s="49"/>
      <c r="O3125" s="644"/>
      <c r="P3125" s="644"/>
      <c r="Q3125" s="1243"/>
      <c r="R3125" s="644"/>
      <c r="S3125" s="48"/>
      <c r="T3125" s="1250"/>
      <c r="U3125" s="48"/>
      <c r="V3125" s="49"/>
    </row>
    <row r="3126" spans="7:22">
      <c r="G3126" s="48"/>
      <c r="H3126" s="48"/>
      <c r="I3126" s="1184"/>
      <c r="J3126" s="49"/>
      <c r="K3126" s="1532"/>
      <c r="L3126" s="49"/>
      <c r="M3126" s="1498"/>
      <c r="N3126" s="49"/>
      <c r="O3126" s="644"/>
      <c r="P3126" s="644"/>
      <c r="Q3126" s="644"/>
      <c r="R3126" s="644"/>
      <c r="S3126" s="48"/>
      <c r="T3126" s="1250"/>
      <c r="U3126" s="48"/>
      <c r="V3126" s="49"/>
    </row>
    <row r="3127" spans="7:22">
      <c r="G3127" s="48"/>
      <c r="H3127" s="48"/>
      <c r="I3127" s="48"/>
      <c r="J3127" s="49"/>
      <c r="K3127" s="1495"/>
      <c r="L3127" s="49"/>
      <c r="M3127" s="1498"/>
      <c r="N3127" s="49"/>
      <c r="O3127" s="644"/>
      <c r="P3127" s="644"/>
      <c r="Q3127" s="644"/>
      <c r="R3127" s="644"/>
      <c r="S3127" s="48"/>
      <c r="T3127" s="1250"/>
      <c r="U3127" s="48"/>
      <c r="V3127" s="49"/>
    </row>
    <row r="3128" spans="7:22">
      <c r="G3128" s="48"/>
      <c r="H3128" s="48"/>
      <c r="I3128" s="48"/>
      <c r="J3128" s="49"/>
      <c r="K3128" s="1495"/>
      <c r="L3128" s="49"/>
      <c r="M3128" s="1498"/>
      <c r="N3128" s="49"/>
      <c r="O3128" s="644"/>
      <c r="P3128" s="644"/>
      <c r="Q3128" s="644"/>
      <c r="R3128" s="644"/>
      <c r="S3128" s="48"/>
      <c r="T3128" s="1250"/>
      <c r="U3128" s="48"/>
      <c r="V3128" s="49"/>
    </row>
    <row r="3129" spans="7:22">
      <c r="G3129" s="48"/>
      <c r="H3129" s="48"/>
      <c r="I3129" s="48"/>
      <c r="J3129" s="49"/>
      <c r="K3129" s="1498"/>
      <c r="L3129" s="49"/>
      <c r="M3129" s="1498"/>
      <c r="N3129" s="49"/>
      <c r="O3129" s="644"/>
      <c r="P3129" s="644"/>
      <c r="Q3129" s="644"/>
      <c r="R3129" s="644"/>
      <c r="S3129" s="48"/>
      <c r="T3129" s="1250"/>
      <c r="U3129" s="48"/>
      <c r="V3129" s="48"/>
    </row>
    <row r="3130" spans="7:22">
      <c r="G3130" s="48"/>
      <c r="H3130" s="48"/>
      <c r="I3130" s="48"/>
      <c r="J3130" s="49"/>
      <c r="K3130" s="49"/>
      <c r="L3130" s="49"/>
      <c r="M3130" s="1498"/>
      <c r="N3130" s="49"/>
      <c r="O3130" s="644"/>
      <c r="P3130" s="644"/>
      <c r="Q3130" s="644"/>
      <c r="R3130" s="644"/>
      <c r="S3130" s="48"/>
      <c r="T3130" s="1250"/>
      <c r="U3130" s="48"/>
      <c r="V3130" s="48"/>
    </row>
    <row r="3131" spans="7:22">
      <c r="G3131" s="48"/>
      <c r="H3131" s="48"/>
      <c r="I3131" s="48"/>
      <c r="J3131" s="954">
        <f>SUM(J3119:J3127)</f>
        <v>0</v>
      </c>
      <c r="K3131" s="954"/>
      <c r="L3131" s="954">
        <f>SUM(L3119:L3130)</f>
        <v>218000</v>
      </c>
      <c r="M3131" s="1498"/>
      <c r="N3131" s="954">
        <f>SUM(N3119:N3130)</f>
        <v>1216618000</v>
      </c>
      <c r="O3131" s="644"/>
      <c r="P3131" s="969">
        <f>SUM(P3119:P3125)</f>
        <v>6067000</v>
      </c>
      <c r="Q3131" s="969"/>
      <c r="R3131" s="969">
        <f>SUM(R3119:R3125)</f>
        <v>5629000</v>
      </c>
      <c r="S3131" s="48"/>
      <c r="T3131" s="1178">
        <f>SUM(T3119:T3130)</f>
        <v>0</v>
      </c>
      <c r="U3131" s="48"/>
      <c r="V3131" s="878">
        <f>SUM(V3119:V3130)</f>
        <v>0</v>
      </c>
    </row>
    <row r="3132" spans="7:22">
      <c r="T3132" s="1249"/>
    </row>
    <row r="3133" spans="7:22">
      <c r="T3133" s="1249"/>
    </row>
    <row r="3134" spans="7:22">
      <c r="R3134" s="661"/>
      <c r="T3134" s="1249"/>
    </row>
    <row r="3135" spans="7:22">
      <c r="T3135" s="1249"/>
    </row>
    <row r="3136" spans="7:22">
      <c r="T3136" s="1249"/>
    </row>
    <row r="3137" spans="7:22">
      <c r="I3137" s="946"/>
      <c r="M3137" s="1533" t="s">
        <v>3699</v>
      </c>
      <c r="O3137" s="1535" t="s">
        <v>3741</v>
      </c>
      <c r="P3137" s="1512">
        <f>P3131-R3131</f>
        <v>438000</v>
      </c>
      <c r="S3137" s="906" t="s">
        <v>4049</v>
      </c>
      <c r="T3137" s="1107">
        <f>T3131-V3131</f>
        <v>0</v>
      </c>
    </row>
    <row r="3138" spans="7:22">
      <c r="G3138" s="1574" t="s">
        <v>3530</v>
      </c>
      <c r="H3138" s="1574"/>
      <c r="I3138" s="1574"/>
      <c r="J3138" s="3">
        <f>J3131+L3131</f>
        <v>218000</v>
      </c>
      <c r="K3138" s="1009"/>
      <c r="L3138" s="3"/>
      <c r="M3138" s="1533" t="s">
        <v>3664</v>
      </c>
      <c r="N3138" s="1527"/>
      <c r="O3138" s="1535" t="s">
        <v>4066</v>
      </c>
      <c r="P3138" s="1512"/>
      <c r="T3138" s="1249"/>
    </row>
    <row r="3139" spans="7:22">
      <c r="G3139" s="1574" t="s">
        <v>3512</v>
      </c>
      <c r="H3139" s="1574"/>
      <c r="I3139" s="1574"/>
      <c r="J3139" s="3">
        <f>N3131-J3138</f>
        <v>1216400000</v>
      </c>
      <c r="K3139" s="1009"/>
      <c r="L3139" s="3"/>
      <c r="M3139" s="1528"/>
      <c r="O3139" s="1529"/>
      <c r="Q3139" s="661"/>
      <c r="T3139" s="1249"/>
    </row>
    <row r="3140" spans="7:22">
      <c r="G3140" s="1574" t="s">
        <v>3531</v>
      </c>
      <c r="H3140" s="1574"/>
      <c r="I3140" s="1574"/>
      <c r="J3140" s="3">
        <f>T3137</f>
        <v>0</v>
      </c>
      <c r="Q3140" s="3"/>
      <c r="T3140" s="1249"/>
    </row>
    <row r="3141" spans="7:22">
      <c r="G3141" s="1564" t="s">
        <v>4067</v>
      </c>
      <c r="H3141" s="1564"/>
      <c r="I3141" s="1564"/>
      <c r="R3141" s="3"/>
      <c r="T3141" s="1249"/>
    </row>
    <row r="3151" spans="7:22">
      <c r="G3151" s="1008">
        <v>46031</v>
      </c>
      <c r="H3151" s="1169"/>
      <c r="I3151" s="1575" t="s">
        <v>3510</v>
      </c>
      <c r="J3151" s="1576"/>
      <c r="K3151" s="1575" t="s">
        <v>3509</v>
      </c>
      <c r="L3151" s="1576"/>
      <c r="M3151" s="1575" t="s">
        <v>3541</v>
      </c>
      <c r="N3151" s="1576"/>
      <c r="O3151" s="1577" t="s">
        <v>3598</v>
      </c>
      <c r="P3151" s="1578"/>
      <c r="Q3151" s="1579" t="s">
        <v>3599</v>
      </c>
      <c r="R3151" s="1580"/>
      <c r="S3151" s="1583" t="s">
        <v>3953</v>
      </c>
      <c r="T3151" s="1583"/>
      <c r="U3151" s="1583" t="s">
        <v>3954</v>
      </c>
      <c r="V3151" s="1583"/>
    </row>
    <row r="3152" spans="7:22">
      <c r="G3152" s="1097"/>
      <c r="H3152" s="1261" t="s">
        <v>4398</v>
      </c>
      <c r="I3152" s="1260" t="s">
        <v>4397</v>
      </c>
      <c r="J3152" s="49">
        <v>97500000</v>
      </c>
      <c r="K3152" s="1495" t="s">
        <v>3857</v>
      </c>
      <c r="L3152" s="49">
        <v>23000000</v>
      </c>
      <c r="M3152" s="1495" t="s">
        <v>3512</v>
      </c>
      <c r="N3152" s="49">
        <v>317000000</v>
      </c>
      <c r="O3152" s="1383" t="s">
        <v>4360</v>
      </c>
      <c r="P3152" s="644"/>
      <c r="Q3152" s="1256"/>
      <c r="R3152" s="644"/>
      <c r="S3152" s="1223"/>
      <c r="T3152" s="1191"/>
      <c r="U3152" s="1232"/>
      <c r="V3152" s="48"/>
    </row>
    <row r="3153" spans="7:22">
      <c r="G3153" s="1098"/>
      <c r="H3153" s="1172"/>
      <c r="I3153" s="1259" t="s">
        <v>4399</v>
      </c>
      <c r="J3153" s="49">
        <f>33000000*0.92</f>
        <v>30360000</v>
      </c>
      <c r="K3153" s="1495" t="s">
        <v>4396</v>
      </c>
      <c r="L3153" s="49">
        <v>60000000</v>
      </c>
      <c r="M3153" s="1495" t="s">
        <v>3761</v>
      </c>
      <c r="N3153" s="49">
        <v>60000000</v>
      </c>
      <c r="O3153" s="1383"/>
      <c r="P3153" s="644"/>
      <c r="Q3153" s="1256"/>
      <c r="R3153" s="644"/>
      <c r="S3153" s="1223"/>
      <c r="T3153" s="1191"/>
      <c r="U3153" s="48"/>
      <c r="V3153" s="49"/>
    </row>
    <row r="3154" spans="7:22">
      <c r="G3154" s="48"/>
      <c r="H3154" s="48"/>
      <c r="I3154" s="1262" t="s">
        <v>4194</v>
      </c>
      <c r="J3154" s="49">
        <v>88360000</v>
      </c>
      <c r="K3154" s="1495" t="s">
        <v>4400</v>
      </c>
      <c r="L3154" s="49">
        <v>18000000</v>
      </c>
      <c r="M3154" s="1493"/>
      <c r="N3154" s="49"/>
      <c r="O3154" s="1383"/>
      <c r="P3154" s="644"/>
      <c r="Q3154" s="1256"/>
      <c r="R3154" s="644"/>
      <c r="S3154" s="1215"/>
      <c r="T3154" s="1191"/>
      <c r="U3154" s="1078"/>
      <c r="V3154" s="49"/>
    </row>
    <row r="3155" spans="7:22">
      <c r="G3155" s="48"/>
      <c r="H3155" s="48"/>
      <c r="I3155" s="1259" t="s">
        <v>4375</v>
      </c>
      <c r="J3155" s="49">
        <v>29700000</v>
      </c>
      <c r="K3155" s="1495" t="s">
        <v>3659</v>
      </c>
      <c r="L3155" s="49">
        <v>1000000</v>
      </c>
      <c r="M3155" s="1493"/>
      <c r="N3155" s="49"/>
      <c r="O3155" s="644"/>
      <c r="P3155" s="644"/>
      <c r="Q3155" s="1231"/>
      <c r="R3155" s="644"/>
      <c r="S3155" s="48"/>
      <c r="T3155" s="1250"/>
      <c r="U3155" s="48"/>
      <c r="V3155" s="49"/>
    </row>
    <row r="3156" spans="7:22">
      <c r="G3156" s="48"/>
      <c r="H3156" s="48"/>
      <c r="I3156" s="1262" t="s">
        <v>4401</v>
      </c>
      <c r="J3156" s="49">
        <v>18400000</v>
      </c>
      <c r="K3156" s="1495"/>
      <c r="L3156" s="49"/>
      <c r="M3156" s="1493"/>
      <c r="N3156" s="49"/>
      <c r="O3156" s="644"/>
      <c r="P3156" s="644"/>
      <c r="Q3156" s="1231"/>
      <c r="R3156" s="644"/>
      <c r="S3156" s="48"/>
      <c r="T3156" s="1250"/>
      <c r="U3156" s="48"/>
      <c r="V3156" s="49"/>
    </row>
    <row r="3157" spans="7:22">
      <c r="G3157" s="48"/>
      <c r="H3157" s="48"/>
      <c r="I3157" s="1262" t="s">
        <v>4318</v>
      </c>
      <c r="J3157" s="49">
        <v>10100000</v>
      </c>
      <c r="K3157" s="1495"/>
      <c r="L3157" s="49"/>
      <c r="M3157" s="1495"/>
      <c r="N3157" s="49"/>
      <c r="O3157" s="644"/>
      <c r="P3157" s="644"/>
      <c r="Q3157" s="1231"/>
      <c r="R3157" s="644"/>
      <c r="S3157" s="48"/>
      <c r="T3157" s="1250"/>
      <c r="U3157" s="48"/>
      <c r="V3157" s="49"/>
    </row>
    <row r="3158" spans="7:22">
      <c r="G3158" s="48"/>
      <c r="H3158" s="48"/>
      <c r="I3158" s="1184"/>
      <c r="J3158" s="49"/>
      <c r="K3158" s="1495"/>
      <c r="L3158" s="49"/>
      <c r="M3158" s="1498"/>
      <c r="N3158" s="49"/>
      <c r="O3158" s="644"/>
      <c r="P3158" s="644"/>
      <c r="Q3158" s="1243"/>
      <c r="R3158" s="644"/>
      <c r="S3158" s="48"/>
      <c r="T3158" s="1250"/>
      <c r="U3158" s="48"/>
      <c r="V3158" s="49"/>
    </row>
    <row r="3159" spans="7:22">
      <c r="G3159" s="48"/>
      <c r="H3159" s="48"/>
      <c r="I3159" s="1184"/>
      <c r="J3159" s="49"/>
      <c r="K3159" s="1532"/>
      <c r="L3159" s="49"/>
      <c r="M3159" s="1498"/>
      <c r="N3159" s="49"/>
      <c r="O3159" s="644"/>
      <c r="P3159" s="644"/>
      <c r="Q3159" s="644"/>
      <c r="R3159" s="644"/>
      <c r="S3159" s="48"/>
      <c r="T3159" s="1250"/>
      <c r="U3159" s="48"/>
      <c r="V3159" s="49"/>
    </row>
    <row r="3160" spans="7:22">
      <c r="G3160" s="48"/>
      <c r="H3160" s="48"/>
      <c r="I3160" s="48"/>
      <c r="J3160" s="49"/>
      <c r="K3160" s="1495"/>
      <c r="L3160" s="49"/>
      <c r="M3160" s="1498"/>
      <c r="N3160" s="49"/>
      <c r="O3160" s="644"/>
      <c r="P3160" s="644"/>
      <c r="Q3160" s="644"/>
      <c r="R3160" s="644"/>
      <c r="S3160" s="48"/>
      <c r="T3160" s="1250"/>
      <c r="U3160" s="48"/>
      <c r="V3160" s="49"/>
    </row>
    <row r="3161" spans="7:22">
      <c r="G3161" s="48"/>
      <c r="H3161" s="48"/>
      <c r="I3161" s="48"/>
      <c r="J3161" s="49"/>
      <c r="K3161" s="1495"/>
      <c r="L3161" s="49"/>
      <c r="M3161" s="1498"/>
      <c r="N3161" s="49"/>
      <c r="O3161" s="644"/>
      <c r="P3161" s="644"/>
      <c r="Q3161" s="644"/>
      <c r="R3161" s="644"/>
      <c r="S3161" s="48"/>
      <c r="T3161" s="1250"/>
      <c r="U3161" s="48"/>
      <c r="V3161" s="49"/>
    </row>
    <row r="3162" spans="7:22">
      <c r="G3162" s="48"/>
      <c r="H3162" s="48"/>
      <c r="I3162" s="48"/>
      <c r="J3162" s="49"/>
      <c r="K3162" s="1498"/>
      <c r="L3162" s="49"/>
      <c r="M3162" s="1498"/>
      <c r="N3162" s="49"/>
      <c r="O3162" s="644"/>
      <c r="P3162" s="644"/>
      <c r="Q3162" s="644"/>
      <c r="R3162" s="644"/>
      <c r="S3162" s="48"/>
      <c r="T3162" s="1250"/>
      <c r="U3162" s="48"/>
      <c r="V3162" s="48"/>
    </row>
    <row r="3163" spans="7:22">
      <c r="G3163" s="48"/>
      <c r="H3163" s="48"/>
      <c r="I3163" s="48"/>
      <c r="J3163" s="49"/>
      <c r="K3163" s="49"/>
      <c r="L3163" s="49"/>
      <c r="M3163" s="1498"/>
      <c r="N3163" s="49"/>
      <c r="O3163" s="644"/>
      <c r="P3163" s="644"/>
      <c r="Q3163" s="644"/>
      <c r="R3163" s="644"/>
      <c r="S3163" s="48"/>
      <c r="T3163" s="1250"/>
      <c r="U3163" s="48"/>
      <c r="V3163" s="48"/>
    </row>
    <row r="3164" spans="7:22">
      <c r="G3164" s="48"/>
      <c r="H3164" s="48"/>
      <c r="I3164" s="48"/>
      <c r="J3164" s="954">
        <f>SUM(J3152:J3160)</f>
        <v>274420000</v>
      </c>
      <c r="K3164" s="954"/>
      <c r="L3164" s="954">
        <f>SUM(L3152:L3163)</f>
        <v>102000000</v>
      </c>
      <c r="M3164" s="1498"/>
      <c r="N3164" s="954">
        <f>SUM(N3152:N3163)</f>
        <v>377000000</v>
      </c>
      <c r="O3164" s="644"/>
      <c r="P3164" s="969">
        <f>SUM(P3152:P3158)</f>
        <v>0</v>
      </c>
      <c r="Q3164" s="969"/>
      <c r="R3164" s="969">
        <f>SUM(R3152:R3158)</f>
        <v>0</v>
      </c>
      <c r="S3164" s="48"/>
      <c r="T3164" s="1178">
        <f>SUM(T3152:T3163)</f>
        <v>0</v>
      </c>
      <c r="U3164" s="48"/>
      <c r="V3164" s="878">
        <f>SUM(V3152:V3163)</f>
        <v>0</v>
      </c>
    </row>
    <row r="3165" spans="7:22">
      <c r="T3165" s="1249"/>
    </row>
    <row r="3166" spans="7:22">
      <c r="T3166" s="1249"/>
    </row>
    <row r="3167" spans="7:22">
      <c r="R3167" s="661"/>
      <c r="T3167" s="1249"/>
    </row>
    <row r="3168" spans="7:22">
      <c r="T3168" s="1249"/>
    </row>
    <row r="3169" spans="7:22">
      <c r="T3169" s="1249"/>
    </row>
    <row r="3170" spans="7:22">
      <c r="I3170" s="946"/>
      <c r="M3170" s="1533" t="s">
        <v>3699</v>
      </c>
      <c r="O3170" s="1535" t="s">
        <v>3741</v>
      </c>
      <c r="P3170" s="1512">
        <f>P3164-R3164</f>
        <v>0</v>
      </c>
      <c r="S3170" s="906" t="s">
        <v>4049</v>
      </c>
      <c r="T3170" s="1107">
        <f>T3164-V3164</f>
        <v>0</v>
      </c>
    </row>
    <row r="3171" spans="7:22">
      <c r="G3171" s="1574" t="s">
        <v>3530</v>
      </c>
      <c r="H3171" s="1574"/>
      <c r="I3171" s="1574"/>
      <c r="J3171" s="3">
        <f>J3164+L3164</f>
        <v>376420000</v>
      </c>
      <c r="K3171" s="1009"/>
      <c r="L3171" s="3"/>
      <c r="M3171" s="1533" t="s">
        <v>3664</v>
      </c>
      <c r="N3171" s="1527"/>
      <c r="O3171" s="1535" t="s">
        <v>4066</v>
      </c>
      <c r="P3171" s="1512"/>
      <c r="T3171" s="1249"/>
    </row>
    <row r="3172" spans="7:22">
      <c r="G3172" s="1574" t="s">
        <v>3512</v>
      </c>
      <c r="H3172" s="1574"/>
      <c r="I3172" s="1574"/>
      <c r="J3172" s="3">
        <f>N3164-J3171</f>
        <v>580000</v>
      </c>
      <c r="K3172" s="1009"/>
      <c r="L3172" s="3"/>
      <c r="M3172" s="1528"/>
      <c r="O3172" s="1529"/>
      <c r="Q3172" s="661"/>
      <c r="T3172" s="1249"/>
    </row>
    <row r="3173" spans="7:22">
      <c r="G3173" s="1574" t="s">
        <v>3531</v>
      </c>
      <c r="H3173" s="1574"/>
      <c r="I3173" s="1574"/>
      <c r="J3173" s="3">
        <f>T3170</f>
        <v>0</v>
      </c>
      <c r="Q3173" s="3"/>
      <c r="T3173" s="1249"/>
    </row>
    <row r="3174" spans="7:22">
      <c r="G3174" s="1564" t="s">
        <v>4067</v>
      </c>
      <c r="H3174" s="1564"/>
      <c r="I3174" s="1564"/>
      <c r="R3174" s="3"/>
      <c r="T3174" s="1249"/>
    </row>
    <row r="3180" spans="7:22">
      <c r="G3180" s="1008">
        <v>46032</v>
      </c>
      <c r="H3180" s="1169"/>
      <c r="I3180" s="1575" t="s">
        <v>3510</v>
      </c>
      <c r="J3180" s="1576"/>
      <c r="K3180" s="1575" t="s">
        <v>3509</v>
      </c>
      <c r="L3180" s="1576"/>
      <c r="M3180" s="1575" t="s">
        <v>3541</v>
      </c>
      <c r="N3180" s="1576"/>
      <c r="O3180" s="1577" t="s">
        <v>3598</v>
      </c>
      <c r="P3180" s="1578"/>
      <c r="Q3180" s="1579" t="s">
        <v>3599</v>
      </c>
      <c r="R3180" s="1580"/>
      <c r="S3180" s="1583" t="s">
        <v>3953</v>
      </c>
      <c r="T3180" s="1583"/>
      <c r="U3180" s="1583" t="s">
        <v>3954</v>
      </c>
      <c r="V3180" s="1583"/>
    </row>
    <row r="3181" spans="7:22">
      <c r="G3181" s="1097"/>
      <c r="H3181" s="1261"/>
      <c r="I3181" s="1260"/>
      <c r="J3181" s="49"/>
      <c r="K3181" s="1495" t="s">
        <v>4403</v>
      </c>
      <c r="L3181" s="49">
        <v>600000</v>
      </c>
      <c r="M3181" s="1495" t="s">
        <v>4402</v>
      </c>
      <c r="N3181" s="49">
        <v>3000000</v>
      </c>
      <c r="O3181" s="1383" t="s">
        <v>4360</v>
      </c>
      <c r="P3181" s="644"/>
      <c r="Q3181" s="1256" t="s">
        <v>4408</v>
      </c>
      <c r="R3181" s="644">
        <v>140000</v>
      </c>
      <c r="S3181" s="1223"/>
      <c r="T3181" s="1191"/>
      <c r="U3181" s="1232"/>
      <c r="V3181" s="48"/>
    </row>
    <row r="3182" spans="7:22">
      <c r="G3182" s="1098"/>
      <c r="H3182" s="1172"/>
      <c r="I3182" s="1259"/>
      <c r="J3182" s="49"/>
      <c r="K3182" s="1495" t="s">
        <v>4407</v>
      </c>
      <c r="L3182" s="49">
        <v>100000</v>
      </c>
      <c r="M3182" s="1495"/>
      <c r="N3182" s="49"/>
      <c r="O3182" s="1383"/>
      <c r="P3182" s="644"/>
      <c r="Q3182" s="1256"/>
      <c r="R3182" s="644"/>
      <c r="S3182" s="1223"/>
      <c r="T3182" s="1191"/>
      <c r="U3182" s="48"/>
      <c r="V3182" s="49"/>
    </row>
    <row r="3183" spans="7:22">
      <c r="G3183" s="48"/>
      <c r="H3183" s="48"/>
      <c r="I3183" s="1262"/>
      <c r="J3183" s="49"/>
      <c r="K3183" s="1495"/>
      <c r="L3183" s="49"/>
      <c r="M3183" s="1493"/>
      <c r="N3183" s="49"/>
      <c r="O3183" s="1383"/>
      <c r="P3183" s="644"/>
      <c r="Q3183" s="1256"/>
      <c r="R3183" s="644"/>
      <c r="S3183" s="1215"/>
      <c r="T3183" s="1191"/>
      <c r="U3183" s="1078"/>
      <c r="V3183" s="49"/>
    </row>
    <row r="3184" spans="7:22">
      <c r="G3184" s="48"/>
      <c r="H3184" s="48"/>
      <c r="I3184" s="1259"/>
      <c r="J3184" s="49"/>
      <c r="K3184" s="1495"/>
      <c r="L3184" s="49"/>
      <c r="M3184" s="1493"/>
      <c r="N3184" s="49"/>
      <c r="O3184" s="644"/>
      <c r="P3184" s="644"/>
      <c r="Q3184" s="1231"/>
      <c r="R3184" s="644"/>
      <c r="S3184" s="48"/>
      <c r="T3184" s="1250"/>
      <c r="U3184" s="48"/>
      <c r="V3184" s="49"/>
    </row>
    <row r="3185" spans="7:22">
      <c r="G3185" s="48"/>
      <c r="H3185" s="48"/>
      <c r="I3185" s="1262"/>
      <c r="J3185" s="49"/>
      <c r="K3185" s="1495"/>
      <c r="L3185" s="49"/>
      <c r="M3185" s="1493"/>
      <c r="N3185" s="49"/>
      <c r="O3185" s="644"/>
      <c r="P3185" s="644"/>
      <c r="Q3185" s="1231"/>
      <c r="R3185" s="644"/>
      <c r="S3185" s="48"/>
      <c r="T3185" s="1250"/>
      <c r="U3185" s="48"/>
      <c r="V3185" s="49"/>
    </row>
    <row r="3186" spans="7:22">
      <c r="G3186" s="48"/>
      <c r="H3186" s="48"/>
      <c r="I3186" s="1262"/>
      <c r="J3186" s="49"/>
      <c r="K3186" s="1495"/>
      <c r="L3186" s="49"/>
      <c r="M3186" s="1495"/>
      <c r="N3186" s="49"/>
      <c r="O3186" s="644"/>
      <c r="P3186" s="644"/>
      <c r="Q3186" s="1231"/>
      <c r="R3186" s="644"/>
      <c r="S3186" s="48"/>
      <c r="T3186" s="1250"/>
      <c r="U3186" s="48"/>
      <c r="V3186" s="49"/>
    </row>
    <row r="3187" spans="7:22">
      <c r="G3187" s="48"/>
      <c r="H3187" s="48"/>
      <c r="I3187" s="1184"/>
      <c r="J3187" s="49"/>
      <c r="K3187" s="1495"/>
      <c r="L3187" s="49"/>
      <c r="M3187" s="1498"/>
      <c r="N3187" s="49"/>
      <c r="O3187" s="644"/>
      <c r="P3187" s="644"/>
      <c r="Q3187" s="1243"/>
      <c r="R3187" s="644"/>
      <c r="S3187" s="48"/>
      <c r="T3187" s="1250"/>
      <c r="U3187" s="48"/>
      <c r="V3187" s="49"/>
    </row>
    <row r="3188" spans="7:22">
      <c r="G3188" s="48"/>
      <c r="H3188" s="48"/>
      <c r="I3188" s="1184"/>
      <c r="J3188" s="49"/>
      <c r="K3188" s="1532"/>
      <c r="L3188" s="49"/>
      <c r="M3188" s="1498"/>
      <c r="N3188" s="49"/>
      <c r="O3188" s="644"/>
      <c r="P3188" s="644"/>
      <c r="Q3188" s="644"/>
      <c r="R3188" s="644"/>
      <c r="S3188" s="48"/>
      <c r="T3188" s="1250"/>
      <c r="U3188" s="48"/>
      <c r="V3188" s="49"/>
    </row>
    <row r="3189" spans="7:22">
      <c r="G3189" s="48"/>
      <c r="H3189" s="48"/>
      <c r="I3189" s="48"/>
      <c r="J3189" s="49"/>
      <c r="K3189" s="1495"/>
      <c r="L3189" s="49"/>
      <c r="M3189" s="1498"/>
      <c r="N3189" s="49"/>
      <c r="O3189" s="644"/>
      <c r="P3189" s="644"/>
      <c r="Q3189" s="644"/>
      <c r="R3189" s="644"/>
      <c r="S3189" s="48"/>
      <c r="T3189" s="1250"/>
      <c r="U3189" s="48"/>
      <c r="V3189" s="49"/>
    </row>
    <row r="3190" spans="7:22">
      <c r="G3190" s="48"/>
      <c r="H3190" s="48"/>
      <c r="I3190" s="48"/>
      <c r="J3190" s="49"/>
      <c r="K3190" s="1495"/>
      <c r="L3190" s="49"/>
      <c r="M3190" s="1498"/>
      <c r="N3190" s="49"/>
      <c r="O3190" s="644"/>
      <c r="P3190" s="644"/>
      <c r="Q3190" s="644"/>
      <c r="R3190" s="644"/>
      <c r="S3190" s="48"/>
      <c r="T3190" s="1250"/>
      <c r="U3190" s="48"/>
      <c r="V3190" s="49"/>
    </row>
    <row r="3191" spans="7:22">
      <c r="G3191" s="48"/>
      <c r="H3191" s="48"/>
      <c r="I3191" s="48"/>
      <c r="J3191" s="49"/>
      <c r="K3191" s="1498"/>
      <c r="L3191" s="49"/>
      <c r="M3191" s="1498"/>
      <c r="N3191" s="49"/>
      <c r="O3191" s="644"/>
      <c r="P3191" s="644"/>
      <c r="Q3191" s="644"/>
      <c r="R3191" s="644"/>
      <c r="S3191" s="48"/>
      <c r="T3191" s="1250"/>
      <c r="U3191" s="48"/>
      <c r="V3191" s="48"/>
    </row>
    <row r="3192" spans="7:22">
      <c r="G3192" s="48"/>
      <c r="H3192" s="48"/>
      <c r="I3192" s="48"/>
      <c r="J3192" s="49"/>
      <c r="K3192" s="49"/>
      <c r="L3192" s="49"/>
      <c r="M3192" s="1498"/>
      <c r="N3192" s="49"/>
      <c r="O3192" s="644"/>
      <c r="P3192" s="644"/>
      <c r="Q3192" s="644"/>
      <c r="R3192" s="644"/>
      <c r="S3192" s="48"/>
      <c r="T3192" s="1250"/>
      <c r="U3192" s="48"/>
      <c r="V3192" s="48"/>
    </row>
    <row r="3193" spans="7:22">
      <c r="G3193" s="48"/>
      <c r="H3193" s="48"/>
      <c r="I3193" s="48"/>
      <c r="J3193" s="954">
        <f>SUM(J3181:J3189)</f>
        <v>0</v>
      </c>
      <c r="K3193" s="954"/>
      <c r="L3193" s="954">
        <f>SUM(L3181:L3192)</f>
        <v>700000</v>
      </c>
      <c r="M3193" s="1498"/>
      <c r="N3193" s="954">
        <f>SUM(N3181:N3192)</f>
        <v>3000000</v>
      </c>
      <c r="O3193" s="644"/>
      <c r="P3193" s="969">
        <f>SUM(P3181:P3187)</f>
        <v>0</v>
      </c>
      <c r="Q3193" s="969"/>
      <c r="R3193" s="969">
        <f>SUM(R3181:R3187)</f>
        <v>140000</v>
      </c>
      <c r="S3193" s="48"/>
      <c r="T3193" s="1178">
        <f>SUM(T3181:T3192)</f>
        <v>0</v>
      </c>
      <c r="U3193" s="48"/>
      <c r="V3193" s="878">
        <f>SUM(V3181:V3192)</f>
        <v>0</v>
      </c>
    </row>
    <row r="3194" spans="7:22">
      <c r="T3194" s="1249"/>
    </row>
    <row r="3195" spans="7:22">
      <c r="T3195" s="1249"/>
    </row>
    <row r="3196" spans="7:22">
      <c r="R3196" s="661"/>
      <c r="T3196" s="1249"/>
    </row>
    <row r="3197" spans="7:22">
      <c r="T3197" s="1249"/>
    </row>
    <row r="3198" spans="7:22">
      <c r="T3198" s="1249"/>
    </row>
    <row r="3199" spans="7:22">
      <c r="I3199" s="946"/>
      <c r="M3199" s="1533" t="s">
        <v>3699</v>
      </c>
      <c r="O3199" s="1535" t="s">
        <v>3741</v>
      </c>
      <c r="P3199" s="1512">
        <f>P3193-R3193</f>
        <v>-140000</v>
      </c>
      <c r="S3199" s="906" t="s">
        <v>4049</v>
      </c>
      <c r="T3199" s="1107">
        <f>T3193-V3193</f>
        <v>0</v>
      </c>
    </row>
    <row r="3200" spans="7:22">
      <c r="G3200" s="1574" t="s">
        <v>3530</v>
      </c>
      <c r="H3200" s="1574"/>
      <c r="I3200" s="1574"/>
      <c r="J3200" s="3">
        <f>J3193+L3193</f>
        <v>700000</v>
      </c>
      <c r="K3200" s="1009"/>
      <c r="L3200" s="3"/>
      <c r="M3200" s="1533" t="s">
        <v>3664</v>
      </c>
      <c r="N3200" s="1527"/>
      <c r="O3200" s="1535" t="s">
        <v>4066</v>
      </c>
      <c r="P3200" s="1512"/>
      <c r="T3200" s="1249"/>
    </row>
    <row r="3201" spans="7:22">
      <c r="G3201" s="1574" t="s">
        <v>3512</v>
      </c>
      <c r="H3201" s="1574"/>
      <c r="I3201" s="1574"/>
      <c r="J3201" s="3">
        <f>N3193-J3200</f>
        <v>2300000</v>
      </c>
      <c r="K3201" s="1009"/>
      <c r="L3201" s="3"/>
      <c r="M3201" s="1528"/>
      <c r="O3201" s="1529"/>
      <c r="Q3201" s="661"/>
      <c r="T3201" s="1249"/>
    </row>
    <row r="3202" spans="7:22">
      <c r="G3202" s="1574" t="s">
        <v>3531</v>
      </c>
      <c r="H3202" s="1574"/>
      <c r="I3202" s="1574"/>
      <c r="J3202" s="3">
        <f>T3199</f>
        <v>0</v>
      </c>
      <c r="Q3202" s="3"/>
      <c r="T3202" s="1249"/>
    </row>
    <row r="3203" spans="7:22">
      <c r="G3203" s="1564" t="s">
        <v>4067</v>
      </c>
      <c r="H3203" s="1564"/>
      <c r="I3203" s="1564"/>
      <c r="R3203" s="3"/>
      <c r="T3203" s="1249"/>
    </row>
    <row r="3210" spans="7:22">
      <c r="G3210" s="1008">
        <v>46034</v>
      </c>
      <c r="H3210" s="1169"/>
      <c r="I3210" s="1575" t="s">
        <v>3510</v>
      </c>
      <c r="J3210" s="1576"/>
      <c r="K3210" s="1575" t="s">
        <v>3509</v>
      </c>
      <c r="L3210" s="1576"/>
      <c r="M3210" s="1575" t="s">
        <v>3541</v>
      </c>
      <c r="N3210" s="1576"/>
      <c r="O3210" s="1577" t="s">
        <v>3598</v>
      </c>
      <c r="P3210" s="1578"/>
      <c r="Q3210" s="1579" t="s">
        <v>3599</v>
      </c>
      <c r="R3210" s="1580"/>
      <c r="S3210" s="1583" t="s">
        <v>3953</v>
      </c>
      <c r="T3210" s="1583"/>
      <c r="U3210" s="1583" t="s">
        <v>3954</v>
      </c>
      <c r="V3210" s="1583"/>
    </row>
    <row r="3211" spans="7:22">
      <c r="G3211" s="1097"/>
      <c r="H3211" s="1261"/>
      <c r="I3211" s="1260"/>
      <c r="J3211" s="49"/>
      <c r="K3211" s="1495" t="s">
        <v>4409</v>
      </c>
      <c r="L3211" s="49">
        <v>1000000</v>
      </c>
      <c r="M3211" s="1495" t="s">
        <v>4413</v>
      </c>
      <c r="N3211" s="49">
        <v>170500000</v>
      </c>
      <c r="O3211" s="1383"/>
      <c r="P3211" s="644">
        <v>2.7370000000000001</v>
      </c>
      <c r="Q3211" s="1266" t="s">
        <v>4409</v>
      </c>
      <c r="R3211" s="644">
        <v>2</v>
      </c>
      <c r="S3211" s="1223"/>
      <c r="T3211" s="1191"/>
      <c r="U3211" s="1232"/>
      <c r="V3211" s="48"/>
    </row>
    <row r="3212" spans="7:22">
      <c r="G3212" s="1098"/>
      <c r="H3212" s="1172"/>
      <c r="I3212" s="1267" t="s">
        <v>4410</v>
      </c>
      <c r="J3212" s="49">
        <f>15000000+70000000</f>
        <v>85000000</v>
      </c>
      <c r="K3212" s="1495" t="s">
        <v>4417</v>
      </c>
      <c r="L3212" s="49">
        <v>400000</v>
      </c>
      <c r="M3212" s="1495" t="s">
        <v>4414</v>
      </c>
      <c r="N3212" s="49">
        <v>5000000</v>
      </c>
      <c r="O3212" s="1383"/>
      <c r="P3212" s="644"/>
      <c r="Q3212" s="1256"/>
      <c r="R3212" s="644"/>
      <c r="S3212" s="1223"/>
      <c r="T3212" s="1191"/>
      <c r="U3212" s="48"/>
      <c r="V3212" s="49"/>
    </row>
    <row r="3213" spans="7:22">
      <c r="G3213" s="48"/>
      <c r="H3213" s="48"/>
      <c r="I3213" s="1268" t="s">
        <v>4411</v>
      </c>
      <c r="J3213" s="49">
        <v>10000000</v>
      </c>
      <c r="K3213" s="1495" t="s">
        <v>4418</v>
      </c>
      <c r="L3213" s="49">
        <v>15000000</v>
      </c>
      <c r="M3213" s="1493" t="s">
        <v>4416</v>
      </c>
      <c r="N3213" s="49">
        <v>1300000</v>
      </c>
      <c r="O3213" s="1383"/>
      <c r="P3213" s="644"/>
      <c r="Q3213" s="1256"/>
      <c r="R3213" s="644"/>
      <c r="S3213" s="1215"/>
      <c r="T3213" s="1191"/>
      <c r="U3213" s="1078"/>
      <c r="V3213" s="49"/>
    </row>
    <row r="3214" spans="7:22">
      <c r="G3214" s="48"/>
      <c r="H3214" s="48"/>
      <c r="I3214" s="1267" t="s">
        <v>4412</v>
      </c>
      <c r="J3214" s="49">
        <v>800000</v>
      </c>
      <c r="K3214" s="1495" t="s">
        <v>4419</v>
      </c>
      <c r="L3214" s="49">
        <v>200000</v>
      </c>
      <c r="M3214" s="1493"/>
      <c r="N3214" s="49"/>
      <c r="O3214" s="644"/>
      <c r="P3214" s="644"/>
      <c r="Q3214" s="1231"/>
      <c r="R3214" s="644"/>
      <c r="S3214" s="48"/>
      <c r="T3214" s="1252"/>
      <c r="U3214" s="48"/>
      <c r="V3214" s="49"/>
    </row>
    <row r="3215" spans="7:22">
      <c r="G3215" s="48"/>
      <c r="H3215" s="48"/>
      <c r="I3215" s="1268" t="s">
        <v>4415</v>
      </c>
      <c r="J3215" s="49">
        <v>30300000</v>
      </c>
      <c r="K3215" s="1495" t="s">
        <v>4420</v>
      </c>
      <c r="L3215" s="49">
        <v>1200000</v>
      </c>
      <c r="M3215" s="1493"/>
      <c r="N3215" s="49"/>
      <c r="O3215" s="644"/>
      <c r="P3215" s="644"/>
      <c r="Q3215" s="1231"/>
      <c r="R3215" s="644"/>
      <c r="S3215" s="48"/>
      <c r="T3215" s="1252"/>
      <c r="U3215" s="48"/>
      <c r="V3215" s="49"/>
    </row>
    <row r="3216" spans="7:22">
      <c r="G3216" s="48"/>
      <c r="H3216" s="48"/>
      <c r="I3216" s="1262"/>
      <c r="J3216" s="49"/>
      <c r="K3216" s="1495"/>
      <c r="L3216" s="49"/>
      <c r="M3216" s="1495"/>
      <c r="N3216" s="49"/>
      <c r="O3216" s="644"/>
      <c r="P3216" s="644"/>
      <c r="Q3216" s="1231"/>
      <c r="R3216" s="644"/>
      <c r="S3216" s="48"/>
      <c r="T3216" s="1252"/>
      <c r="U3216" s="48"/>
      <c r="V3216" s="49"/>
    </row>
    <row r="3217" spans="7:22">
      <c r="G3217" s="48"/>
      <c r="H3217" s="48"/>
      <c r="I3217" s="1184"/>
      <c r="J3217" s="49"/>
      <c r="K3217" s="1495"/>
      <c r="L3217" s="49"/>
      <c r="M3217" s="1498"/>
      <c r="N3217" s="49"/>
      <c r="O3217" s="644"/>
      <c r="P3217" s="644"/>
      <c r="Q3217" s="1243"/>
      <c r="R3217" s="644"/>
      <c r="S3217" s="48"/>
      <c r="T3217" s="1252"/>
      <c r="U3217" s="48"/>
      <c r="V3217" s="49"/>
    </row>
    <row r="3218" spans="7:22">
      <c r="G3218" s="48"/>
      <c r="H3218" s="48"/>
      <c r="I3218" s="1184"/>
      <c r="J3218" s="49"/>
      <c r="K3218" s="1532"/>
      <c r="L3218" s="49"/>
      <c r="M3218" s="1498"/>
      <c r="N3218" s="49"/>
      <c r="O3218" s="644"/>
      <c r="P3218" s="644"/>
      <c r="Q3218" s="644"/>
      <c r="R3218" s="644"/>
      <c r="S3218" s="48"/>
      <c r="T3218" s="1252"/>
      <c r="U3218" s="48"/>
      <c r="V3218" s="49"/>
    </row>
    <row r="3219" spans="7:22">
      <c r="G3219" s="48"/>
      <c r="H3219" s="48"/>
      <c r="I3219" s="48"/>
      <c r="J3219" s="49"/>
      <c r="K3219" s="1495"/>
      <c r="L3219" s="49"/>
      <c r="M3219" s="1498"/>
      <c r="N3219" s="49"/>
      <c r="O3219" s="644"/>
      <c r="P3219" s="644"/>
      <c r="Q3219" s="644"/>
      <c r="R3219" s="644"/>
      <c r="S3219" s="48"/>
      <c r="T3219" s="1252"/>
      <c r="U3219" s="48"/>
      <c r="V3219" s="49"/>
    </row>
    <row r="3220" spans="7:22">
      <c r="G3220" s="48"/>
      <c r="H3220" s="48"/>
      <c r="I3220" s="48"/>
      <c r="J3220" s="49"/>
      <c r="K3220" s="1495"/>
      <c r="L3220" s="49"/>
      <c r="M3220" s="1498"/>
      <c r="N3220" s="49"/>
      <c r="O3220" s="644"/>
      <c r="P3220" s="644"/>
      <c r="Q3220" s="644"/>
      <c r="R3220" s="644"/>
      <c r="S3220" s="48"/>
      <c r="T3220" s="1252"/>
      <c r="U3220" s="48"/>
      <c r="V3220" s="49"/>
    </row>
    <row r="3221" spans="7:22">
      <c r="G3221" s="48"/>
      <c r="H3221" s="48"/>
      <c r="I3221" s="48"/>
      <c r="J3221" s="49"/>
      <c r="K3221" s="1498"/>
      <c r="L3221" s="49"/>
      <c r="M3221" s="1498"/>
      <c r="N3221" s="49"/>
      <c r="O3221" s="644"/>
      <c r="P3221" s="644"/>
      <c r="Q3221" s="644"/>
      <c r="R3221" s="644"/>
      <c r="S3221" s="48"/>
      <c r="T3221" s="1252"/>
      <c r="U3221" s="48"/>
      <c r="V3221" s="48"/>
    </row>
    <row r="3222" spans="7:22">
      <c r="G3222" s="48"/>
      <c r="H3222" s="48"/>
      <c r="I3222" s="48"/>
      <c r="J3222" s="49"/>
      <c r="K3222" s="49"/>
      <c r="L3222" s="49"/>
      <c r="M3222" s="1498"/>
      <c r="N3222" s="49"/>
      <c r="O3222" s="644"/>
      <c r="P3222" s="644"/>
      <c r="Q3222" s="644"/>
      <c r="R3222" s="644"/>
      <c r="S3222" s="48"/>
      <c r="T3222" s="1252"/>
      <c r="U3222" s="48"/>
      <c r="V3222" s="48"/>
    </row>
    <row r="3223" spans="7:22">
      <c r="G3223" s="48"/>
      <c r="H3223" s="48"/>
      <c r="I3223" s="48"/>
      <c r="J3223" s="954">
        <f>SUM(J3211:J3219)</f>
        <v>126100000</v>
      </c>
      <c r="K3223" s="954"/>
      <c r="L3223" s="954">
        <f>SUM(L3211:L3222)</f>
        <v>17800000</v>
      </c>
      <c r="M3223" s="1498"/>
      <c r="N3223" s="954">
        <f>SUM(N3211:N3222)</f>
        <v>176800000</v>
      </c>
      <c r="O3223" s="644"/>
      <c r="P3223" s="969">
        <f>SUM(P3211:P3217)</f>
        <v>2.7370000000000001</v>
      </c>
      <c r="Q3223" s="969"/>
      <c r="R3223" s="969">
        <f>SUM(R3211:R3217)</f>
        <v>2</v>
      </c>
      <c r="S3223" s="48"/>
      <c r="T3223" s="1178">
        <f>SUM(T3211:T3222)</f>
        <v>0</v>
      </c>
      <c r="U3223" s="48"/>
      <c r="V3223" s="878">
        <f>SUM(V3211:V3222)</f>
        <v>0</v>
      </c>
    </row>
    <row r="3224" spans="7:22">
      <c r="T3224" s="1251"/>
    </row>
    <row r="3225" spans="7:22">
      <c r="T3225" s="1251"/>
    </row>
    <row r="3226" spans="7:22">
      <c r="R3226" s="661"/>
      <c r="T3226" s="1251"/>
    </row>
    <row r="3227" spans="7:22">
      <c r="T3227" s="1251"/>
    </row>
    <row r="3228" spans="7:22">
      <c r="T3228" s="1251"/>
    </row>
    <row r="3229" spans="7:22">
      <c r="I3229" s="946"/>
      <c r="M3229" s="1533" t="s">
        <v>3699</v>
      </c>
      <c r="O3229" s="1535" t="s">
        <v>3741</v>
      </c>
      <c r="P3229" s="1512"/>
      <c r="S3229" s="906" t="s">
        <v>4049</v>
      </c>
      <c r="T3229" s="1107">
        <f>T3223-V3223</f>
        <v>0</v>
      </c>
    </row>
    <row r="3230" spans="7:22">
      <c r="G3230" s="1574" t="s">
        <v>3530</v>
      </c>
      <c r="H3230" s="1574"/>
      <c r="I3230" s="1574"/>
      <c r="J3230" s="3">
        <f>J3223+L3223</f>
        <v>143900000</v>
      </c>
      <c r="K3230" s="1009"/>
      <c r="L3230" s="3"/>
      <c r="M3230" s="1533" t="s">
        <v>3664</v>
      </c>
      <c r="N3230" s="1527"/>
      <c r="O3230" s="1535" t="s">
        <v>4066</v>
      </c>
      <c r="P3230" s="1512"/>
      <c r="T3230" s="1251"/>
    </row>
    <row r="3231" spans="7:22">
      <c r="G3231" s="1574" t="s">
        <v>3512</v>
      </c>
      <c r="H3231" s="1574"/>
      <c r="I3231" s="1574"/>
      <c r="J3231" s="3">
        <f>N3223-J3230</f>
        <v>32900000</v>
      </c>
      <c r="K3231" s="1009"/>
      <c r="L3231" s="3"/>
      <c r="M3231" s="1528"/>
      <c r="O3231" s="1529"/>
      <c r="Q3231" s="661"/>
      <c r="T3231" s="1251"/>
    </row>
    <row r="3232" spans="7:22">
      <c r="G3232" s="1574" t="s">
        <v>3531</v>
      </c>
      <c r="H3232" s="1574"/>
      <c r="I3232" s="1574"/>
      <c r="J3232" s="3">
        <f>T3229</f>
        <v>0</v>
      </c>
      <c r="Q3232" s="3"/>
      <c r="T3232" s="1251"/>
    </row>
    <row r="3233" spans="7:22">
      <c r="G3233" s="1564" t="s">
        <v>4067</v>
      </c>
      <c r="H3233" s="1564"/>
      <c r="I3233" s="1564"/>
      <c r="R3233" s="3"/>
      <c r="T3233" s="1251"/>
    </row>
    <row r="3240" spans="7:22">
      <c r="G3240" s="1008">
        <v>46035</v>
      </c>
      <c r="H3240" s="1169"/>
      <c r="I3240" s="1575" t="s">
        <v>3510</v>
      </c>
      <c r="J3240" s="1576"/>
      <c r="K3240" s="1575" t="s">
        <v>3509</v>
      </c>
      <c r="L3240" s="1576"/>
      <c r="M3240" s="1575" t="s">
        <v>3541</v>
      </c>
      <c r="N3240" s="1576"/>
      <c r="O3240" s="1577" t="s">
        <v>3598</v>
      </c>
      <c r="P3240" s="1578"/>
      <c r="Q3240" s="1579" t="s">
        <v>3599</v>
      </c>
      <c r="R3240" s="1580"/>
      <c r="S3240" s="1583" t="s">
        <v>3953</v>
      </c>
      <c r="T3240" s="1583"/>
      <c r="U3240" s="1583" t="s">
        <v>3954</v>
      </c>
      <c r="V3240" s="1583"/>
    </row>
    <row r="3241" spans="7:22">
      <c r="G3241" s="1097"/>
      <c r="H3241" s="1261"/>
      <c r="I3241" s="1266" t="s">
        <v>4421</v>
      </c>
      <c r="J3241" s="49">
        <v>25000000</v>
      </c>
      <c r="K3241" s="1495" t="s">
        <v>4429</v>
      </c>
      <c r="L3241" s="49">
        <v>800000</v>
      </c>
      <c r="M3241" s="1495" t="s">
        <v>4413</v>
      </c>
      <c r="N3241" s="49">
        <v>130000000</v>
      </c>
      <c r="O3241" s="1383"/>
      <c r="P3241" s="644">
        <v>5000000</v>
      </c>
      <c r="Q3241" s="1266"/>
      <c r="R3241" s="644">
        <v>340000</v>
      </c>
      <c r="S3241" s="1223"/>
      <c r="T3241" s="1191"/>
      <c r="U3241" s="1232"/>
      <c r="V3241" s="48"/>
    </row>
    <row r="3242" spans="7:22">
      <c r="G3242" s="1098"/>
      <c r="H3242" s="1172"/>
      <c r="I3242" s="1267" t="s">
        <v>4422</v>
      </c>
      <c r="J3242" s="49">
        <v>5000000</v>
      </c>
      <c r="K3242" s="1495" t="s">
        <v>4430</v>
      </c>
      <c r="L3242" s="49">
        <v>400000</v>
      </c>
      <c r="M3242" s="1495" t="s">
        <v>4425</v>
      </c>
      <c r="N3242" s="49">
        <v>10000000</v>
      </c>
      <c r="O3242" s="1383"/>
      <c r="P3242" s="644">
        <v>15000000</v>
      </c>
      <c r="Q3242" s="1256"/>
      <c r="R3242" s="644"/>
      <c r="S3242" s="1223"/>
      <c r="T3242" s="1191"/>
      <c r="U3242" s="48"/>
      <c r="V3242" s="49"/>
    </row>
    <row r="3243" spans="7:22">
      <c r="G3243" s="48"/>
      <c r="H3243" s="48"/>
      <c r="I3243" s="1268" t="s">
        <v>4423</v>
      </c>
      <c r="J3243" s="49">
        <v>2400000</v>
      </c>
      <c r="K3243" s="1495"/>
      <c r="L3243" s="49"/>
      <c r="M3243" s="1493"/>
      <c r="N3243" s="49"/>
      <c r="O3243" s="1383"/>
      <c r="P3243" s="644">
        <v>6800000</v>
      </c>
      <c r="Q3243" s="1256"/>
      <c r="R3243" s="644">
        <v>15000000</v>
      </c>
      <c r="S3243" s="1215"/>
      <c r="T3243" s="1191"/>
      <c r="U3243" s="1078"/>
      <c r="V3243" s="49"/>
    </row>
    <row r="3244" spans="7:22">
      <c r="G3244" s="48"/>
      <c r="H3244" s="48"/>
      <c r="I3244" s="1267" t="s">
        <v>4424</v>
      </c>
      <c r="J3244" s="49">
        <v>15000000</v>
      </c>
      <c r="K3244" s="1495"/>
      <c r="L3244" s="49"/>
      <c r="M3244" s="1493"/>
      <c r="N3244" s="49"/>
      <c r="O3244" s="644"/>
      <c r="P3244" s="644"/>
      <c r="Q3244" s="1231"/>
      <c r="R3244" s="644"/>
      <c r="S3244" s="48"/>
      <c r="T3244" s="1252"/>
      <c r="U3244" s="48"/>
      <c r="V3244" s="49"/>
    </row>
    <row r="3245" spans="7:22">
      <c r="G3245" s="48"/>
      <c r="H3245" s="48"/>
      <c r="I3245" s="1268" t="s">
        <v>4426</v>
      </c>
      <c r="J3245" s="49">
        <v>21160000</v>
      </c>
      <c r="K3245" s="1495"/>
      <c r="L3245" s="49"/>
      <c r="M3245" s="1493"/>
      <c r="N3245" s="49"/>
      <c r="O3245" s="644"/>
      <c r="P3245" s="644"/>
      <c r="Q3245" s="1231"/>
      <c r="R3245" s="644"/>
      <c r="S3245" s="48"/>
      <c r="T3245" s="1252"/>
      <c r="U3245" s="48"/>
      <c r="V3245" s="49"/>
    </row>
    <row r="3246" spans="7:22">
      <c r="G3246" s="48"/>
      <c r="H3246" s="48"/>
      <c r="I3246" s="1268" t="s">
        <v>4427</v>
      </c>
      <c r="J3246" s="49">
        <v>27600000</v>
      </c>
      <c r="K3246" s="1495"/>
      <c r="L3246" s="49"/>
      <c r="M3246" s="1495"/>
      <c r="N3246" s="49"/>
      <c r="O3246" s="644"/>
      <c r="P3246" s="644"/>
      <c r="Q3246" s="1231"/>
      <c r="R3246" s="644"/>
      <c r="S3246" s="48"/>
      <c r="T3246" s="1252"/>
      <c r="U3246" s="48"/>
      <c r="V3246" s="49"/>
    </row>
    <row r="3247" spans="7:22">
      <c r="G3247" s="48"/>
      <c r="H3247" s="48"/>
      <c r="I3247" s="1268" t="s">
        <v>4428</v>
      </c>
      <c r="J3247" s="49">
        <v>30690000</v>
      </c>
      <c r="K3247" s="1495"/>
      <c r="L3247" s="49"/>
      <c r="M3247" s="1498"/>
      <c r="N3247" s="49"/>
      <c r="O3247" s="644"/>
      <c r="P3247" s="644"/>
      <c r="Q3247" s="1243"/>
      <c r="R3247" s="644"/>
      <c r="S3247" s="48"/>
      <c r="T3247" s="1252"/>
      <c r="U3247" s="48"/>
      <c r="V3247" s="49"/>
    </row>
    <row r="3248" spans="7:22">
      <c r="G3248" s="48"/>
      <c r="H3248" s="48"/>
      <c r="I3248" s="1184"/>
      <c r="J3248" s="49"/>
      <c r="K3248" s="1532"/>
      <c r="L3248" s="49"/>
      <c r="M3248" s="1498"/>
      <c r="N3248" s="49"/>
      <c r="O3248" s="644"/>
      <c r="P3248" s="644"/>
      <c r="Q3248" s="644"/>
      <c r="R3248" s="644"/>
      <c r="S3248" s="48"/>
      <c r="T3248" s="1252"/>
      <c r="U3248" s="48"/>
      <c r="V3248" s="49"/>
    </row>
    <row r="3249" spans="7:22">
      <c r="G3249" s="48"/>
      <c r="H3249" s="48"/>
      <c r="I3249" s="48"/>
      <c r="J3249" s="49"/>
      <c r="K3249" s="1495"/>
      <c r="L3249" s="49"/>
      <c r="M3249" s="1498"/>
      <c r="N3249" s="49"/>
      <c r="O3249" s="644"/>
      <c r="P3249" s="644"/>
      <c r="Q3249" s="644"/>
      <c r="R3249" s="644"/>
      <c r="S3249" s="48"/>
      <c r="T3249" s="1252"/>
      <c r="U3249" s="48"/>
      <c r="V3249" s="49"/>
    </row>
    <row r="3250" spans="7:22">
      <c r="G3250" s="48"/>
      <c r="H3250" s="48"/>
      <c r="I3250" s="48"/>
      <c r="J3250" s="49"/>
      <c r="K3250" s="1495"/>
      <c r="L3250" s="49"/>
      <c r="M3250" s="1498"/>
      <c r="N3250" s="49"/>
      <c r="O3250" s="644"/>
      <c r="P3250" s="644"/>
      <c r="Q3250" s="644"/>
      <c r="R3250" s="644"/>
      <c r="S3250" s="48"/>
      <c r="T3250" s="1252"/>
      <c r="U3250" s="48"/>
      <c r="V3250" s="49"/>
    </row>
    <row r="3251" spans="7:22">
      <c r="G3251" s="48"/>
      <c r="H3251" s="48"/>
      <c r="I3251" s="48"/>
      <c r="J3251" s="49"/>
      <c r="K3251" s="1498"/>
      <c r="L3251" s="49"/>
      <c r="M3251" s="1498"/>
      <c r="N3251" s="49"/>
      <c r="O3251" s="644"/>
      <c r="P3251" s="644"/>
      <c r="Q3251" s="644"/>
      <c r="R3251" s="644"/>
      <c r="S3251" s="48"/>
      <c r="T3251" s="1252"/>
      <c r="U3251" s="48"/>
      <c r="V3251" s="48"/>
    </row>
    <row r="3252" spans="7:22">
      <c r="G3252" s="48"/>
      <c r="H3252" s="48"/>
      <c r="I3252" s="48"/>
      <c r="J3252" s="49"/>
      <c r="K3252" s="49"/>
      <c r="L3252" s="49"/>
      <c r="M3252" s="1498"/>
      <c r="N3252" s="49"/>
      <c r="O3252" s="644"/>
      <c r="P3252" s="644"/>
      <c r="Q3252" s="644"/>
      <c r="R3252" s="644"/>
      <c r="S3252" s="48"/>
      <c r="T3252" s="1252"/>
      <c r="U3252" s="48"/>
      <c r="V3252" s="48"/>
    </row>
    <row r="3253" spans="7:22">
      <c r="G3253" s="48"/>
      <c r="H3253" s="48"/>
      <c r="I3253" s="48"/>
      <c r="J3253" s="954">
        <f>SUM(J3241:J3249)</f>
        <v>126850000</v>
      </c>
      <c r="K3253" s="954"/>
      <c r="L3253" s="954">
        <f>SUM(L3241:L3252)</f>
        <v>1200000</v>
      </c>
      <c r="M3253" s="1498"/>
      <c r="N3253" s="954">
        <f>SUM(N3241:N3252)</f>
        <v>140000000</v>
      </c>
      <c r="O3253" s="644"/>
      <c r="P3253" s="969">
        <f>SUM(P3241:P3247)</f>
        <v>26800000</v>
      </c>
      <c r="Q3253" s="969"/>
      <c r="R3253" s="969">
        <f>SUM(R3241:R3247)</f>
        <v>15340000</v>
      </c>
      <c r="S3253" s="48"/>
      <c r="T3253" s="1178">
        <f>SUM(T3241:T3252)</f>
        <v>0</v>
      </c>
      <c r="U3253" s="48"/>
      <c r="V3253" s="878">
        <f>SUM(V3241:V3252)</f>
        <v>0</v>
      </c>
    </row>
    <row r="3254" spans="7:22">
      <c r="T3254" s="1251"/>
    </row>
    <row r="3255" spans="7:22">
      <c r="T3255" s="1251"/>
    </row>
    <row r="3256" spans="7:22">
      <c r="R3256" s="661"/>
      <c r="T3256" s="1251"/>
    </row>
    <row r="3257" spans="7:22">
      <c r="T3257" s="1251"/>
    </row>
    <row r="3258" spans="7:22">
      <c r="T3258" s="1251"/>
    </row>
    <row r="3259" spans="7:22">
      <c r="I3259" s="946"/>
      <c r="M3259" s="1533" t="s">
        <v>3699</v>
      </c>
      <c r="O3259" s="1535" t="s">
        <v>3741</v>
      </c>
      <c r="P3259" s="1512">
        <f>P3253-R3253</f>
        <v>11460000</v>
      </c>
      <c r="S3259" s="906" t="s">
        <v>4049</v>
      </c>
      <c r="T3259" s="1107">
        <f>T3253-V3253</f>
        <v>0</v>
      </c>
    </row>
    <row r="3260" spans="7:22">
      <c r="G3260" s="1574" t="s">
        <v>3530</v>
      </c>
      <c r="H3260" s="1574"/>
      <c r="I3260" s="1574"/>
      <c r="J3260" s="3">
        <f>J3253+L3253</f>
        <v>128050000</v>
      </c>
      <c r="K3260" s="1009"/>
      <c r="L3260" s="3"/>
      <c r="M3260" s="1533" t="s">
        <v>3664</v>
      </c>
      <c r="N3260" s="1527"/>
      <c r="O3260" s="1535" t="s">
        <v>4066</v>
      </c>
      <c r="P3260" s="1512"/>
      <c r="T3260" s="1251"/>
    </row>
    <row r="3261" spans="7:22">
      <c r="G3261" s="1574" t="s">
        <v>3512</v>
      </c>
      <c r="H3261" s="1574"/>
      <c r="I3261" s="1574"/>
      <c r="J3261" s="3">
        <f>N3253-J3260</f>
        <v>11950000</v>
      </c>
      <c r="K3261" s="1009"/>
      <c r="L3261" s="3"/>
      <c r="M3261" s="1528"/>
      <c r="O3261" s="1529"/>
      <c r="Q3261" s="661"/>
      <c r="T3261" s="1251"/>
    </row>
    <row r="3262" spans="7:22">
      <c r="G3262" s="1574" t="s">
        <v>3531</v>
      </c>
      <c r="H3262" s="1574"/>
      <c r="I3262" s="1574"/>
      <c r="J3262" s="3">
        <f>T3259</f>
        <v>0</v>
      </c>
      <c r="Q3262" s="3"/>
      <c r="T3262" s="1251"/>
    </row>
    <row r="3263" spans="7:22">
      <c r="G3263" s="1564" t="s">
        <v>4067</v>
      </c>
      <c r="H3263" s="1564"/>
      <c r="I3263" s="1564"/>
      <c r="R3263" s="3"/>
      <c r="T3263" s="1251"/>
    </row>
    <row r="3268" spans="7:22">
      <c r="G3268" s="1008">
        <v>46036</v>
      </c>
      <c r="H3268" s="1169"/>
      <c r="I3268" s="1575" t="s">
        <v>3510</v>
      </c>
      <c r="J3268" s="1576"/>
      <c r="K3268" s="1575" t="s">
        <v>3509</v>
      </c>
      <c r="L3268" s="1576"/>
      <c r="M3268" s="1575" t="s">
        <v>3541</v>
      </c>
      <c r="N3268" s="1576"/>
      <c r="O3268" s="1577" t="s">
        <v>3598</v>
      </c>
      <c r="P3268" s="1578"/>
      <c r="Q3268" s="1579" t="s">
        <v>3599</v>
      </c>
      <c r="R3268" s="1580"/>
      <c r="S3268" s="1583" t="s">
        <v>3953</v>
      </c>
      <c r="T3268" s="1583"/>
      <c r="U3268" s="1583" t="s">
        <v>3954</v>
      </c>
      <c r="V3268" s="1583"/>
    </row>
    <row r="3269" spans="7:22">
      <c r="G3269" s="1097"/>
      <c r="H3269" s="1261"/>
      <c r="I3269" s="1266" t="s">
        <v>4433</v>
      </c>
      <c r="J3269" s="49">
        <v>21160000</v>
      </c>
      <c r="K3269" s="1495" t="s">
        <v>4441</v>
      </c>
      <c r="L3269" s="49">
        <v>120000</v>
      </c>
      <c r="M3269" s="1495" t="s">
        <v>4431</v>
      </c>
      <c r="N3269" s="49">
        <v>111700000</v>
      </c>
      <c r="O3269" s="1383"/>
      <c r="P3269" s="644">
        <v>11080000</v>
      </c>
      <c r="Q3269" s="1266"/>
      <c r="R3269" s="644">
        <v>42000</v>
      </c>
      <c r="S3269" s="1223"/>
      <c r="T3269" s="1191"/>
      <c r="U3269" s="1232"/>
      <c r="V3269" s="48"/>
    </row>
    <row r="3270" spans="7:22">
      <c r="G3270" s="1098"/>
      <c r="H3270" s="1172"/>
      <c r="I3270" s="1267" t="s">
        <v>4434</v>
      </c>
      <c r="J3270" s="49">
        <v>200000</v>
      </c>
      <c r="K3270" s="1495" t="s">
        <v>4440</v>
      </c>
      <c r="L3270" s="49">
        <v>5000000</v>
      </c>
      <c r="M3270" s="1495" t="s">
        <v>4432</v>
      </c>
      <c r="N3270" s="49">
        <v>19000000</v>
      </c>
      <c r="O3270" s="1383"/>
      <c r="P3270" s="644">
        <v>5000000</v>
      </c>
      <c r="Q3270" s="1256"/>
      <c r="R3270" s="644"/>
      <c r="S3270" s="1223"/>
      <c r="T3270" s="1191"/>
      <c r="U3270" s="48"/>
      <c r="V3270" s="49"/>
    </row>
    <row r="3271" spans="7:22">
      <c r="G3271" s="48"/>
      <c r="H3271" s="48"/>
      <c r="I3271" s="1268" t="s">
        <v>4435</v>
      </c>
      <c r="J3271" s="49">
        <v>700000</v>
      </c>
      <c r="K3271" s="1495" t="s">
        <v>4439</v>
      </c>
      <c r="L3271" s="49">
        <v>300000</v>
      </c>
      <c r="M3271" s="1493"/>
      <c r="N3271" s="49">
        <v>1000000</v>
      </c>
      <c r="O3271" s="1383"/>
      <c r="P3271" s="644"/>
      <c r="Q3271" s="1256"/>
      <c r="R3271" s="644">
        <v>42000</v>
      </c>
      <c r="S3271" s="1215"/>
      <c r="T3271" s="1191"/>
      <c r="U3271" s="1078"/>
      <c r="V3271" s="49"/>
    </row>
    <row r="3272" spans="7:22">
      <c r="G3272" s="48"/>
      <c r="H3272" s="48"/>
      <c r="I3272" s="1267" t="s">
        <v>4436</v>
      </c>
      <c r="J3272" s="49">
        <v>13800000</v>
      </c>
      <c r="K3272" s="1495" t="s">
        <v>4442</v>
      </c>
      <c r="L3272" s="49">
        <v>1200000</v>
      </c>
      <c r="M3272" s="1493"/>
      <c r="N3272" s="49">
        <v>400000</v>
      </c>
      <c r="O3272" s="644"/>
      <c r="P3272" s="644"/>
      <c r="Q3272" s="1231"/>
      <c r="R3272" s="644">
        <v>42000</v>
      </c>
      <c r="S3272" s="48"/>
      <c r="T3272" s="1252"/>
      <c r="U3272" s="48"/>
      <c r="V3272" s="49"/>
    </row>
    <row r="3273" spans="7:22">
      <c r="G3273" s="48"/>
      <c r="H3273" s="48"/>
      <c r="I3273" s="1268" t="s">
        <v>4437</v>
      </c>
      <c r="J3273" s="49">
        <v>30360000</v>
      </c>
      <c r="K3273" s="1495"/>
      <c r="L3273" s="49"/>
      <c r="M3273" s="1493"/>
      <c r="N3273" s="49">
        <v>250000</v>
      </c>
      <c r="O3273" s="644"/>
      <c r="P3273" s="644"/>
      <c r="Q3273" s="1231"/>
      <c r="R3273" s="644">
        <v>42000</v>
      </c>
      <c r="S3273" s="48"/>
      <c r="T3273" s="1252"/>
      <c r="U3273" s="48"/>
      <c r="V3273" s="49"/>
    </row>
    <row r="3274" spans="7:22">
      <c r="G3274" s="48"/>
      <c r="H3274" s="48"/>
      <c r="I3274" s="1268"/>
      <c r="J3274" s="49"/>
      <c r="K3274" s="1495"/>
      <c r="L3274" s="49"/>
      <c r="M3274" s="1495" t="s">
        <v>4438</v>
      </c>
      <c r="N3274" s="49">
        <v>25000000</v>
      </c>
      <c r="O3274" s="644"/>
      <c r="P3274" s="644"/>
      <c r="Q3274" s="1231"/>
      <c r="R3274" s="644"/>
      <c r="S3274" s="48"/>
      <c r="T3274" s="1252"/>
      <c r="U3274" s="48"/>
      <c r="V3274" s="49"/>
    </row>
    <row r="3275" spans="7:22">
      <c r="G3275" s="48"/>
      <c r="H3275" s="48"/>
      <c r="I3275" s="1268"/>
      <c r="J3275" s="49"/>
      <c r="K3275" s="1495"/>
      <c r="L3275" s="49"/>
      <c r="M3275" s="1498"/>
      <c r="N3275" s="49"/>
      <c r="O3275" s="644"/>
      <c r="P3275" s="644"/>
      <c r="Q3275" s="1243"/>
      <c r="R3275" s="644"/>
      <c r="S3275" s="48"/>
      <c r="T3275" s="1252"/>
      <c r="U3275" s="48"/>
      <c r="V3275" s="49"/>
    </row>
    <row r="3276" spans="7:22">
      <c r="G3276" s="48"/>
      <c r="H3276" s="48"/>
      <c r="I3276" s="1184"/>
      <c r="J3276" s="49"/>
      <c r="K3276" s="1532"/>
      <c r="L3276" s="49"/>
      <c r="M3276" s="1498"/>
      <c r="N3276" s="49"/>
      <c r="O3276" s="644"/>
      <c r="P3276" s="644"/>
      <c r="Q3276" s="644"/>
      <c r="R3276" s="644"/>
      <c r="S3276" s="48"/>
      <c r="T3276" s="1252"/>
      <c r="U3276" s="48"/>
      <c r="V3276" s="49"/>
    </row>
    <row r="3277" spans="7:22">
      <c r="G3277" s="48"/>
      <c r="H3277" s="48"/>
      <c r="I3277" s="48"/>
      <c r="J3277" s="49"/>
      <c r="K3277" s="1495"/>
      <c r="L3277" s="49"/>
      <c r="M3277" s="1498"/>
      <c r="N3277" s="49"/>
      <c r="O3277" s="644"/>
      <c r="P3277" s="644"/>
      <c r="Q3277" s="644"/>
      <c r="R3277" s="644"/>
      <c r="S3277" s="48"/>
      <c r="T3277" s="1252"/>
      <c r="U3277" s="48"/>
      <c r="V3277" s="49"/>
    </row>
    <row r="3278" spans="7:22">
      <c r="G3278" s="48"/>
      <c r="H3278" s="48"/>
      <c r="I3278" s="48"/>
      <c r="J3278" s="49"/>
      <c r="K3278" s="1495"/>
      <c r="L3278" s="49"/>
      <c r="M3278" s="1498"/>
      <c r="N3278" s="49"/>
      <c r="O3278" s="644"/>
      <c r="P3278" s="644"/>
      <c r="Q3278" s="644"/>
      <c r="R3278" s="644"/>
      <c r="S3278" s="48"/>
      <c r="T3278" s="1252"/>
      <c r="U3278" s="48"/>
      <c r="V3278" s="49"/>
    </row>
    <row r="3279" spans="7:22">
      <c r="G3279" s="48"/>
      <c r="H3279" s="48"/>
      <c r="I3279" s="48"/>
      <c r="J3279" s="49"/>
      <c r="K3279" s="1498"/>
      <c r="L3279" s="49"/>
      <c r="M3279" s="1498"/>
      <c r="N3279" s="49"/>
      <c r="O3279" s="644"/>
      <c r="P3279" s="644"/>
      <c r="Q3279" s="644"/>
      <c r="R3279" s="644"/>
      <c r="S3279" s="48"/>
      <c r="T3279" s="1252"/>
      <c r="U3279" s="48"/>
      <c r="V3279" s="48"/>
    </row>
    <row r="3280" spans="7:22">
      <c r="G3280" s="48"/>
      <c r="H3280" s="48"/>
      <c r="I3280" s="48"/>
      <c r="J3280" s="49"/>
      <c r="K3280" s="49"/>
      <c r="L3280" s="49"/>
      <c r="M3280" s="1498"/>
      <c r="N3280" s="49"/>
      <c r="O3280" s="644"/>
      <c r="P3280" s="644"/>
      <c r="Q3280" s="644"/>
      <c r="R3280" s="644"/>
      <c r="S3280" s="48"/>
      <c r="T3280" s="1252"/>
      <c r="U3280" s="48"/>
      <c r="V3280" s="48"/>
    </row>
    <row r="3281" spans="7:22">
      <c r="G3281" s="48"/>
      <c r="H3281" s="48"/>
      <c r="I3281" s="48"/>
      <c r="J3281" s="954">
        <f>SUM(J3269:J3277)</f>
        <v>66220000</v>
      </c>
      <c r="K3281" s="954"/>
      <c r="L3281" s="954">
        <f>SUM(L3269:L3280)</f>
        <v>6620000</v>
      </c>
      <c r="M3281" s="1498"/>
      <c r="N3281" s="954">
        <f>SUM(N3269:N3280)</f>
        <v>157350000</v>
      </c>
      <c r="O3281" s="644"/>
      <c r="P3281" s="969">
        <f>SUM(P3269:P3275)</f>
        <v>16080000</v>
      </c>
      <c r="Q3281" s="969"/>
      <c r="R3281" s="969">
        <f>SUM(R3269:R3275)</f>
        <v>168000</v>
      </c>
      <c r="S3281" s="48"/>
      <c r="T3281" s="1178">
        <f>SUM(T3269:T3280)</f>
        <v>0</v>
      </c>
      <c r="U3281" s="48"/>
      <c r="V3281" s="878">
        <f>SUM(V3269:V3280)</f>
        <v>0</v>
      </c>
    </row>
    <row r="3282" spans="7:22">
      <c r="T3282" s="1251"/>
    </row>
    <row r="3283" spans="7:22">
      <c r="T3283" s="1251"/>
    </row>
    <row r="3284" spans="7:22">
      <c r="R3284" s="661"/>
      <c r="T3284" s="1251"/>
    </row>
    <row r="3285" spans="7:22">
      <c r="T3285" s="1251"/>
    </row>
    <row r="3286" spans="7:22">
      <c r="T3286" s="1251"/>
    </row>
    <row r="3287" spans="7:22">
      <c r="I3287" s="946"/>
      <c r="M3287" s="1533" t="s">
        <v>3699</v>
      </c>
      <c r="O3287" s="1535" t="s">
        <v>3741</v>
      </c>
      <c r="P3287" s="1512">
        <f>P3281-R3281</f>
        <v>15912000</v>
      </c>
      <c r="S3287" s="906" t="s">
        <v>4049</v>
      </c>
      <c r="T3287" s="1107">
        <f>T3281-V3281</f>
        <v>0</v>
      </c>
    </row>
    <row r="3288" spans="7:22">
      <c r="G3288" s="1574" t="s">
        <v>3530</v>
      </c>
      <c r="H3288" s="1574"/>
      <c r="I3288" s="1574"/>
      <c r="J3288" s="3">
        <f>J3281+L3281</f>
        <v>72840000</v>
      </c>
      <c r="K3288" s="1009"/>
      <c r="L3288" s="3"/>
      <c r="M3288" s="1533" t="s">
        <v>3664</v>
      </c>
      <c r="N3288" s="1527"/>
      <c r="O3288" s="1535" t="s">
        <v>4066</v>
      </c>
      <c r="P3288" s="1512"/>
      <c r="T3288" s="1251"/>
    </row>
    <row r="3289" spans="7:22">
      <c r="G3289" s="1574" t="s">
        <v>3512</v>
      </c>
      <c r="H3289" s="1574"/>
      <c r="I3289" s="1574"/>
      <c r="J3289" s="3">
        <f>N3281-J3288</f>
        <v>84510000</v>
      </c>
      <c r="K3289" s="1009"/>
      <c r="L3289" s="3"/>
      <c r="M3289" s="1528"/>
      <c r="O3289" s="1529"/>
      <c r="Q3289" s="661"/>
      <c r="T3289" s="1251"/>
    </row>
    <row r="3290" spans="7:22">
      <c r="G3290" s="1574" t="s">
        <v>3531</v>
      </c>
      <c r="H3290" s="1574"/>
      <c r="I3290" s="1574"/>
      <c r="J3290" s="3">
        <f>T3287</f>
        <v>0</v>
      </c>
      <c r="Q3290" s="3"/>
      <c r="T3290" s="1251"/>
    </row>
    <row r="3291" spans="7:22">
      <c r="G3291" s="1564" t="s">
        <v>4067</v>
      </c>
      <c r="H3291" s="1564"/>
      <c r="I3291" s="1564"/>
      <c r="R3291" s="3"/>
      <c r="T3291" s="1251"/>
    </row>
    <row r="3292" spans="7:22">
      <c r="T3292" s="1251"/>
    </row>
    <row r="3293" spans="7:22">
      <c r="T3293" s="1251"/>
    </row>
    <row r="3296" spans="7:22">
      <c r="T3296" s="1251"/>
    </row>
    <row r="3297" spans="7:22">
      <c r="G3297" s="1008">
        <v>46037</v>
      </c>
      <c r="H3297" s="1169"/>
      <c r="I3297" s="1575" t="s">
        <v>3510</v>
      </c>
      <c r="J3297" s="1576"/>
      <c r="K3297" s="1575" t="s">
        <v>3509</v>
      </c>
      <c r="L3297" s="1576"/>
      <c r="M3297" s="1575" t="s">
        <v>3541</v>
      </c>
      <c r="N3297" s="1576"/>
      <c r="O3297" s="1577" t="s">
        <v>3598</v>
      </c>
      <c r="P3297" s="1578"/>
      <c r="Q3297" s="1579" t="s">
        <v>3599</v>
      </c>
      <c r="R3297" s="1580"/>
      <c r="S3297" s="1583" t="s">
        <v>3953</v>
      </c>
      <c r="T3297" s="1583"/>
      <c r="U3297" s="1583" t="s">
        <v>3954</v>
      </c>
      <c r="V3297" s="1583"/>
    </row>
    <row r="3298" spans="7:22">
      <c r="G3298" s="1097"/>
      <c r="H3298" s="1261"/>
      <c r="I3298" s="1266"/>
      <c r="J3298" s="49"/>
      <c r="K3298" s="1495" t="s">
        <v>4445</v>
      </c>
      <c r="L3298" s="49">
        <v>1000000</v>
      </c>
      <c r="M3298" s="1495" t="s">
        <v>4431</v>
      </c>
      <c r="N3298" s="49">
        <v>185000000</v>
      </c>
      <c r="O3298" s="1383"/>
      <c r="P3298" s="644">
        <v>12633000</v>
      </c>
      <c r="Q3298" s="1266"/>
      <c r="R3298" s="644"/>
      <c r="S3298" s="1223"/>
      <c r="T3298" s="1191">
        <v>3000</v>
      </c>
      <c r="U3298" s="1232"/>
      <c r="V3298" s="48"/>
    </row>
    <row r="3299" spans="7:22">
      <c r="G3299" s="1098"/>
      <c r="H3299" s="1172"/>
      <c r="I3299" s="1267"/>
      <c r="J3299" s="49"/>
      <c r="K3299" s="1495"/>
      <c r="L3299" s="49"/>
      <c r="M3299" s="1495"/>
      <c r="N3299" s="49"/>
      <c r="O3299" s="1383"/>
      <c r="P3299" s="644"/>
      <c r="Q3299" s="1269" t="s">
        <v>4443</v>
      </c>
      <c r="R3299" s="644">
        <v>200000</v>
      </c>
      <c r="S3299" s="1268" t="s">
        <v>4446</v>
      </c>
      <c r="T3299" s="1191">
        <v>200</v>
      </c>
      <c r="U3299" s="48"/>
      <c r="V3299" s="49"/>
    </row>
    <row r="3300" spans="7:22">
      <c r="G3300" s="48"/>
      <c r="H3300" s="48"/>
      <c r="I3300" s="1268"/>
      <c r="J3300" s="49"/>
      <c r="K3300" s="1495"/>
      <c r="L3300" s="49"/>
      <c r="M3300" s="1493"/>
      <c r="N3300" s="49"/>
      <c r="O3300" s="1383"/>
      <c r="P3300" s="644"/>
      <c r="Q3300" s="1269" t="s">
        <v>4444</v>
      </c>
      <c r="R3300" s="644">
        <v>650000</v>
      </c>
      <c r="S3300" s="1215"/>
      <c r="T3300" s="1191"/>
      <c r="U3300" s="1078"/>
      <c r="V3300" s="49"/>
    </row>
    <row r="3301" spans="7:22">
      <c r="G3301" s="48"/>
      <c r="H3301" s="48"/>
      <c r="I3301" s="1267"/>
      <c r="J3301" s="49"/>
      <c r="K3301" s="1495"/>
      <c r="L3301" s="49"/>
      <c r="M3301" s="1493"/>
      <c r="N3301" s="49"/>
      <c r="O3301" s="644"/>
      <c r="P3301" s="644"/>
      <c r="Q3301" s="1231"/>
      <c r="R3301" s="644"/>
      <c r="S3301" s="48"/>
      <c r="T3301" s="1252"/>
      <c r="U3301" s="48"/>
      <c r="V3301" s="49"/>
    </row>
    <row r="3302" spans="7:22">
      <c r="G3302" s="48"/>
      <c r="H3302" s="48"/>
      <c r="I3302" s="1268"/>
      <c r="J3302" s="49"/>
      <c r="K3302" s="1495"/>
      <c r="L3302" s="49"/>
      <c r="M3302" s="1493"/>
      <c r="N3302" s="49"/>
      <c r="O3302" s="644"/>
      <c r="P3302" s="644"/>
      <c r="Q3302" s="1231"/>
      <c r="R3302" s="644"/>
      <c r="S3302" s="48"/>
      <c r="T3302" s="1252"/>
      <c r="U3302" s="48"/>
      <c r="V3302" s="49"/>
    </row>
    <row r="3303" spans="7:22">
      <c r="G3303" s="48"/>
      <c r="H3303" s="48"/>
      <c r="I3303" s="1268"/>
      <c r="J3303" s="49"/>
      <c r="K3303" s="1495"/>
      <c r="L3303" s="49"/>
      <c r="M3303" s="1495"/>
      <c r="N3303" s="49"/>
      <c r="O3303" s="644"/>
      <c r="P3303" s="644"/>
      <c r="Q3303" s="1231"/>
      <c r="R3303" s="644"/>
      <c r="S3303" s="48"/>
      <c r="T3303" s="1252"/>
      <c r="U3303" s="48"/>
      <c r="V3303" s="49"/>
    </row>
    <row r="3304" spans="7:22">
      <c r="G3304" s="48"/>
      <c r="H3304" s="48"/>
      <c r="I3304" s="1268"/>
      <c r="J3304" s="49"/>
      <c r="K3304" s="1495"/>
      <c r="L3304" s="49"/>
      <c r="M3304" s="1498"/>
      <c r="N3304" s="49"/>
      <c r="O3304" s="644"/>
      <c r="P3304" s="644"/>
      <c r="Q3304" s="1243"/>
      <c r="R3304" s="644"/>
      <c r="S3304" s="48"/>
      <c r="T3304" s="1252"/>
      <c r="U3304" s="48"/>
      <c r="V3304" s="49"/>
    </row>
    <row r="3305" spans="7:22">
      <c r="G3305" s="48"/>
      <c r="H3305" s="48"/>
      <c r="I3305" s="1184"/>
      <c r="J3305" s="49"/>
      <c r="K3305" s="1532"/>
      <c r="L3305" s="49"/>
      <c r="M3305" s="1498"/>
      <c r="N3305" s="49"/>
      <c r="O3305" s="644"/>
      <c r="P3305" s="644"/>
      <c r="Q3305" s="644"/>
      <c r="R3305" s="644"/>
      <c r="S3305" s="48"/>
      <c r="T3305" s="1252"/>
      <c r="U3305" s="48"/>
      <c r="V3305" s="49"/>
    </row>
    <row r="3306" spans="7:22">
      <c r="G3306" s="48"/>
      <c r="H3306" s="48"/>
      <c r="I3306" s="48"/>
      <c r="J3306" s="49"/>
      <c r="K3306" s="1495"/>
      <c r="L3306" s="49"/>
      <c r="M3306" s="1498"/>
      <c r="N3306" s="49"/>
      <c r="O3306" s="644"/>
      <c r="P3306" s="644"/>
      <c r="Q3306" s="644"/>
      <c r="R3306" s="644"/>
      <c r="S3306" s="48"/>
      <c r="T3306" s="1252"/>
      <c r="U3306" s="48"/>
      <c r="V3306" s="49"/>
    </row>
    <row r="3307" spans="7:22">
      <c r="G3307" s="48"/>
      <c r="H3307" s="48"/>
      <c r="I3307" s="48"/>
      <c r="J3307" s="49"/>
      <c r="K3307" s="1495"/>
      <c r="L3307" s="49"/>
      <c r="M3307" s="1498"/>
      <c r="N3307" s="49"/>
      <c r="O3307" s="644"/>
      <c r="P3307" s="644"/>
      <c r="Q3307" s="644"/>
      <c r="R3307" s="644"/>
      <c r="S3307" s="48"/>
      <c r="T3307" s="1252"/>
      <c r="U3307" s="48"/>
      <c r="V3307" s="49"/>
    </row>
    <row r="3308" spans="7:22">
      <c r="G3308" s="48"/>
      <c r="H3308" s="48"/>
      <c r="I3308" s="48"/>
      <c r="J3308" s="49"/>
      <c r="K3308" s="1498"/>
      <c r="L3308" s="49"/>
      <c r="M3308" s="1498"/>
      <c r="N3308" s="49"/>
      <c r="O3308" s="644"/>
      <c r="P3308" s="644"/>
      <c r="Q3308" s="644"/>
      <c r="R3308" s="644"/>
      <c r="S3308" s="48"/>
      <c r="T3308" s="1252"/>
      <c r="U3308" s="48"/>
      <c r="V3308" s="48"/>
    </row>
    <row r="3309" spans="7:22">
      <c r="G3309" s="48"/>
      <c r="H3309" s="48"/>
      <c r="I3309" s="48"/>
      <c r="J3309" s="49"/>
      <c r="K3309" s="49"/>
      <c r="L3309" s="49"/>
      <c r="M3309" s="1498"/>
      <c r="N3309" s="49"/>
      <c r="O3309" s="644"/>
      <c r="P3309" s="644"/>
      <c r="Q3309" s="644"/>
      <c r="R3309" s="644"/>
      <c r="S3309" s="48"/>
      <c r="T3309" s="1252"/>
      <c r="U3309" s="48"/>
      <c r="V3309" s="48"/>
    </row>
    <row r="3310" spans="7:22">
      <c r="G3310" s="48"/>
      <c r="H3310" s="48"/>
      <c r="I3310" s="48"/>
      <c r="J3310" s="954">
        <f>SUM(J3298:J3306)</f>
        <v>0</v>
      </c>
      <c r="K3310" s="954"/>
      <c r="L3310" s="954">
        <f>SUM(L3298:L3309)</f>
        <v>1000000</v>
      </c>
      <c r="M3310" s="1498"/>
      <c r="N3310" s="954">
        <f>SUM(N3298:N3309)</f>
        <v>185000000</v>
      </c>
      <c r="O3310" s="644"/>
      <c r="P3310" s="969">
        <f>SUM(P3298:P3304)</f>
        <v>12633000</v>
      </c>
      <c r="Q3310" s="969"/>
      <c r="R3310" s="969">
        <f>SUM(R3298:R3304)</f>
        <v>850000</v>
      </c>
      <c r="S3310" s="48"/>
      <c r="T3310" s="1178">
        <f>SUM(T3298:T3309)</f>
        <v>3200</v>
      </c>
      <c r="U3310" s="48"/>
      <c r="V3310" s="878">
        <f>SUM(V3298:V3309)</f>
        <v>0</v>
      </c>
    </row>
    <row r="3311" spans="7:22">
      <c r="T3311" s="1251"/>
    </row>
    <row r="3312" spans="7:22">
      <c r="T3312" s="1251"/>
    </row>
    <row r="3313" spans="7:22">
      <c r="R3313" s="661"/>
      <c r="T3313" s="1251"/>
    </row>
    <row r="3314" spans="7:22">
      <c r="T3314" s="1251"/>
    </row>
    <row r="3315" spans="7:22">
      <c r="T3315" s="1251"/>
    </row>
    <row r="3316" spans="7:22">
      <c r="I3316" s="946"/>
      <c r="M3316" s="1533" t="s">
        <v>3699</v>
      </c>
      <c r="O3316" s="1535" t="s">
        <v>3741</v>
      </c>
      <c r="P3316" s="1512">
        <f>P3310-R3310</f>
        <v>11783000</v>
      </c>
      <c r="S3316" s="906" t="s">
        <v>4049</v>
      </c>
      <c r="T3316" s="1107">
        <f>T3310-V3310</f>
        <v>3200</v>
      </c>
    </row>
    <row r="3317" spans="7:22">
      <c r="G3317" s="1574" t="s">
        <v>3530</v>
      </c>
      <c r="H3317" s="1574"/>
      <c r="I3317" s="1574"/>
      <c r="J3317" s="3">
        <f>J3310+L3310</f>
        <v>1000000</v>
      </c>
      <c r="K3317" s="1009"/>
      <c r="L3317" s="3"/>
      <c r="M3317" s="1533" t="s">
        <v>3664</v>
      </c>
      <c r="N3317" s="1527"/>
      <c r="O3317" s="1535" t="s">
        <v>4066</v>
      </c>
      <c r="P3317" s="1512"/>
      <c r="T3317" s="1251"/>
    </row>
    <row r="3318" spans="7:22">
      <c r="G3318" s="1574" t="s">
        <v>3512</v>
      </c>
      <c r="H3318" s="1574"/>
      <c r="I3318" s="1574"/>
      <c r="J3318" s="3">
        <f>N3310-J3317</f>
        <v>184000000</v>
      </c>
      <c r="K3318" s="1009"/>
      <c r="L3318" s="3"/>
      <c r="M3318" s="1528"/>
      <c r="O3318" s="1529"/>
      <c r="Q3318" s="661"/>
      <c r="T3318" s="1251"/>
    </row>
    <row r="3319" spans="7:22">
      <c r="G3319" s="1574" t="s">
        <v>3531</v>
      </c>
      <c r="H3319" s="1574"/>
      <c r="I3319" s="1574"/>
      <c r="J3319" s="3">
        <f>T3316</f>
        <v>3200</v>
      </c>
      <c r="Q3319" s="3"/>
      <c r="T3319" s="1251"/>
    </row>
    <row r="3320" spans="7:22">
      <c r="G3320" s="1564" t="s">
        <v>4067</v>
      </c>
      <c r="H3320" s="1564"/>
      <c r="I3320" s="1564"/>
      <c r="R3320" s="3"/>
      <c r="T3320" s="1251"/>
    </row>
    <row r="3325" spans="7:22">
      <c r="G3325" s="1008">
        <v>46038</v>
      </c>
      <c r="H3325" s="1169"/>
      <c r="I3325" s="1575" t="s">
        <v>3510</v>
      </c>
      <c r="J3325" s="1576"/>
      <c r="K3325" s="1575" t="s">
        <v>3509</v>
      </c>
      <c r="L3325" s="1576"/>
      <c r="M3325" s="1575" t="s">
        <v>3541</v>
      </c>
      <c r="N3325" s="1576"/>
      <c r="O3325" s="1577" t="s">
        <v>3598</v>
      </c>
      <c r="P3325" s="1578"/>
      <c r="Q3325" s="1579" t="s">
        <v>3599</v>
      </c>
      <c r="R3325" s="1580"/>
      <c r="S3325" s="1583" t="s">
        <v>3953</v>
      </c>
      <c r="T3325" s="1583"/>
      <c r="U3325" s="1583" t="s">
        <v>3954</v>
      </c>
      <c r="V3325" s="1583"/>
    </row>
    <row r="3326" spans="7:22">
      <c r="G3326" s="1097"/>
      <c r="H3326" s="1261"/>
      <c r="I3326" s="1266" t="s">
        <v>4448</v>
      </c>
      <c r="J3326" s="49">
        <v>18600000</v>
      </c>
      <c r="K3326" s="1495" t="s">
        <v>4532</v>
      </c>
      <c r="L3326" s="49">
        <v>9000000</v>
      </c>
      <c r="M3326" s="1495" t="s">
        <v>4431</v>
      </c>
      <c r="N3326" s="49">
        <v>184000000</v>
      </c>
      <c r="O3326" s="1383"/>
      <c r="P3326" s="644">
        <v>11783000</v>
      </c>
      <c r="Q3326" s="1266"/>
      <c r="R3326" s="644"/>
      <c r="S3326" s="1223"/>
      <c r="T3326" s="1191">
        <v>3200</v>
      </c>
      <c r="U3326" s="1232"/>
      <c r="V3326" s="48"/>
    </row>
    <row r="3327" spans="7:22">
      <c r="G3327" s="1098"/>
      <c r="H3327" s="1172"/>
      <c r="I3327" s="1267" t="s">
        <v>4449</v>
      </c>
      <c r="J3327" s="49">
        <v>27900000</v>
      </c>
      <c r="K3327" s="1495" t="s">
        <v>4447</v>
      </c>
      <c r="L3327" s="49">
        <v>1100000</v>
      </c>
      <c r="M3327" s="1495" t="s">
        <v>4450</v>
      </c>
      <c r="N3327" s="49">
        <v>1000000</v>
      </c>
      <c r="O3327" s="1383"/>
      <c r="P3327" s="644"/>
      <c r="Q3327" s="1269"/>
      <c r="R3327" s="644">
        <v>400000</v>
      </c>
      <c r="S3327" s="1268"/>
      <c r="T3327" s="1191">
        <v>750</v>
      </c>
      <c r="U3327" s="48"/>
      <c r="V3327" s="49"/>
    </row>
    <row r="3328" spans="7:22">
      <c r="G3328" s="48"/>
      <c r="H3328" s="48"/>
      <c r="I3328" s="1268" t="s">
        <v>4451</v>
      </c>
      <c r="J3328" s="49">
        <v>21160000</v>
      </c>
      <c r="K3328" s="1495" t="s">
        <v>4434</v>
      </c>
      <c r="L3328" s="49">
        <v>3300000</v>
      </c>
      <c r="M3328" s="1493"/>
      <c r="N3328" s="49"/>
      <c r="O3328" s="1383"/>
      <c r="P3328" s="644"/>
      <c r="Q3328" s="1273" t="s">
        <v>4453</v>
      </c>
      <c r="R3328" s="644">
        <v>1500000</v>
      </c>
      <c r="S3328" s="1215"/>
      <c r="T3328" s="1191"/>
      <c r="U3328" s="1078"/>
      <c r="V3328" s="49"/>
    </row>
    <row r="3329" spans="7:22">
      <c r="G3329" s="48"/>
      <c r="H3329" s="48"/>
      <c r="I3329" s="1267"/>
      <c r="J3329" s="49"/>
      <c r="K3329" s="1495" t="s">
        <v>4452</v>
      </c>
      <c r="L3329" s="49">
        <v>2000000</v>
      </c>
      <c r="M3329" s="1493"/>
      <c r="N3329" s="49"/>
      <c r="O3329" s="644"/>
      <c r="P3329" s="644"/>
      <c r="Q3329" s="1273" t="s">
        <v>4454</v>
      </c>
      <c r="R3329" s="644">
        <v>5000000</v>
      </c>
      <c r="S3329" s="48"/>
      <c r="T3329" s="1252"/>
      <c r="U3329" s="48"/>
      <c r="V3329" s="49"/>
    </row>
    <row r="3330" spans="7:22">
      <c r="G3330" s="48"/>
      <c r="H3330" s="48"/>
      <c r="I3330" s="1268"/>
      <c r="J3330" s="49"/>
      <c r="K3330" s="1495"/>
      <c r="L3330" s="49"/>
      <c r="M3330" s="1493"/>
      <c r="N3330" s="49"/>
      <c r="O3330" s="644"/>
      <c r="P3330" s="644"/>
      <c r="Q3330" s="1231"/>
      <c r="R3330" s="644">
        <v>700000</v>
      </c>
      <c r="S3330" s="48"/>
      <c r="T3330" s="1252"/>
      <c r="U3330" s="48"/>
      <c r="V3330" s="49"/>
    </row>
    <row r="3331" spans="7:22">
      <c r="G3331" s="48"/>
      <c r="H3331" s="48"/>
      <c r="I3331" s="1268"/>
      <c r="J3331" s="49"/>
      <c r="K3331" s="1495"/>
      <c r="L3331" s="49"/>
      <c r="M3331" s="1495"/>
      <c r="N3331" s="49"/>
      <c r="O3331" s="644"/>
      <c r="P3331" s="644"/>
      <c r="Q3331" s="1231"/>
      <c r="R3331" s="644"/>
      <c r="S3331" s="48"/>
      <c r="T3331" s="1252"/>
      <c r="U3331" s="48"/>
      <c r="V3331" s="49"/>
    </row>
    <row r="3332" spans="7:22">
      <c r="G3332" s="48"/>
      <c r="H3332" s="48"/>
      <c r="I3332" s="1268"/>
      <c r="J3332" s="49"/>
      <c r="K3332" s="1495"/>
      <c r="L3332" s="49"/>
      <c r="M3332" s="1498"/>
      <c r="N3332" s="49"/>
      <c r="O3332" s="644"/>
      <c r="P3332" s="644"/>
      <c r="Q3332" s="1243"/>
      <c r="R3332" s="644"/>
      <c r="S3332" s="48"/>
      <c r="T3332" s="1252"/>
      <c r="U3332" s="48"/>
      <c r="V3332" s="49"/>
    </row>
    <row r="3333" spans="7:22">
      <c r="G3333" s="48"/>
      <c r="H3333" s="48"/>
      <c r="I3333" s="1184"/>
      <c r="J3333" s="49"/>
      <c r="K3333" s="1532"/>
      <c r="L3333" s="49"/>
      <c r="M3333" s="1498"/>
      <c r="N3333" s="49"/>
      <c r="O3333" s="644"/>
      <c r="P3333" s="644"/>
      <c r="Q3333" s="644"/>
      <c r="R3333" s="644"/>
      <c r="S3333" s="48"/>
      <c r="T3333" s="1252"/>
      <c r="U3333" s="48"/>
      <c r="V3333" s="49"/>
    </row>
    <row r="3334" spans="7:22">
      <c r="G3334" s="48"/>
      <c r="H3334" s="48"/>
      <c r="I3334" s="48"/>
      <c r="J3334" s="49"/>
      <c r="K3334" s="1495"/>
      <c r="L3334" s="49"/>
      <c r="M3334" s="1498"/>
      <c r="N3334" s="49"/>
      <c r="O3334" s="644"/>
      <c r="P3334" s="644"/>
      <c r="Q3334" s="644"/>
      <c r="R3334" s="644"/>
      <c r="S3334" s="48"/>
      <c r="T3334" s="1252"/>
      <c r="U3334" s="48"/>
      <c r="V3334" s="49"/>
    </row>
    <row r="3335" spans="7:22">
      <c r="G3335" s="48"/>
      <c r="H3335" s="48"/>
      <c r="I3335" s="48"/>
      <c r="J3335" s="49"/>
      <c r="K3335" s="1495"/>
      <c r="L3335" s="49"/>
      <c r="M3335" s="1498"/>
      <c r="N3335" s="49"/>
      <c r="O3335" s="644"/>
      <c r="P3335" s="644"/>
      <c r="Q3335" s="644"/>
      <c r="R3335" s="644"/>
      <c r="S3335" s="48"/>
      <c r="T3335" s="1252"/>
      <c r="U3335" s="48"/>
      <c r="V3335" s="49"/>
    </row>
    <row r="3336" spans="7:22">
      <c r="G3336" s="48"/>
      <c r="H3336" s="48"/>
      <c r="I3336" s="48"/>
      <c r="J3336" s="49"/>
      <c r="K3336" s="1498"/>
      <c r="L3336" s="49"/>
      <c r="M3336" s="1498"/>
      <c r="N3336" s="49"/>
      <c r="O3336" s="644"/>
      <c r="P3336" s="644"/>
      <c r="Q3336" s="644"/>
      <c r="R3336" s="644"/>
      <c r="S3336" s="48"/>
      <c r="T3336" s="1252"/>
      <c r="U3336" s="48"/>
      <c r="V3336" s="48"/>
    </row>
    <row r="3337" spans="7:22">
      <c r="G3337" s="48"/>
      <c r="H3337" s="48"/>
      <c r="I3337" s="48"/>
      <c r="J3337" s="49"/>
      <c r="K3337" s="49"/>
      <c r="L3337" s="49"/>
      <c r="M3337" s="1498"/>
      <c r="N3337" s="49"/>
      <c r="O3337" s="644"/>
      <c r="P3337" s="644"/>
      <c r="Q3337" s="644"/>
      <c r="R3337" s="644"/>
      <c r="S3337" s="48"/>
      <c r="T3337" s="1252"/>
      <c r="U3337" s="48"/>
      <c r="V3337" s="48"/>
    </row>
    <row r="3338" spans="7:22">
      <c r="G3338" s="48"/>
      <c r="H3338" s="48"/>
      <c r="I3338" s="48"/>
      <c r="J3338" s="954">
        <f>SUM(J3326:J3334)</f>
        <v>67660000</v>
      </c>
      <c r="K3338" s="954"/>
      <c r="L3338" s="954">
        <f>SUM(L3326:L3337)</f>
        <v>15400000</v>
      </c>
      <c r="M3338" s="1498"/>
      <c r="N3338" s="954">
        <f>SUM(N3326:N3337)</f>
        <v>185000000</v>
      </c>
      <c r="O3338" s="644"/>
      <c r="P3338" s="969">
        <f>SUM(P3326:P3332)</f>
        <v>11783000</v>
      </c>
      <c r="Q3338" s="969"/>
      <c r="R3338" s="969">
        <f>SUM(R3326:R3332)</f>
        <v>7600000</v>
      </c>
      <c r="S3338" s="48"/>
      <c r="T3338" s="1178">
        <f>SUM(T3326:T3337)</f>
        <v>3950</v>
      </c>
      <c r="U3338" s="48"/>
      <c r="V3338" s="878">
        <f>SUM(V3326:V3337)</f>
        <v>0</v>
      </c>
    </row>
    <row r="3339" spans="7:22">
      <c r="T3339" s="1251"/>
    </row>
    <row r="3340" spans="7:22">
      <c r="T3340" s="1251"/>
    </row>
    <row r="3341" spans="7:22">
      <c r="R3341" s="661"/>
      <c r="T3341" s="1251"/>
    </row>
    <row r="3342" spans="7:22">
      <c r="T3342" s="1251"/>
    </row>
    <row r="3343" spans="7:22">
      <c r="T3343" s="1251"/>
    </row>
    <row r="3344" spans="7:22">
      <c r="I3344" s="946"/>
      <c r="M3344" s="1533" t="s">
        <v>3699</v>
      </c>
      <c r="O3344" s="1535" t="s">
        <v>3741</v>
      </c>
      <c r="P3344" s="1512">
        <f>P3338-R3338</f>
        <v>4183000</v>
      </c>
      <c r="S3344" s="906" t="s">
        <v>4049</v>
      </c>
      <c r="T3344" s="1107">
        <f>T3338-V3338</f>
        <v>3950</v>
      </c>
    </row>
    <row r="3345" spans="7:22">
      <c r="G3345" s="1574" t="s">
        <v>3530</v>
      </c>
      <c r="H3345" s="1574"/>
      <c r="I3345" s="1574"/>
      <c r="J3345" s="3">
        <f>J3338+L3338</f>
        <v>83060000</v>
      </c>
      <c r="K3345" s="1009"/>
      <c r="L3345" s="3"/>
      <c r="M3345" s="1533" t="s">
        <v>3664</v>
      </c>
      <c r="N3345" s="1527"/>
      <c r="O3345" s="1535" t="s">
        <v>4066</v>
      </c>
      <c r="P3345" s="1512"/>
      <c r="T3345" s="1251"/>
    </row>
    <row r="3346" spans="7:22">
      <c r="G3346" s="1574" t="s">
        <v>3512</v>
      </c>
      <c r="H3346" s="1574"/>
      <c r="I3346" s="1574"/>
      <c r="J3346" s="3">
        <f>N3338-J3345</f>
        <v>101940000</v>
      </c>
      <c r="K3346" s="1009"/>
      <c r="L3346" s="3"/>
      <c r="M3346" s="1528"/>
      <c r="O3346" s="1529"/>
      <c r="Q3346" s="661"/>
      <c r="T3346" s="1251"/>
    </row>
    <row r="3347" spans="7:22">
      <c r="G3347" s="1574" t="s">
        <v>3531</v>
      </c>
      <c r="H3347" s="1574"/>
      <c r="I3347" s="1574"/>
      <c r="J3347" s="3">
        <f>T3344</f>
        <v>3950</v>
      </c>
      <c r="Q3347" s="3"/>
      <c r="T3347" s="1251"/>
    </row>
    <row r="3348" spans="7:22">
      <c r="G3348" s="1564" t="s">
        <v>4067</v>
      </c>
      <c r="H3348" s="1564"/>
      <c r="I3348" s="1564"/>
      <c r="R3348" s="3"/>
      <c r="T3348" s="1251"/>
    </row>
    <row r="3349" spans="7:22">
      <c r="T3349" s="1251"/>
    </row>
    <row r="3350" spans="7:22">
      <c r="T3350" s="1251"/>
    </row>
    <row r="3351" spans="7:22">
      <c r="T3351" s="1264"/>
    </row>
    <row r="3352" spans="7:22">
      <c r="T3352" s="1264"/>
    </row>
    <row r="3353" spans="7:22">
      <c r="G3353" s="1008">
        <v>46039</v>
      </c>
      <c r="H3353" s="1169"/>
      <c r="I3353" s="1575" t="s">
        <v>3510</v>
      </c>
      <c r="J3353" s="1576"/>
      <c r="K3353" s="1575" t="s">
        <v>3509</v>
      </c>
      <c r="L3353" s="1576"/>
      <c r="M3353" s="1575" t="s">
        <v>3541</v>
      </c>
      <c r="N3353" s="1576"/>
      <c r="O3353" s="1577" t="s">
        <v>3598</v>
      </c>
      <c r="P3353" s="1578"/>
      <c r="Q3353" s="1579" t="s">
        <v>3599</v>
      </c>
      <c r="R3353" s="1580"/>
      <c r="S3353" s="1583" t="s">
        <v>3953</v>
      </c>
      <c r="T3353" s="1583"/>
      <c r="U3353" s="1583" t="s">
        <v>3954</v>
      </c>
      <c r="V3353" s="1583"/>
    </row>
    <row r="3354" spans="7:22">
      <c r="G3354" s="1097"/>
      <c r="H3354" s="1261"/>
      <c r="I3354" s="1272" t="s">
        <v>4457</v>
      </c>
      <c r="J3354" s="49">
        <v>29660000</v>
      </c>
      <c r="K3354" s="1495" t="s">
        <v>4458</v>
      </c>
      <c r="L3354" s="49">
        <v>100000</v>
      </c>
      <c r="M3354" s="1495" t="s">
        <v>4431</v>
      </c>
      <c r="N3354" s="49">
        <v>101940000</v>
      </c>
      <c r="O3354" s="1383"/>
      <c r="P3354" s="644">
        <v>2100000</v>
      </c>
      <c r="Q3354" s="1266"/>
      <c r="R3354" s="644"/>
      <c r="S3354" s="1223"/>
      <c r="T3354" s="1191">
        <v>3950</v>
      </c>
      <c r="U3354" s="1232"/>
      <c r="V3354" s="48"/>
    </row>
    <row r="3355" spans="7:22">
      <c r="G3355" s="1098"/>
      <c r="H3355" s="1172"/>
      <c r="I3355" s="1267"/>
      <c r="J3355" s="49"/>
      <c r="K3355" s="1495" t="s">
        <v>4459</v>
      </c>
      <c r="L3355" s="49">
        <v>200000</v>
      </c>
      <c r="M3355" s="1495"/>
      <c r="N3355" s="49"/>
      <c r="O3355" s="1383"/>
      <c r="P3355" s="644">
        <v>3300000</v>
      </c>
      <c r="Q3355" s="1277" t="s">
        <v>4460</v>
      </c>
      <c r="R3355" s="644">
        <v>100000</v>
      </c>
      <c r="S3355" s="1274" t="s">
        <v>4456</v>
      </c>
      <c r="T3355" s="1191">
        <v>100</v>
      </c>
      <c r="U3355" s="48"/>
      <c r="V3355" s="49"/>
    </row>
    <row r="3356" spans="7:22">
      <c r="G3356" s="48"/>
      <c r="H3356" s="48"/>
      <c r="I3356" s="1268"/>
      <c r="J3356" s="49"/>
      <c r="K3356" s="1495"/>
      <c r="L3356" s="49"/>
      <c r="M3356" s="1493"/>
      <c r="N3356" s="49"/>
      <c r="O3356" s="1383"/>
      <c r="P3356" s="644"/>
      <c r="Q3356" s="1277" t="s">
        <v>4461</v>
      </c>
      <c r="R3356" s="644">
        <v>400000</v>
      </c>
      <c r="S3356" s="1215"/>
      <c r="T3356" s="1191"/>
      <c r="U3356" s="1078"/>
      <c r="V3356" s="49"/>
    </row>
    <row r="3357" spans="7:22">
      <c r="G3357" s="48"/>
      <c r="H3357" s="48"/>
      <c r="I3357" s="1267"/>
      <c r="J3357" s="49"/>
      <c r="K3357" s="1495"/>
      <c r="L3357" s="49"/>
      <c r="M3357" s="1493"/>
      <c r="N3357" s="49"/>
      <c r="O3357" s="644"/>
      <c r="P3357" s="644"/>
      <c r="Q3357" s="1231"/>
      <c r="R3357" s="644"/>
      <c r="S3357" s="48"/>
      <c r="T3357" s="1265"/>
      <c r="U3357" s="48"/>
      <c r="V3357" s="49"/>
    </row>
    <row r="3358" spans="7:22">
      <c r="G3358" s="48"/>
      <c r="H3358" s="48"/>
      <c r="I3358" s="1268"/>
      <c r="J3358" s="49"/>
      <c r="K3358" s="1495"/>
      <c r="L3358" s="49"/>
      <c r="M3358" s="1493"/>
      <c r="N3358" s="49"/>
      <c r="O3358" s="644"/>
      <c r="P3358" s="644"/>
      <c r="Q3358" s="1231"/>
      <c r="R3358" s="644"/>
      <c r="S3358" s="48"/>
      <c r="T3358" s="1265"/>
      <c r="U3358" s="48"/>
      <c r="V3358" s="49"/>
    </row>
    <row r="3359" spans="7:22">
      <c r="G3359" s="48"/>
      <c r="H3359" s="48"/>
      <c r="I3359" s="1268"/>
      <c r="J3359" s="49"/>
      <c r="K3359" s="1495"/>
      <c r="L3359" s="49"/>
      <c r="M3359" s="1495"/>
      <c r="N3359" s="49"/>
      <c r="O3359" s="644"/>
      <c r="P3359" s="644"/>
      <c r="Q3359" s="1231"/>
      <c r="R3359" s="644"/>
      <c r="S3359" s="48"/>
      <c r="T3359" s="1265"/>
      <c r="U3359" s="48"/>
      <c r="V3359" s="49"/>
    </row>
    <row r="3360" spans="7:22">
      <c r="G3360" s="48"/>
      <c r="H3360" s="48"/>
      <c r="I3360" s="1268"/>
      <c r="J3360" s="49"/>
      <c r="K3360" s="1495"/>
      <c r="L3360" s="49"/>
      <c r="M3360" s="1498"/>
      <c r="N3360" s="49"/>
      <c r="O3360" s="644"/>
      <c r="P3360" s="644"/>
      <c r="Q3360" s="1243"/>
      <c r="R3360" s="644"/>
      <c r="S3360" s="48"/>
      <c r="T3360" s="1265"/>
      <c r="U3360" s="48"/>
      <c r="V3360" s="49"/>
    </row>
    <row r="3361" spans="7:22">
      <c r="G3361" s="48"/>
      <c r="H3361" s="48"/>
      <c r="I3361" s="1184"/>
      <c r="J3361" s="49"/>
      <c r="K3361" s="1532"/>
      <c r="L3361" s="49"/>
      <c r="M3361" s="1498"/>
      <c r="N3361" s="49"/>
      <c r="O3361" s="644"/>
      <c r="P3361" s="644"/>
      <c r="Q3361" s="644"/>
      <c r="R3361" s="644"/>
      <c r="S3361" s="48"/>
      <c r="T3361" s="1265"/>
      <c r="U3361" s="48"/>
      <c r="V3361" s="49"/>
    </row>
    <row r="3362" spans="7:22">
      <c r="G3362" s="48"/>
      <c r="H3362" s="48"/>
      <c r="I3362" s="48"/>
      <c r="J3362" s="49"/>
      <c r="K3362" s="1495"/>
      <c r="L3362" s="49"/>
      <c r="M3362" s="1498"/>
      <c r="N3362" s="49"/>
      <c r="O3362" s="644"/>
      <c r="P3362" s="644"/>
      <c r="Q3362" s="644"/>
      <c r="R3362" s="644"/>
      <c r="S3362" s="48"/>
      <c r="T3362" s="1265"/>
      <c r="U3362" s="48"/>
      <c r="V3362" s="49"/>
    </row>
    <row r="3363" spans="7:22">
      <c r="G3363" s="48"/>
      <c r="H3363" s="48"/>
      <c r="I3363" s="48"/>
      <c r="J3363" s="49"/>
      <c r="K3363" s="1495"/>
      <c r="L3363" s="49"/>
      <c r="M3363" s="1498"/>
      <c r="N3363" s="49"/>
      <c r="O3363" s="644"/>
      <c r="P3363" s="644"/>
      <c r="Q3363" s="644"/>
      <c r="R3363" s="644"/>
      <c r="S3363" s="48"/>
      <c r="T3363" s="1265"/>
      <c r="U3363" s="48"/>
      <c r="V3363" s="49"/>
    </row>
    <row r="3364" spans="7:22">
      <c r="G3364" s="48"/>
      <c r="H3364" s="48"/>
      <c r="I3364" s="48"/>
      <c r="J3364" s="49"/>
      <c r="K3364" s="1498"/>
      <c r="L3364" s="49"/>
      <c r="M3364" s="1498"/>
      <c r="N3364" s="49"/>
      <c r="O3364" s="644"/>
      <c r="P3364" s="644"/>
      <c r="Q3364" s="644"/>
      <c r="R3364" s="644"/>
      <c r="S3364" s="48"/>
      <c r="T3364" s="1265"/>
      <c r="U3364" s="48"/>
      <c r="V3364" s="48"/>
    </row>
    <row r="3365" spans="7:22">
      <c r="G3365" s="48"/>
      <c r="H3365" s="48"/>
      <c r="I3365" s="48"/>
      <c r="J3365" s="49"/>
      <c r="K3365" s="49"/>
      <c r="L3365" s="49"/>
      <c r="M3365" s="1498"/>
      <c r="N3365" s="49"/>
      <c r="O3365" s="644"/>
      <c r="P3365" s="644"/>
      <c r="Q3365" s="644"/>
      <c r="R3365" s="644"/>
      <c r="S3365" s="48"/>
      <c r="T3365" s="1265"/>
      <c r="U3365" s="48"/>
      <c r="V3365" s="48"/>
    </row>
    <row r="3366" spans="7:22">
      <c r="G3366" s="48"/>
      <c r="H3366" s="48"/>
      <c r="I3366" s="48"/>
      <c r="J3366" s="954">
        <f>SUM(J3354:J3362)</f>
        <v>29660000</v>
      </c>
      <c r="K3366" s="954"/>
      <c r="L3366" s="954">
        <f>SUM(L3354:L3365)</f>
        <v>300000</v>
      </c>
      <c r="M3366" s="1498"/>
      <c r="N3366" s="954">
        <f>SUM(N3354:N3365)</f>
        <v>101940000</v>
      </c>
      <c r="O3366" s="644"/>
      <c r="P3366" s="969">
        <f>SUM(P3354:P3360)</f>
        <v>5400000</v>
      </c>
      <c r="Q3366" s="969"/>
      <c r="R3366" s="969">
        <f>SUM(R3354:R3360)</f>
        <v>500000</v>
      </c>
      <c r="S3366" s="48"/>
      <c r="T3366" s="1178">
        <f>SUM(T3354:T3365)</f>
        <v>4050</v>
      </c>
      <c r="U3366" s="48"/>
      <c r="V3366" s="878">
        <f>SUM(V3354:V3365)</f>
        <v>0</v>
      </c>
    </row>
    <row r="3367" spans="7:22">
      <c r="T3367" s="1264"/>
    </row>
    <row r="3368" spans="7:22">
      <c r="T3368" s="1264"/>
    </row>
    <row r="3369" spans="7:22">
      <c r="R3369" s="661"/>
      <c r="T3369" s="1264"/>
    </row>
    <row r="3370" spans="7:22">
      <c r="T3370" s="1264"/>
    </row>
    <row r="3371" spans="7:22">
      <c r="T3371" s="1264"/>
    </row>
    <row r="3372" spans="7:22">
      <c r="I3372" s="946"/>
      <c r="M3372" s="1533" t="s">
        <v>3699</v>
      </c>
      <c r="O3372" s="1535" t="s">
        <v>3741</v>
      </c>
      <c r="P3372" s="1512">
        <f>P3366-R3366</f>
        <v>4900000</v>
      </c>
      <c r="S3372" s="906" t="s">
        <v>4049</v>
      </c>
      <c r="T3372" s="1107">
        <f>T3366-V3366</f>
        <v>4050</v>
      </c>
    </row>
    <row r="3373" spans="7:22">
      <c r="G3373" s="1574" t="s">
        <v>3530</v>
      </c>
      <c r="H3373" s="1574"/>
      <c r="I3373" s="1574"/>
      <c r="J3373" s="3">
        <f>J3366+L3366</f>
        <v>29960000</v>
      </c>
      <c r="K3373" s="1009"/>
      <c r="L3373" s="3"/>
      <c r="M3373" s="1533" t="s">
        <v>3664</v>
      </c>
      <c r="N3373" s="1527"/>
      <c r="O3373" s="1535" t="s">
        <v>4066</v>
      </c>
      <c r="P3373" s="1512"/>
      <c r="T3373" s="1264"/>
    </row>
    <row r="3374" spans="7:22">
      <c r="G3374" s="1574" t="s">
        <v>3512</v>
      </c>
      <c r="H3374" s="1574"/>
      <c r="I3374" s="1574"/>
      <c r="J3374" s="3">
        <f>N3366-J3373</f>
        <v>71980000</v>
      </c>
      <c r="K3374" s="1009"/>
      <c r="L3374" s="3"/>
      <c r="M3374" s="1528"/>
      <c r="O3374" s="1529"/>
      <c r="Q3374" s="661"/>
      <c r="T3374" s="1264"/>
    </row>
    <row r="3375" spans="7:22">
      <c r="G3375" s="1574" t="s">
        <v>3531</v>
      </c>
      <c r="H3375" s="1574"/>
      <c r="I3375" s="1574"/>
      <c r="J3375" s="3">
        <f>T3372</f>
        <v>4050</v>
      </c>
      <c r="Q3375" s="3"/>
      <c r="T3375" s="1264"/>
    </row>
    <row r="3376" spans="7:22">
      <c r="G3376" s="1564" t="s">
        <v>4455</v>
      </c>
      <c r="H3376" s="1564"/>
      <c r="I3376" s="1564"/>
      <c r="J3376" s="3">
        <f>+P3372</f>
        <v>4900000</v>
      </c>
      <c r="R3376" s="3"/>
      <c r="T3376" s="1264"/>
    </row>
    <row r="3377" spans="7:22">
      <c r="T3377" s="1264"/>
    </row>
    <row r="3378" spans="7:22">
      <c r="T3378" s="1264"/>
    </row>
    <row r="3382" spans="7:22">
      <c r="G3382" s="1008">
        <v>46041</v>
      </c>
      <c r="H3382" s="1169"/>
      <c r="I3382" s="1575" t="s">
        <v>3510</v>
      </c>
      <c r="J3382" s="1576"/>
      <c r="K3382" s="1575" t="s">
        <v>3509</v>
      </c>
      <c r="L3382" s="1576"/>
      <c r="M3382" s="1575" t="s">
        <v>3541</v>
      </c>
      <c r="N3382" s="1576"/>
      <c r="O3382" s="1577" t="s">
        <v>3598</v>
      </c>
      <c r="P3382" s="1578"/>
      <c r="Q3382" s="1579" t="s">
        <v>3599</v>
      </c>
      <c r="R3382" s="1580"/>
      <c r="S3382" s="1583" t="s">
        <v>3953</v>
      </c>
      <c r="T3382" s="1583"/>
      <c r="U3382" s="1583" t="s">
        <v>3954</v>
      </c>
      <c r="V3382" s="1583"/>
    </row>
    <row r="3383" spans="7:22">
      <c r="G3383" s="1097"/>
      <c r="H3383" s="1261"/>
      <c r="I3383" s="1279" t="s">
        <v>4466</v>
      </c>
      <c r="J3383" s="49">
        <v>30000000</v>
      </c>
      <c r="K3383" s="1495" t="s">
        <v>4463</v>
      </c>
      <c r="L3383" s="49">
        <v>4000000</v>
      </c>
      <c r="M3383" s="1495" t="s">
        <v>4431</v>
      </c>
      <c r="N3383" s="49">
        <f>71000000+150000000</f>
        <v>221000000</v>
      </c>
      <c r="O3383" s="1383"/>
      <c r="P3383" s="644">
        <v>4900000</v>
      </c>
      <c r="Q3383" s="1279" t="s">
        <v>4469</v>
      </c>
      <c r="R3383" s="644">
        <v>148320</v>
      </c>
      <c r="S3383" s="1223"/>
      <c r="T3383" s="1191">
        <v>4050</v>
      </c>
      <c r="U3383" s="1232"/>
      <c r="V3383" s="48"/>
    </row>
    <row r="3384" spans="7:22">
      <c r="G3384" s="1098"/>
      <c r="H3384" s="1172"/>
      <c r="I3384" s="1278" t="s">
        <v>4479</v>
      </c>
      <c r="J3384" s="49">
        <v>30360000</v>
      </c>
      <c r="K3384" s="1495" t="s">
        <v>3537</v>
      </c>
      <c r="L3384" s="49">
        <v>500000</v>
      </c>
      <c r="M3384" s="1495" t="s">
        <v>4462</v>
      </c>
      <c r="N3384" s="49">
        <v>14000000</v>
      </c>
      <c r="O3384" s="1383" t="s">
        <v>4468</v>
      </c>
      <c r="P3384" s="644">
        <v>5500000</v>
      </c>
      <c r="Q3384" s="1277" t="s">
        <v>4463</v>
      </c>
      <c r="R3384" s="644">
        <v>3000000</v>
      </c>
      <c r="S3384" s="1280" t="s">
        <v>4465</v>
      </c>
      <c r="T3384" s="1191">
        <v>2400</v>
      </c>
      <c r="U3384" s="48"/>
      <c r="V3384" s="49"/>
    </row>
    <row r="3385" spans="7:22">
      <c r="G3385" s="48"/>
      <c r="H3385" s="48"/>
      <c r="I3385" s="1282" t="s">
        <v>4480</v>
      </c>
      <c r="J3385" s="49">
        <v>30700000</v>
      </c>
      <c r="K3385" s="1495" t="s">
        <v>4464</v>
      </c>
      <c r="L3385" s="49">
        <f>300000+500000</f>
        <v>800000</v>
      </c>
      <c r="M3385" s="1493" t="s">
        <v>4465</v>
      </c>
      <c r="N3385" s="49">
        <v>500000</v>
      </c>
      <c r="O3385" s="1383"/>
      <c r="P3385" s="644"/>
      <c r="Q3385" s="1277" t="s">
        <v>4470</v>
      </c>
      <c r="R3385" s="644">
        <f>500000+200000</f>
        <v>700000</v>
      </c>
      <c r="S3385" s="1278" t="s">
        <v>4477</v>
      </c>
      <c r="T3385" s="1191"/>
      <c r="U3385" s="1078">
        <v>150</v>
      </c>
      <c r="V3385" s="49"/>
    </row>
    <row r="3386" spans="7:22">
      <c r="G3386" s="48"/>
      <c r="H3386" s="48"/>
      <c r="I3386" s="1278" t="s">
        <v>4481</v>
      </c>
      <c r="J3386" s="49">
        <v>18500000</v>
      </c>
      <c r="K3386" s="1495" t="s">
        <v>4467</v>
      </c>
      <c r="L3386" s="49">
        <v>300000</v>
      </c>
      <c r="M3386" s="1493" t="s">
        <v>4475</v>
      </c>
      <c r="N3386" s="49">
        <v>700000</v>
      </c>
      <c r="O3386" s="644"/>
      <c r="P3386" s="644"/>
      <c r="Q3386" s="1277" t="s">
        <v>4471</v>
      </c>
      <c r="R3386" s="644">
        <v>1200000</v>
      </c>
      <c r="S3386" s="48"/>
      <c r="T3386" s="1271"/>
      <c r="U3386" s="48"/>
      <c r="V3386" s="49"/>
    </row>
    <row r="3387" spans="7:22">
      <c r="G3387" s="48"/>
      <c r="H3387" s="48"/>
      <c r="I3387" s="1282" t="s">
        <v>4482</v>
      </c>
      <c r="J3387" s="49">
        <v>93000000</v>
      </c>
      <c r="K3387" s="1495" t="s">
        <v>4476</v>
      </c>
      <c r="L3387" s="49">
        <v>500000</v>
      </c>
      <c r="M3387" s="1493"/>
      <c r="N3387" s="49"/>
      <c r="O3387" s="644"/>
      <c r="P3387" s="644"/>
      <c r="Q3387" s="1277" t="s">
        <v>4472</v>
      </c>
      <c r="R3387" s="644">
        <f>100000</f>
        <v>100000</v>
      </c>
      <c r="S3387" s="48"/>
      <c r="T3387" s="1271"/>
      <c r="U3387" s="48"/>
      <c r="V3387" s="49"/>
    </row>
    <row r="3388" spans="7:22">
      <c r="G3388" s="48"/>
      <c r="H3388" s="48"/>
      <c r="I3388" s="1282" t="s">
        <v>4483</v>
      </c>
      <c r="J3388" s="49">
        <v>26000000</v>
      </c>
      <c r="K3388" s="1495" t="s">
        <v>4477</v>
      </c>
      <c r="L3388" s="49">
        <v>1200000</v>
      </c>
      <c r="M3388" s="1495"/>
      <c r="N3388" s="49"/>
      <c r="O3388" s="644"/>
      <c r="P3388" s="644"/>
      <c r="Q3388" s="1277" t="s">
        <v>4473</v>
      </c>
      <c r="R3388" s="644">
        <v>180000</v>
      </c>
      <c r="S3388" s="48"/>
      <c r="T3388" s="1271"/>
      <c r="U3388" s="48"/>
      <c r="V3388" s="49"/>
    </row>
    <row r="3389" spans="7:22">
      <c r="G3389" s="48"/>
      <c r="H3389" s="48"/>
      <c r="I3389" s="1268"/>
      <c r="J3389" s="49"/>
      <c r="K3389" s="1495" t="s">
        <v>4478</v>
      </c>
      <c r="L3389" s="49">
        <v>200000</v>
      </c>
      <c r="M3389" s="1498"/>
      <c r="N3389" s="49"/>
      <c r="O3389" s="644"/>
      <c r="P3389" s="644"/>
      <c r="Q3389" s="1281" t="s">
        <v>4474</v>
      </c>
      <c r="R3389" s="644">
        <v>162000</v>
      </c>
      <c r="S3389" s="48"/>
      <c r="T3389" s="1271"/>
      <c r="U3389" s="48"/>
      <c r="V3389" s="49"/>
    </row>
    <row r="3390" spans="7:22">
      <c r="G3390" s="48"/>
      <c r="H3390" s="48"/>
      <c r="I3390" s="1184"/>
      <c r="J3390" s="49"/>
      <c r="K3390" s="1532"/>
      <c r="L3390" s="49"/>
      <c r="M3390" s="1498"/>
      <c r="N3390" s="49"/>
      <c r="O3390" s="644"/>
      <c r="P3390" s="644"/>
      <c r="Q3390" s="1282" t="s">
        <v>4483</v>
      </c>
      <c r="R3390" s="644">
        <v>4360000</v>
      </c>
      <c r="S3390" s="48"/>
      <c r="T3390" s="1271"/>
      <c r="U3390" s="48"/>
      <c r="V3390" s="49"/>
    </row>
    <row r="3391" spans="7:22">
      <c r="G3391" s="48"/>
      <c r="H3391" s="48"/>
      <c r="I3391" s="48"/>
      <c r="J3391" s="49"/>
      <c r="K3391" s="1495"/>
      <c r="L3391" s="49"/>
      <c r="M3391" s="1498"/>
      <c r="N3391" s="49"/>
      <c r="O3391" s="644"/>
      <c r="P3391" s="644"/>
      <c r="Q3391" s="644"/>
      <c r="R3391" s="644"/>
      <c r="S3391" s="48"/>
      <c r="T3391" s="1271"/>
      <c r="U3391" s="48"/>
      <c r="V3391" s="49"/>
    </row>
    <row r="3392" spans="7:22">
      <c r="G3392" s="48"/>
      <c r="H3392" s="48"/>
      <c r="I3392" s="48"/>
      <c r="J3392" s="49"/>
      <c r="K3392" s="1495"/>
      <c r="L3392" s="49"/>
      <c r="M3392" s="1498"/>
      <c r="N3392" s="49"/>
      <c r="O3392" s="644"/>
      <c r="P3392" s="644"/>
      <c r="Q3392" s="644"/>
      <c r="R3392" s="644"/>
      <c r="S3392" s="48"/>
      <c r="T3392" s="1271"/>
      <c r="U3392" s="48"/>
      <c r="V3392" s="49"/>
    </row>
    <row r="3393" spans="7:22">
      <c r="G3393" s="48"/>
      <c r="H3393" s="48"/>
      <c r="I3393" s="48"/>
      <c r="J3393" s="49"/>
      <c r="K3393" s="1498"/>
      <c r="L3393" s="49"/>
      <c r="M3393" s="1498"/>
      <c r="N3393" s="49"/>
      <c r="O3393" s="644"/>
      <c r="P3393" s="644"/>
      <c r="Q3393" s="644"/>
      <c r="R3393" s="644"/>
      <c r="S3393" s="48"/>
      <c r="T3393" s="1271"/>
      <c r="U3393" s="48"/>
      <c r="V3393" s="48"/>
    </row>
    <row r="3394" spans="7:22">
      <c r="G3394" s="48"/>
      <c r="H3394" s="48"/>
      <c r="I3394" s="48"/>
      <c r="J3394" s="49"/>
      <c r="K3394" s="49"/>
      <c r="L3394" s="49"/>
      <c r="M3394" s="1498"/>
      <c r="N3394" s="49"/>
      <c r="O3394" s="644"/>
      <c r="P3394" s="644"/>
      <c r="Q3394" s="644"/>
      <c r="R3394" s="644"/>
      <c r="S3394" s="48"/>
      <c r="T3394" s="1271"/>
      <c r="U3394" s="48"/>
      <c r="V3394" s="48"/>
    </row>
    <row r="3395" spans="7:22">
      <c r="G3395" s="48"/>
      <c r="H3395" s="48"/>
      <c r="I3395" s="48"/>
      <c r="J3395" s="954">
        <f>SUM(J3383:J3391)</f>
        <v>228560000</v>
      </c>
      <c r="K3395" s="954"/>
      <c r="L3395" s="954">
        <f>SUM(L3383:L3394)</f>
        <v>7500000</v>
      </c>
      <c r="M3395" s="1498"/>
      <c r="N3395" s="954">
        <f>SUM(N3383:N3394)</f>
        <v>236200000</v>
      </c>
      <c r="O3395" s="644"/>
      <c r="P3395" s="969">
        <f>SUM(P3383:P3389)</f>
        <v>10400000</v>
      </c>
      <c r="Q3395" s="969"/>
      <c r="R3395" s="969">
        <f>SUM(R3383:R3390)</f>
        <v>9850320</v>
      </c>
      <c r="S3395" s="48"/>
      <c r="T3395" s="1178">
        <f>SUM(T3383:T3394)</f>
        <v>6450</v>
      </c>
      <c r="U3395" s="48"/>
      <c r="V3395" s="878">
        <f>SUM(V3383:V3394)</f>
        <v>0</v>
      </c>
    </row>
    <row r="3396" spans="7:22">
      <c r="T3396" s="1270"/>
    </row>
    <row r="3397" spans="7:22">
      <c r="T3397" s="1270"/>
    </row>
    <row r="3398" spans="7:22">
      <c r="R3398" s="661"/>
      <c r="T3398" s="1270"/>
    </row>
    <row r="3399" spans="7:22">
      <c r="T3399" s="1270"/>
    </row>
    <row r="3400" spans="7:22">
      <c r="T3400" s="1270"/>
    </row>
    <row r="3401" spans="7:22">
      <c r="I3401" s="946"/>
      <c r="M3401" s="1533" t="s">
        <v>3699</v>
      </c>
      <c r="O3401" s="1535" t="s">
        <v>3741</v>
      </c>
      <c r="P3401" s="1512">
        <f>P3395-R3395</f>
        <v>549680</v>
      </c>
      <c r="S3401" s="906" t="s">
        <v>4049</v>
      </c>
      <c r="T3401" s="1107">
        <f>T3395-V3395</f>
        <v>6450</v>
      </c>
    </row>
    <row r="3402" spans="7:22">
      <c r="G3402" s="1574" t="s">
        <v>3530</v>
      </c>
      <c r="H3402" s="1574"/>
      <c r="I3402" s="1574"/>
      <c r="J3402" s="3">
        <f>J3395+L3395</f>
        <v>236060000</v>
      </c>
      <c r="K3402" s="1009"/>
      <c r="L3402" s="3"/>
      <c r="M3402" s="1533" t="s">
        <v>3664</v>
      </c>
      <c r="N3402" s="1527"/>
      <c r="O3402" s="1535" t="s">
        <v>4066</v>
      </c>
      <c r="P3402" s="1512"/>
      <c r="T3402" s="1270"/>
    </row>
    <row r="3403" spans="7:22">
      <c r="G3403" s="1574" t="s">
        <v>3512</v>
      </c>
      <c r="H3403" s="1574"/>
      <c r="I3403" s="1574"/>
      <c r="J3403" s="3">
        <f>N3395-J3402</f>
        <v>140000</v>
      </c>
      <c r="K3403" s="1009"/>
      <c r="L3403" s="3"/>
      <c r="M3403" s="1528"/>
      <c r="O3403" s="1529"/>
      <c r="Q3403" s="661"/>
      <c r="T3403" s="1270"/>
    </row>
    <row r="3404" spans="7:22">
      <c r="G3404" s="1574" t="s">
        <v>3531</v>
      </c>
      <c r="H3404" s="1574"/>
      <c r="I3404" s="1574"/>
      <c r="J3404" s="3">
        <f>T3401</f>
        <v>6450</v>
      </c>
      <c r="Q3404" s="3"/>
      <c r="T3404" s="1270"/>
    </row>
    <row r="3405" spans="7:22">
      <c r="G3405" s="1564" t="s">
        <v>4455</v>
      </c>
      <c r="H3405" s="1564"/>
      <c r="I3405" s="1564"/>
      <c r="J3405" s="3">
        <f>+P3401</f>
        <v>549680</v>
      </c>
      <c r="R3405" s="3"/>
      <c r="T3405" s="1270"/>
    </row>
    <row r="3410" spans="7:22">
      <c r="T3410" s="1270"/>
    </row>
    <row r="3411" spans="7:22">
      <c r="G3411" s="1008">
        <v>46042</v>
      </c>
      <c r="H3411" s="1169"/>
      <c r="I3411" s="1575" t="s">
        <v>3510</v>
      </c>
      <c r="J3411" s="1576"/>
      <c r="K3411" s="1575" t="s">
        <v>3509</v>
      </c>
      <c r="L3411" s="1576"/>
      <c r="M3411" s="1575" t="s">
        <v>3541</v>
      </c>
      <c r="N3411" s="1576"/>
      <c r="O3411" s="1577" t="s">
        <v>3598</v>
      </c>
      <c r="P3411" s="1578"/>
      <c r="Q3411" s="1579" t="s">
        <v>3599</v>
      </c>
      <c r="R3411" s="1580"/>
      <c r="S3411" s="1583" t="s">
        <v>3953</v>
      </c>
      <c r="T3411" s="1583"/>
      <c r="U3411" s="1583" t="s">
        <v>3954</v>
      </c>
      <c r="V3411" s="1583"/>
    </row>
    <row r="3412" spans="7:22">
      <c r="G3412" s="1097"/>
      <c r="H3412" s="1261"/>
      <c r="I3412" s="1279" t="s">
        <v>4487</v>
      </c>
      <c r="J3412" s="49">
        <v>11900000</v>
      </c>
      <c r="K3412" s="1495" t="s">
        <v>3537</v>
      </c>
      <c r="L3412" s="49">
        <v>500000</v>
      </c>
      <c r="M3412" s="1495" t="s">
        <v>4486</v>
      </c>
      <c r="N3412" s="49">
        <v>48000000</v>
      </c>
      <c r="O3412" s="1383"/>
      <c r="P3412" s="644"/>
      <c r="Q3412" s="1279"/>
      <c r="R3412" s="644"/>
      <c r="S3412" s="1223"/>
      <c r="T3412" s="1191"/>
      <c r="U3412" s="1232"/>
      <c r="V3412" s="48"/>
    </row>
    <row r="3413" spans="7:22">
      <c r="G3413" s="1098"/>
      <c r="H3413" s="1172"/>
      <c r="I3413" s="1278" t="s">
        <v>4488</v>
      </c>
      <c r="J3413" s="49">
        <v>282000000</v>
      </c>
      <c r="K3413" s="1495" t="s">
        <v>4490</v>
      </c>
      <c r="L3413" s="49">
        <v>200000</v>
      </c>
      <c r="M3413" s="1495" t="s">
        <v>4489</v>
      </c>
      <c r="N3413" s="49">
        <v>807500000</v>
      </c>
      <c r="O3413" s="1383" t="s">
        <v>4485</v>
      </c>
      <c r="P3413" s="644">
        <v>500000</v>
      </c>
      <c r="Q3413" s="1277"/>
      <c r="R3413" s="644"/>
      <c r="S3413" s="1280" t="s">
        <v>4484</v>
      </c>
      <c r="T3413" s="1191">
        <v>6300</v>
      </c>
      <c r="U3413" s="48"/>
      <c r="V3413" s="49"/>
    </row>
    <row r="3414" spans="7:22">
      <c r="G3414" s="48"/>
      <c r="H3414" s="48"/>
      <c r="I3414" s="1282"/>
      <c r="J3414" s="49"/>
      <c r="K3414" s="1495" t="s">
        <v>4492</v>
      </c>
      <c r="L3414" s="49">
        <v>8250000</v>
      </c>
      <c r="M3414" s="1493" t="s">
        <v>4491</v>
      </c>
      <c r="N3414" s="49">
        <v>9250000</v>
      </c>
      <c r="O3414" s="1383"/>
      <c r="P3414" s="644"/>
      <c r="Q3414" s="1277"/>
      <c r="R3414" s="644"/>
      <c r="S3414" s="1278"/>
      <c r="T3414" s="1191"/>
      <c r="U3414" s="1078"/>
      <c r="V3414" s="49"/>
    </row>
    <row r="3415" spans="7:22">
      <c r="G3415" s="48"/>
      <c r="H3415" s="48"/>
      <c r="I3415" s="1278"/>
      <c r="J3415" s="49"/>
      <c r="K3415" s="1495" t="s">
        <v>4493</v>
      </c>
      <c r="L3415" s="49">
        <f>600000+400000</f>
        <v>1000000</v>
      </c>
      <c r="M3415" s="1493"/>
      <c r="N3415" s="49"/>
      <c r="O3415" s="644"/>
      <c r="P3415" s="644"/>
      <c r="Q3415" s="1277"/>
      <c r="R3415" s="644"/>
      <c r="S3415" s="48"/>
      <c r="T3415" s="1271"/>
      <c r="U3415" s="48"/>
      <c r="V3415" s="49"/>
    </row>
    <row r="3416" spans="7:22">
      <c r="G3416" s="48"/>
      <c r="H3416" s="48"/>
      <c r="I3416" s="1282"/>
      <c r="J3416" s="49"/>
      <c r="K3416" s="1495" t="s">
        <v>4494</v>
      </c>
      <c r="L3416" s="49">
        <v>5000000</v>
      </c>
      <c r="M3416" s="1493"/>
      <c r="N3416" s="49"/>
      <c r="O3416" s="644"/>
      <c r="P3416" s="644"/>
      <c r="Q3416" s="1277"/>
      <c r="R3416" s="644"/>
      <c r="S3416" s="48"/>
      <c r="T3416" s="1271"/>
      <c r="U3416" s="48"/>
      <c r="V3416" s="49"/>
    </row>
    <row r="3417" spans="7:22">
      <c r="G3417" s="48"/>
      <c r="H3417" s="48"/>
      <c r="I3417" s="1282"/>
      <c r="J3417" s="49"/>
      <c r="K3417" s="1495"/>
      <c r="L3417" s="49"/>
      <c r="M3417" s="1495"/>
      <c r="N3417" s="49"/>
      <c r="O3417" s="644"/>
      <c r="P3417" s="644"/>
      <c r="Q3417" s="1277"/>
      <c r="R3417" s="644"/>
      <c r="S3417" s="48"/>
      <c r="T3417" s="1271"/>
      <c r="U3417" s="48"/>
      <c r="V3417" s="49"/>
    </row>
    <row r="3418" spans="7:22">
      <c r="G3418" s="48"/>
      <c r="H3418" s="48"/>
      <c r="I3418" s="1268"/>
      <c r="J3418" s="49"/>
      <c r="K3418" s="1495"/>
      <c r="L3418" s="49"/>
      <c r="M3418" s="1498"/>
      <c r="N3418" s="49"/>
      <c r="O3418" s="644"/>
      <c r="P3418" s="644"/>
      <c r="Q3418" s="1281"/>
      <c r="R3418" s="644"/>
      <c r="S3418" s="48"/>
      <c r="T3418" s="1271"/>
      <c r="U3418" s="48"/>
      <c r="V3418" s="49"/>
    </row>
    <row r="3419" spans="7:22">
      <c r="G3419" s="48"/>
      <c r="H3419" s="48"/>
      <c r="I3419" s="1184"/>
      <c r="J3419" s="49"/>
      <c r="K3419" s="1532"/>
      <c r="L3419" s="49"/>
      <c r="M3419" s="1498"/>
      <c r="N3419" s="49"/>
      <c r="O3419" s="644"/>
      <c r="P3419" s="644"/>
      <c r="Q3419" s="1282"/>
      <c r="R3419" s="644"/>
      <c r="S3419" s="48"/>
      <c r="T3419" s="1271"/>
      <c r="U3419" s="48"/>
      <c r="V3419" s="49"/>
    </row>
    <row r="3420" spans="7:22">
      <c r="G3420" s="48"/>
      <c r="H3420" s="48"/>
      <c r="I3420" s="48"/>
      <c r="J3420" s="49"/>
      <c r="K3420" s="1495"/>
      <c r="L3420" s="49"/>
      <c r="M3420" s="1498"/>
      <c r="N3420" s="49"/>
      <c r="O3420" s="644"/>
      <c r="P3420" s="644"/>
      <c r="Q3420" s="644"/>
      <c r="R3420" s="644"/>
      <c r="S3420" s="48"/>
      <c r="T3420" s="1271"/>
      <c r="U3420" s="48"/>
      <c r="V3420" s="49"/>
    </row>
    <row r="3421" spans="7:22">
      <c r="G3421" s="48"/>
      <c r="H3421" s="48"/>
      <c r="I3421" s="48"/>
      <c r="J3421" s="49"/>
      <c r="K3421" s="1495"/>
      <c r="L3421" s="49"/>
      <c r="M3421" s="1498"/>
      <c r="N3421" s="49"/>
      <c r="O3421" s="644"/>
      <c r="P3421" s="644"/>
      <c r="Q3421" s="644"/>
      <c r="R3421" s="644"/>
      <c r="S3421" s="48"/>
      <c r="T3421" s="1271"/>
      <c r="U3421" s="48"/>
      <c r="V3421" s="49"/>
    </row>
    <row r="3422" spans="7:22">
      <c r="G3422" s="48"/>
      <c r="H3422" s="48"/>
      <c r="I3422" s="48"/>
      <c r="J3422" s="49"/>
      <c r="K3422" s="1498"/>
      <c r="L3422" s="49"/>
      <c r="M3422" s="1498"/>
      <c r="N3422" s="49"/>
      <c r="O3422" s="644"/>
      <c r="P3422" s="644"/>
      <c r="Q3422" s="644"/>
      <c r="R3422" s="644"/>
      <c r="S3422" s="48"/>
      <c r="T3422" s="1271"/>
      <c r="U3422" s="48"/>
      <c r="V3422" s="48"/>
    </row>
    <row r="3423" spans="7:22">
      <c r="G3423" s="48"/>
      <c r="H3423" s="48"/>
      <c r="I3423" s="48"/>
      <c r="J3423" s="49"/>
      <c r="K3423" s="49"/>
      <c r="L3423" s="49"/>
      <c r="M3423" s="1498"/>
      <c r="N3423" s="49"/>
      <c r="O3423" s="644"/>
      <c r="P3423" s="644"/>
      <c r="Q3423" s="644"/>
      <c r="R3423" s="644"/>
      <c r="S3423" s="48"/>
      <c r="T3423" s="1271"/>
      <c r="U3423" s="48"/>
      <c r="V3423" s="48"/>
    </row>
    <row r="3424" spans="7:22">
      <c r="G3424" s="48"/>
      <c r="H3424" s="48"/>
      <c r="I3424" s="48"/>
      <c r="J3424" s="954">
        <f>SUM(J3412:J3420)</f>
        <v>293900000</v>
      </c>
      <c r="K3424" s="954"/>
      <c r="L3424" s="954">
        <f>SUM(L3412:L3423)</f>
        <v>14950000</v>
      </c>
      <c r="M3424" s="1498"/>
      <c r="N3424" s="954">
        <f>SUM(N3412:N3423)</f>
        <v>864750000</v>
      </c>
      <c r="O3424" s="644"/>
      <c r="P3424" s="969">
        <f>SUM(P3412:P3418)</f>
        <v>500000</v>
      </c>
      <c r="Q3424" s="969"/>
      <c r="R3424" s="969">
        <f>SUM(R3412:R3419)</f>
        <v>0</v>
      </c>
      <c r="S3424" s="48"/>
      <c r="T3424" s="1178">
        <f>SUM(T3412:T3423)</f>
        <v>6300</v>
      </c>
      <c r="U3424" s="48"/>
      <c r="V3424" s="878">
        <f>SUM(V3412:V3423)</f>
        <v>0</v>
      </c>
    </row>
    <row r="3425" spans="7:22">
      <c r="T3425" s="1270"/>
    </row>
    <row r="3426" spans="7:22">
      <c r="T3426" s="1270"/>
    </row>
    <row r="3427" spans="7:22">
      <c r="R3427" s="661"/>
      <c r="T3427" s="1270"/>
    </row>
    <row r="3428" spans="7:22">
      <c r="T3428" s="1270"/>
    </row>
    <row r="3429" spans="7:22">
      <c r="T3429" s="1270"/>
    </row>
    <row r="3430" spans="7:22">
      <c r="I3430" s="946"/>
      <c r="M3430" s="1533" t="s">
        <v>3699</v>
      </c>
      <c r="O3430" s="1535" t="s">
        <v>3741</v>
      </c>
      <c r="P3430" s="1512">
        <f>P3424-R3424</f>
        <v>500000</v>
      </c>
      <c r="S3430" s="906" t="s">
        <v>4049</v>
      </c>
      <c r="T3430" s="1107">
        <f>T3424-V3424</f>
        <v>6300</v>
      </c>
    </row>
    <row r="3431" spans="7:22">
      <c r="G3431" s="1574" t="s">
        <v>3530</v>
      </c>
      <c r="H3431" s="1574"/>
      <c r="I3431" s="1574"/>
      <c r="J3431" s="3">
        <f>J3424+L3424</f>
        <v>308850000</v>
      </c>
      <c r="K3431" s="1009"/>
      <c r="L3431" s="3"/>
      <c r="M3431" s="1533" t="s">
        <v>3664</v>
      </c>
      <c r="N3431" s="1527"/>
      <c r="O3431" s="1535" t="s">
        <v>4066</v>
      </c>
      <c r="P3431" s="1512"/>
      <c r="T3431" s="1270"/>
    </row>
    <row r="3432" spans="7:22">
      <c r="G3432" s="1574" t="s">
        <v>3512</v>
      </c>
      <c r="H3432" s="1574"/>
      <c r="I3432" s="1574"/>
      <c r="J3432" s="3">
        <f>N3424-J3431</f>
        <v>555900000</v>
      </c>
      <c r="K3432" s="1009"/>
      <c r="L3432" s="3"/>
      <c r="M3432" s="1528"/>
      <c r="O3432" s="1529"/>
      <c r="Q3432" s="661"/>
      <c r="T3432" s="1270"/>
    </row>
    <row r="3433" spans="7:22">
      <c r="G3433" s="1574" t="s">
        <v>3531</v>
      </c>
      <c r="H3433" s="1574"/>
      <c r="I3433" s="1574"/>
      <c r="J3433" s="3">
        <f>T3430</f>
        <v>6300</v>
      </c>
      <c r="Q3433" s="3"/>
      <c r="T3433" s="1270"/>
    </row>
    <row r="3434" spans="7:22">
      <c r="G3434" s="1564" t="s">
        <v>4455</v>
      </c>
      <c r="H3434" s="1564"/>
      <c r="I3434" s="1564"/>
      <c r="J3434" s="3">
        <f>+P3430</f>
        <v>500000</v>
      </c>
      <c r="R3434" s="3"/>
      <c r="T3434" s="1270"/>
    </row>
    <row r="3435" spans="7:22">
      <c r="T3435" s="1270"/>
    </row>
    <row r="3438" spans="7:22">
      <c r="T3438" s="1270"/>
    </row>
    <row r="3439" spans="7:22">
      <c r="G3439" s="1008">
        <v>46043</v>
      </c>
      <c r="H3439" s="1169"/>
      <c r="I3439" s="1575" t="s">
        <v>3510</v>
      </c>
      <c r="J3439" s="1576"/>
      <c r="K3439" s="1575" t="s">
        <v>3509</v>
      </c>
      <c r="L3439" s="1576"/>
      <c r="M3439" s="1575" t="s">
        <v>3541</v>
      </c>
      <c r="N3439" s="1576"/>
      <c r="O3439" s="1577" t="s">
        <v>3598</v>
      </c>
      <c r="P3439" s="1578"/>
      <c r="Q3439" s="1579" t="s">
        <v>3599</v>
      </c>
      <c r="R3439" s="1580"/>
      <c r="S3439" s="1583" t="s">
        <v>3953</v>
      </c>
      <c r="T3439" s="1583"/>
      <c r="U3439" s="1583" t="s">
        <v>3954</v>
      </c>
      <c r="V3439" s="1583"/>
    </row>
    <row r="3440" spans="7:22">
      <c r="G3440" s="1097"/>
      <c r="H3440" s="1261"/>
      <c r="I3440" s="1279" t="s">
        <v>4496</v>
      </c>
      <c r="J3440" s="49">
        <v>29700000</v>
      </c>
      <c r="K3440" s="1495" t="s">
        <v>4495</v>
      </c>
      <c r="L3440" s="49">
        <v>500000</v>
      </c>
      <c r="M3440" s="1495" t="s">
        <v>4486</v>
      </c>
      <c r="N3440" s="49">
        <v>154000000</v>
      </c>
      <c r="O3440" s="1383"/>
      <c r="P3440" s="644"/>
      <c r="Q3440" s="1279"/>
      <c r="R3440" s="644"/>
      <c r="S3440" s="1223"/>
      <c r="T3440" s="1191"/>
      <c r="U3440" s="1232"/>
      <c r="V3440" s="48"/>
    </row>
    <row r="3441" spans="7:22">
      <c r="G3441" s="1098"/>
      <c r="H3441" s="1172"/>
      <c r="I3441" s="1278" t="s">
        <v>4499</v>
      </c>
      <c r="J3441" s="49">
        <v>93000000</v>
      </c>
      <c r="K3441" s="1495" t="s">
        <v>4498</v>
      </c>
      <c r="L3441" s="49">
        <v>660000</v>
      </c>
      <c r="M3441" s="1495" t="s">
        <v>4497</v>
      </c>
      <c r="N3441" s="49">
        <v>800000</v>
      </c>
      <c r="O3441" s="1383" t="s">
        <v>4485</v>
      </c>
      <c r="P3441" s="644">
        <v>500000</v>
      </c>
      <c r="Q3441" s="1277"/>
      <c r="R3441" s="644"/>
      <c r="S3441" s="1280" t="s">
        <v>4484</v>
      </c>
      <c r="T3441" s="1191">
        <v>6300</v>
      </c>
      <c r="U3441" s="48"/>
      <c r="V3441" s="49"/>
    </row>
    <row r="3442" spans="7:22">
      <c r="G3442" s="48"/>
      <c r="H3442" s="48"/>
      <c r="I3442" s="1282" t="s">
        <v>4500</v>
      </c>
      <c r="J3442" s="49">
        <v>376000000</v>
      </c>
      <c r="K3442" s="1493" t="s">
        <v>4502</v>
      </c>
      <c r="L3442" s="49">
        <v>4000000</v>
      </c>
      <c r="M3442" s="1493" t="s">
        <v>4486</v>
      </c>
      <c r="N3442" s="49">
        <v>400000000</v>
      </c>
      <c r="O3442" s="1383"/>
      <c r="P3442" s="644"/>
      <c r="Q3442" s="1277"/>
      <c r="R3442" s="644"/>
      <c r="S3442" s="1278"/>
      <c r="T3442" s="1191"/>
      <c r="U3442" s="1078"/>
      <c r="V3442" s="49"/>
    </row>
    <row r="3443" spans="7:22">
      <c r="G3443" s="48"/>
      <c r="H3443" s="48"/>
      <c r="I3443" s="1278" t="s">
        <v>4501</v>
      </c>
      <c r="J3443" s="49">
        <v>30360000</v>
      </c>
      <c r="K3443" s="1495"/>
      <c r="L3443" s="49"/>
      <c r="M3443" s="1493"/>
      <c r="N3443" s="49"/>
      <c r="O3443" s="644"/>
      <c r="P3443" s="644"/>
      <c r="Q3443" s="1277"/>
      <c r="R3443" s="644"/>
      <c r="S3443" s="48"/>
      <c r="T3443" s="1271"/>
      <c r="U3443" s="48"/>
      <c r="V3443" s="49"/>
    </row>
    <row r="3444" spans="7:22">
      <c r="G3444" s="48"/>
      <c r="H3444" s="48"/>
      <c r="I3444" s="1282" t="s">
        <v>4503</v>
      </c>
      <c r="J3444" s="49">
        <v>12000000</v>
      </c>
      <c r="K3444" s="1495"/>
      <c r="L3444" s="49"/>
      <c r="M3444" s="1493"/>
      <c r="N3444" s="49"/>
      <c r="O3444" s="644"/>
      <c r="P3444" s="644"/>
      <c r="Q3444" s="1277"/>
      <c r="R3444" s="644"/>
      <c r="S3444" s="48"/>
      <c r="T3444" s="1271"/>
      <c r="U3444" s="48"/>
      <c r="V3444" s="49"/>
    </row>
    <row r="3445" spans="7:22">
      <c r="G3445" s="48"/>
      <c r="H3445" s="48"/>
      <c r="I3445" s="1282"/>
      <c r="J3445" s="49"/>
      <c r="K3445" s="1495"/>
      <c r="L3445" s="49"/>
      <c r="M3445" s="1495"/>
      <c r="N3445" s="49"/>
      <c r="O3445" s="644"/>
      <c r="P3445" s="644"/>
      <c r="Q3445" s="1277"/>
      <c r="R3445" s="644"/>
      <c r="S3445" s="48"/>
      <c r="T3445" s="1271"/>
      <c r="U3445" s="48"/>
      <c r="V3445" s="49"/>
    </row>
    <row r="3446" spans="7:22">
      <c r="G3446" s="48"/>
      <c r="H3446" s="48"/>
      <c r="I3446" s="1268"/>
      <c r="J3446" s="49"/>
      <c r="K3446" s="1495"/>
      <c r="L3446" s="49"/>
      <c r="M3446" s="1498"/>
      <c r="N3446" s="49"/>
      <c r="O3446" s="644"/>
      <c r="P3446" s="644"/>
      <c r="Q3446" s="1281"/>
      <c r="R3446" s="644"/>
      <c r="S3446" s="48"/>
      <c r="T3446" s="1271"/>
      <c r="U3446" s="48"/>
      <c r="V3446" s="49"/>
    </row>
    <row r="3447" spans="7:22">
      <c r="G3447" s="48"/>
      <c r="H3447" s="48"/>
      <c r="I3447" s="1184"/>
      <c r="J3447" s="49"/>
      <c r="K3447" s="1532"/>
      <c r="L3447" s="49"/>
      <c r="M3447" s="1498"/>
      <c r="N3447" s="49"/>
      <c r="O3447" s="644"/>
      <c r="P3447" s="644"/>
      <c r="Q3447" s="1282"/>
      <c r="R3447" s="644"/>
      <c r="S3447" s="48"/>
      <c r="T3447" s="1271"/>
      <c r="U3447" s="48"/>
      <c r="V3447" s="49"/>
    </row>
    <row r="3448" spans="7:22">
      <c r="G3448" s="48"/>
      <c r="H3448" s="48"/>
      <c r="I3448" s="48"/>
      <c r="J3448" s="49"/>
      <c r="K3448" s="1495"/>
      <c r="L3448" s="49"/>
      <c r="M3448" s="1498"/>
      <c r="N3448" s="49"/>
      <c r="O3448" s="644"/>
      <c r="P3448" s="644"/>
      <c r="Q3448" s="644"/>
      <c r="R3448" s="644"/>
      <c r="S3448" s="48"/>
      <c r="T3448" s="1271"/>
      <c r="U3448" s="48"/>
      <c r="V3448" s="49"/>
    </row>
    <row r="3449" spans="7:22">
      <c r="G3449" s="48"/>
      <c r="H3449" s="48"/>
      <c r="I3449" s="48"/>
      <c r="J3449" s="49"/>
      <c r="K3449" s="1495"/>
      <c r="L3449" s="49"/>
      <c r="M3449" s="1498"/>
      <c r="N3449" s="49"/>
      <c r="O3449" s="644"/>
      <c r="P3449" s="644"/>
      <c r="Q3449" s="644"/>
      <c r="R3449" s="644"/>
      <c r="S3449" s="48"/>
      <c r="T3449" s="1271"/>
      <c r="U3449" s="48"/>
      <c r="V3449" s="49"/>
    </row>
    <row r="3450" spans="7:22">
      <c r="G3450" s="48"/>
      <c r="H3450" s="48"/>
      <c r="I3450" s="48"/>
      <c r="J3450" s="49"/>
      <c r="K3450" s="1498"/>
      <c r="L3450" s="49"/>
      <c r="M3450" s="1498"/>
      <c r="N3450" s="49"/>
      <c r="O3450" s="644"/>
      <c r="P3450" s="644"/>
      <c r="Q3450" s="644"/>
      <c r="R3450" s="644"/>
      <c r="S3450" s="48"/>
      <c r="T3450" s="1271"/>
      <c r="U3450" s="48"/>
      <c r="V3450" s="48"/>
    </row>
    <row r="3451" spans="7:22">
      <c r="G3451" s="48"/>
      <c r="H3451" s="48"/>
      <c r="I3451" s="48"/>
      <c r="J3451" s="49"/>
      <c r="K3451" s="49"/>
      <c r="L3451" s="49"/>
      <c r="M3451" s="1498"/>
      <c r="N3451" s="49"/>
      <c r="O3451" s="644"/>
      <c r="P3451" s="644"/>
      <c r="Q3451" s="644"/>
      <c r="R3451" s="644"/>
      <c r="S3451" s="48"/>
      <c r="T3451" s="1271"/>
      <c r="U3451" s="48"/>
      <c r="V3451" s="48"/>
    </row>
    <row r="3452" spans="7:22">
      <c r="G3452" s="48"/>
      <c r="H3452" s="48"/>
      <c r="I3452" s="48"/>
      <c r="J3452" s="954">
        <f>SUM(J3440:J3448)</f>
        <v>541060000</v>
      </c>
      <c r="K3452" s="954"/>
      <c r="L3452" s="954">
        <f>SUM(L3440:L3451)</f>
        <v>5160000</v>
      </c>
      <c r="M3452" s="1498"/>
      <c r="N3452" s="954">
        <f>SUM(N3440:N3451)</f>
        <v>554800000</v>
      </c>
      <c r="O3452" s="644"/>
      <c r="P3452" s="969">
        <f>SUM(P3440:P3446)</f>
        <v>500000</v>
      </c>
      <c r="Q3452" s="969"/>
      <c r="R3452" s="969">
        <f>SUM(R3440:R3447)</f>
        <v>0</v>
      </c>
      <c r="S3452" s="48"/>
      <c r="T3452" s="1178">
        <f>SUM(T3440:T3451)</f>
        <v>6300</v>
      </c>
      <c r="U3452" s="48"/>
      <c r="V3452" s="878">
        <f>SUM(V3440:V3451)</f>
        <v>0</v>
      </c>
    </row>
    <row r="3453" spans="7:22">
      <c r="T3453" s="1270"/>
    </row>
    <row r="3454" spans="7:22">
      <c r="T3454" s="1270"/>
    </row>
    <row r="3455" spans="7:22">
      <c r="R3455" s="661"/>
      <c r="T3455" s="1270"/>
    </row>
    <row r="3456" spans="7:22">
      <c r="T3456" s="1270"/>
    </row>
    <row r="3457" spans="7:22">
      <c r="T3457" s="1270"/>
    </row>
    <row r="3458" spans="7:22">
      <c r="I3458" s="946"/>
      <c r="M3458" s="1533" t="s">
        <v>3699</v>
      </c>
      <c r="O3458" s="1535" t="s">
        <v>3741</v>
      </c>
      <c r="P3458" s="1512">
        <f>P3452-R3452</f>
        <v>500000</v>
      </c>
      <c r="S3458" s="906" t="s">
        <v>4049</v>
      </c>
      <c r="T3458" s="1107">
        <f>T3452-V3452</f>
        <v>6300</v>
      </c>
    </row>
    <row r="3459" spans="7:22">
      <c r="G3459" s="1574" t="s">
        <v>3530</v>
      </c>
      <c r="H3459" s="1574"/>
      <c r="I3459" s="1574"/>
      <c r="J3459" s="3">
        <f>J3452+L3452</f>
        <v>546220000</v>
      </c>
      <c r="K3459" s="1009"/>
      <c r="L3459" s="3"/>
      <c r="M3459" s="1533" t="s">
        <v>3664</v>
      </c>
      <c r="N3459" s="1527"/>
      <c r="O3459" s="1535" t="s">
        <v>4066</v>
      </c>
      <c r="P3459" s="1512"/>
      <c r="T3459" s="1270"/>
    </row>
    <row r="3460" spans="7:22">
      <c r="G3460" s="1574" t="s">
        <v>3512</v>
      </c>
      <c r="H3460" s="1574"/>
      <c r="I3460" s="1574"/>
      <c r="J3460" s="3">
        <f>N3452-J3459</f>
        <v>8580000</v>
      </c>
      <c r="K3460" s="1009"/>
      <c r="L3460" s="3"/>
      <c r="M3460" s="1528"/>
      <c r="O3460" s="1529"/>
      <c r="Q3460" s="661"/>
      <c r="T3460" s="1270"/>
    </row>
    <row r="3461" spans="7:22">
      <c r="G3461" s="1574" t="s">
        <v>3531</v>
      </c>
      <c r="H3461" s="1574"/>
      <c r="I3461" s="1574"/>
      <c r="J3461" s="3">
        <f>T3458</f>
        <v>6300</v>
      </c>
      <c r="Q3461" s="3"/>
      <c r="T3461" s="1270"/>
    </row>
    <row r="3462" spans="7:22">
      <c r="G3462" s="1564" t="s">
        <v>4455</v>
      </c>
      <c r="H3462" s="1564"/>
      <c r="I3462" s="1564"/>
      <c r="J3462" s="3">
        <f>+P3458</f>
        <v>500000</v>
      </c>
      <c r="R3462" s="3"/>
      <c r="T3462" s="1270"/>
    </row>
    <row r="3463" spans="7:22">
      <c r="T3463" s="1270"/>
    </row>
    <row r="3465" spans="7:22">
      <c r="T3465" s="1270"/>
    </row>
    <row r="3466" spans="7:22">
      <c r="T3466" s="1270"/>
    </row>
    <row r="3467" spans="7:22">
      <c r="G3467" s="1008">
        <v>46044</v>
      </c>
      <c r="H3467" s="1169"/>
      <c r="I3467" s="1575" t="s">
        <v>3510</v>
      </c>
      <c r="J3467" s="1576"/>
      <c r="K3467" s="1575" t="s">
        <v>3509</v>
      </c>
      <c r="L3467" s="1576"/>
      <c r="M3467" s="1575" t="s">
        <v>3541</v>
      </c>
      <c r="N3467" s="1576"/>
      <c r="O3467" s="1577" t="s">
        <v>3598</v>
      </c>
      <c r="P3467" s="1578"/>
      <c r="Q3467" s="1579" t="s">
        <v>3599</v>
      </c>
      <c r="R3467" s="1580"/>
      <c r="S3467" s="1583" t="s">
        <v>3953</v>
      </c>
      <c r="T3467" s="1583"/>
      <c r="U3467" s="1583" t="s">
        <v>3954</v>
      </c>
      <c r="V3467" s="1583"/>
    </row>
    <row r="3468" spans="7:22">
      <c r="G3468" s="1097"/>
      <c r="H3468" s="1261"/>
      <c r="I3468" s="1279" t="s">
        <v>4515</v>
      </c>
      <c r="J3468" s="49">
        <f>33000000*0.93</f>
        <v>30690000</v>
      </c>
      <c r="K3468" s="1495" t="s">
        <v>4504</v>
      </c>
      <c r="L3468" s="49">
        <v>107200000</v>
      </c>
      <c r="M3468" s="1495" t="s">
        <v>4486</v>
      </c>
      <c r="N3468" s="49">
        <v>300000000</v>
      </c>
      <c r="O3468" s="1383"/>
      <c r="P3468" s="644"/>
      <c r="Q3468" s="1279"/>
      <c r="R3468" s="644"/>
      <c r="S3468" s="1223"/>
      <c r="T3468" s="1191"/>
      <c r="U3468" s="1232"/>
      <c r="V3468" s="48"/>
    </row>
    <row r="3469" spans="7:22">
      <c r="G3469" s="1098"/>
      <c r="H3469" s="1172"/>
      <c r="I3469" s="1278" t="s">
        <v>4516</v>
      </c>
      <c r="J3469" s="49">
        <v>93000000</v>
      </c>
      <c r="K3469" s="1495" t="s">
        <v>4478</v>
      </c>
      <c r="L3469" s="49">
        <v>200000</v>
      </c>
      <c r="M3469" s="1495" t="s">
        <v>4486</v>
      </c>
      <c r="N3469" s="49">
        <v>8300000</v>
      </c>
      <c r="O3469" s="1383" t="s">
        <v>4484</v>
      </c>
      <c r="P3469" s="644">
        <v>300000</v>
      </c>
      <c r="Q3469" s="1277"/>
      <c r="R3469" s="644"/>
      <c r="S3469" s="1280" t="s">
        <v>4505</v>
      </c>
      <c r="T3469" s="1191">
        <v>6300</v>
      </c>
      <c r="U3469" s="48"/>
      <c r="V3469" s="49"/>
    </row>
    <row r="3470" spans="7:22">
      <c r="G3470" s="48"/>
      <c r="H3470" s="48"/>
      <c r="I3470" s="1282"/>
      <c r="J3470" s="49"/>
      <c r="K3470" s="1493" t="s">
        <v>4507</v>
      </c>
      <c r="L3470" s="49">
        <v>10000000</v>
      </c>
      <c r="M3470" s="1493" t="s">
        <v>4512</v>
      </c>
      <c r="N3470" s="49">
        <v>2800000</v>
      </c>
      <c r="O3470" s="1383" t="s">
        <v>4508</v>
      </c>
      <c r="P3470" s="644">
        <v>10000000</v>
      </c>
      <c r="Q3470" s="1277"/>
      <c r="R3470" s="644"/>
      <c r="S3470" s="1278" t="s">
        <v>4506</v>
      </c>
      <c r="T3470" s="1191">
        <v>8900</v>
      </c>
      <c r="U3470" s="1078"/>
      <c r="V3470" s="49"/>
    </row>
    <row r="3471" spans="7:22">
      <c r="G3471" s="48"/>
      <c r="H3471" s="48"/>
      <c r="I3471" s="1278"/>
      <c r="J3471" s="49"/>
      <c r="K3471" s="1495" t="s">
        <v>4511</v>
      </c>
      <c r="L3471" s="49">
        <v>10880000</v>
      </c>
      <c r="M3471" s="1493" t="s">
        <v>4514</v>
      </c>
      <c r="N3471" s="49">
        <v>1800000</v>
      </c>
      <c r="O3471" s="1383" t="s">
        <v>4517</v>
      </c>
      <c r="P3471" s="644">
        <v>9000000</v>
      </c>
      <c r="Q3471" s="1277" t="s">
        <v>4509</v>
      </c>
      <c r="R3471" s="644">
        <v>7500000</v>
      </c>
      <c r="S3471" s="48" t="s">
        <v>4512</v>
      </c>
      <c r="T3471" s="1271">
        <v>1600</v>
      </c>
      <c r="U3471" s="48"/>
      <c r="V3471" s="49"/>
    </row>
    <row r="3472" spans="7:22">
      <c r="G3472" s="48"/>
      <c r="H3472" s="48"/>
      <c r="I3472" s="1282"/>
      <c r="J3472" s="49"/>
      <c r="K3472" s="1495" t="s">
        <v>4513</v>
      </c>
      <c r="L3472" s="49">
        <v>2000000</v>
      </c>
      <c r="M3472" s="1493"/>
      <c r="N3472" s="49"/>
      <c r="O3472" s="644"/>
      <c r="P3472" s="644"/>
      <c r="Q3472" s="1277" t="s">
        <v>4510</v>
      </c>
      <c r="R3472" s="644">
        <v>1100000</v>
      </c>
      <c r="S3472" s="48"/>
      <c r="T3472" s="1271"/>
      <c r="U3472" s="48"/>
      <c r="V3472" s="49"/>
    </row>
    <row r="3473" spans="7:22">
      <c r="G3473" s="48"/>
      <c r="H3473" s="48"/>
      <c r="I3473" s="1282"/>
      <c r="J3473" s="49"/>
      <c r="K3473" s="1495"/>
      <c r="L3473" s="49"/>
      <c r="M3473" s="1495"/>
      <c r="N3473" s="49"/>
      <c r="O3473" s="644"/>
      <c r="P3473" s="644"/>
      <c r="Q3473" s="1277"/>
      <c r="R3473" s="644"/>
      <c r="S3473" s="48"/>
      <c r="T3473" s="1271"/>
      <c r="U3473" s="48"/>
      <c r="V3473" s="49"/>
    </row>
    <row r="3474" spans="7:22">
      <c r="G3474" s="48"/>
      <c r="H3474" s="48"/>
      <c r="I3474" s="1268"/>
      <c r="J3474" s="49"/>
      <c r="K3474" s="1495"/>
      <c r="L3474" s="49"/>
      <c r="M3474" s="1498"/>
      <c r="N3474" s="49"/>
      <c r="O3474" s="644"/>
      <c r="P3474" s="644"/>
      <c r="Q3474" s="1281"/>
      <c r="R3474" s="644"/>
      <c r="S3474" s="48"/>
      <c r="T3474" s="1271"/>
      <c r="U3474" s="48"/>
      <c r="V3474" s="49"/>
    </row>
    <row r="3475" spans="7:22">
      <c r="G3475" s="48"/>
      <c r="H3475" s="48"/>
      <c r="I3475" s="1184"/>
      <c r="J3475" s="49"/>
      <c r="K3475" s="1532"/>
      <c r="L3475" s="49"/>
      <c r="M3475" s="1498"/>
      <c r="N3475" s="49"/>
      <c r="O3475" s="644"/>
      <c r="P3475" s="644"/>
      <c r="Q3475" s="1282"/>
      <c r="R3475" s="644"/>
      <c r="S3475" s="48"/>
      <c r="T3475" s="1271"/>
      <c r="U3475" s="48"/>
      <c r="V3475" s="49"/>
    </row>
    <row r="3476" spans="7:22">
      <c r="G3476" s="48"/>
      <c r="H3476" s="48"/>
      <c r="I3476" s="48"/>
      <c r="J3476" s="49"/>
      <c r="K3476" s="1495"/>
      <c r="L3476" s="49"/>
      <c r="M3476" s="1498"/>
      <c r="N3476" s="49"/>
      <c r="O3476" s="644"/>
      <c r="P3476" s="644"/>
      <c r="Q3476" s="644"/>
      <c r="R3476" s="644"/>
      <c r="S3476" s="48"/>
      <c r="T3476" s="1271"/>
      <c r="U3476" s="48"/>
      <c r="V3476" s="49"/>
    </row>
    <row r="3477" spans="7:22">
      <c r="G3477" s="48"/>
      <c r="H3477" s="48"/>
      <c r="I3477" s="48"/>
      <c r="J3477" s="49"/>
      <c r="K3477" s="1495"/>
      <c r="L3477" s="49"/>
      <c r="M3477" s="1498"/>
      <c r="N3477" s="49"/>
      <c r="O3477" s="644"/>
      <c r="P3477" s="644"/>
      <c r="Q3477" s="644"/>
      <c r="R3477" s="644"/>
      <c r="S3477" s="48"/>
      <c r="T3477" s="1271"/>
      <c r="U3477" s="48"/>
      <c r="V3477" s="49"/>
    </row>
    <row r="3478" spans="7:22">
      <c r="G3478" s="48"/>
      <c r="H3478" s="48"/>
      <c r="I3478" s="48"/>
      <c r="J3478" s="49"/>
      <c r="K3478" s="1498"/>
      <c r="L3478" s="49"/>
      <c r="M3478" s="1498"/>
      <c r="N3478" s="49"/>
      <c r="O3478" s="644"/>
      <c r="P3478" s="644"/>
      <c r="Q3478" s="644"/>
      <c r="R3478" s="644"/>
      <c r="S3478" s="48"/>
      <c r="T3478" s="1271"/>
      <c r="U3478" s="48"/>
      <c r="V3478" s="48"/>
    </row>
    <row r="3479" spans="7:22">
      <c r="G3479" s="48"/>
      <c r="H3479" s="48"/>
      <c r="I3479" s="48"/>
      <c r="J3479" s="49"/>
      <c r="K3479" s="49"/>
      <c r="L3479" s="49"/>
      <c r="M3479" s="1498"/>
      <c r="N3479" s="49"/>
      <c r="O3479" s="644"/>
      <c r="P3479" s="644"/>
      <c r="Q3479" s="644"/>
      <c r="R3479" s="644"/>
      <c r="S3479" s="48"/>
      <c r="T3479" s="1271"/>
      <c r="U3479" s="48"/>
      <c r="V3479" s="48"/>
    </row>
    <row r="3480" spans="7:22">
      <c r="G3480" s="48"/>
      <c r="H3480" s="48"/>
      <c r="I3480" s="48"/>
      <c r="J3480" s="954">
        <f>SUM(J3468:J3476)</f>
        <v>123690000</v>
      </c>
      <c r="K3480" s="954"/>
      <c r="L3480" s="954">
        <f>SUM(L3468:L3479)</f>
        <v>130280000</v>
      </c>
      <c r="M3480" s="1498"/>
      <c r="N3480" s="954">
        <f>SUM(N3468:N3479)</f>
        <v>312900000</v>
      </c>
      <c r="O3480" s="644"/>
      <c r="P3480" s="969">
        <f>SUM(P3468:P3474)</f>
        <v>19300000</v>
      </c>
      <c r="Q3480" s="969"/>
      <c r="R3480" s="969">
        <f>SUM(R3468:R3475)</f>
        <v>8600000</v>
      </c>
      <c r="S3480" s="48"/>
      <c r="T3480" s="1178">
        <f>SUM(T3468:T3479)</f>
        <v>16800</v>
      </c>
      <c r="U3480" s="48"/>
      <c r="V3480" s="878">
        <f>SUM(V3468:V3479)</f>
        <v>0</v>
      </c>
    </row>
    <row r="3481" spans="7:22">
      <c r="T3481" s="1270"/>
    </row>
    <row r="3482" spans="7:22">
      <c r="T3482" s="1270"/>
    </row>
    <row r="3483" spans="7:22">
      <c r="R3483" s="661"/>
      <c r="T3483" s="1270"/>
    </row>
    <row r="3484" spans="7:22">
      <c r="T3484" s="1270"/>
    </row>
    <row r="3485" spans="7:22">
      <c r="T3485" s="1270"/>
    </row>
    <row r="3486" spans="7:22">
      <c r="I3486" s="946"/>
      <c r="M3486" s="1533" t="s">
        <v>3699</v>
      </c>
      <c r="O3486" s="1535" t="s">
        <v>3741</v>
      </c>
      <c r="P3486" s="1512">
        <f>P3480-R3480</f>
        <v>10700000</v>
      </c>
      <c r="S3486" s="906" t="s">
        <v>4049</v>
      </c>
      <c r="T3486" s="1107">
        <f>T3480-V3480</f>
        <v>16800</v>
      </c>
    </row>
    <row r="3487" spans="7:22">
      <c r="G3487" s="1574" t="s">
        <v>3530</v>
      </c>
      <c r="H3487" s="1574"/>
      <c r="I3487" s="1574"/>
      <c r="J3487" s="3">
        <f>J3480+L3480</f>
        <v>253970000</v>
      </c>
      <c r="K3487" s="1009"/>
      <c r="L3487" s="3"/>
      <c r="M3487" s="1533" t="s">
        <v>3664</v>
      </c>
      <c r="N3487" s="1527"/>
      <c r="O3487" s="1535" t="s">
        <v>4066</v>
      </c>
      <c r="P3487" s="1512"/>
      <c r="T3487" s="1270"/>
    </row>
    <row r="3488" spans="7:22">
      <c r="G3488" s="1574" t="s">
        <v>3512</v>
      </c>
      <c r="H3488" s="1574"/>
      <c r="I3488" s="1574"/>
      <c r="J3488" s="3">
        <f>N3480-J3487</f>
        <v>58930000</v>
      </c>
      <c r="K3488" s="1009"/>
      <c r="L3488" s="3"/>
      <c r="M3488" s="1528"/>
      <c r="O3488" s="1529"/>
      <c r="Q3488" s="661"/>
      <c r="T3488" s="1270"/>
    </row>
    <row r="3489" spans="7:22">
      <c r="G3489" s="1574" t="s">
        <v>3531</v>
      </c>
      <c r="H3489" s="1574"/>
      <c r="I3489" s="1574"/>
      <c r="J3489" s="3">
        <f>T3486</f>
        <v>16800</v>
      </c>
      <c r="Q3489" s="3"/>
      <c r="T3489" s="1270"/>
    </row>
    <row r="3490" spans="7:22">
      <c r="G3490" s="1564" t="s">
        <v>4455</v>
      </c>
      <c r="H3490" s="1564"/>
      <c r="I3490" s="1564"/>
      <c r="J3490" s="3">
        <f>+P3486</f>
        <v>10700000</v>
      </c>
      <c r="R3490" s="3"/>
      <c r="T3490" s="1270"/>
    </row>
    <row r="3491" spans="7:22">
      <c r="T3491" s="1270"/>
    </row>
    <row r="3492" spans="7:22">
      <c r="T3492" s="1270"/>
    </row>
    <row r="3494" spans="7:22">
      <c r="T3494" s="1270"/>
    </row>
    <row r="3495" spans="7:22">
      <c r="T3495" s="1270"/>
    </row>
    <row r="3496" spans="7:22">
      <c r="G3496" s="1008">
        <v>46045</v>
      </c>
      <c r="H3496" s="1169"/>
      <c r="I3496" s="1575" t="s">
        <v>3510</v>
      </c>
      <c r="J3496" s="1576"/>
      <c r="K3496" s="1575" t="s">
        <v>3509</v>
      </c>
      <c r="L3496" s="1576"/>
      <c r="M3496" s="1575" t="s">
        <v>3541</v>
      </c>
      <c r="N3496" s="1576"/>
      <c r="O3496" s="1577" t="s">
        <v>3598</v>
      </c>
      <c r="P3496" s="1578"/>
      <c r="Q3496" s="1579" t="s">
        <v>3599</v>
      </c>
      <c r="R3496" s="1580"/>
      <c r="S3496" s="1583" t="s">
        <v>3953</v>
      </c>
      <c r="T3496" s="1583"/>
      <c r="U3496" s="1583" t="s">
        <v>3954</v>
      </c>
      <c r="V3496" s="1583"/>
    </row>
    <row r="3497" spans="7:22">
      <c r="G3497" s="1097"/>
      <c r="H3497" s="1261"/>
      <c r="I3497" s="1279" t="s">
        <v>4520</v>
      </c>
      <c r="J3497" s="49">
        <f>23000000*0.91</f>
        <v>20930000</v>
      </c>
      <c r="K3497" s="1495" t="s">
        <v>4519</v>
      </c>
      <c r="L3497" s="49">
        <v>850000</v>
      </c>
      <c r="M3497" s="1495" t="s">
        <v>4486</v>
      </c>
      <c r="N3497" s="49">
        <v>58000000</v>
      </c>
      <c r="O3497" s="1383"/>
      <c r="P3497" s="644"/>
      <c r="Q3497" s="1279"/>
      <c r="R3497" s="644"/>
      <c r="S3497" s="1223"/>
      <c r="T3497" s="1191"/>
      <c r="U3497" s="1232"/>
      <c r="V3497" s="48"/>
    </row>
    <row r="3498" spans="7:22">
      <c r="G3498" s="1098"/>
      <c r="H3498" s="1172"/>
      <c r="I3498" s="1278" t="s">
        <v>4521</v>
      </c>
      <c r="J3498" s="49">
        <v>20930000</v>
      </c>
      <c r="K3498" s="1495"/>
      <c r="L3498" s="49"/>
      <c r="M3498" s="1495" t="s">
        <v>4518</v>
      </c>
      <c r="N3498" s="49">
        <v>6000000</v>
      </c>
      <c r="O3498" s="1383" t="s">
        <v>4484</v>
      </c>
      <c r="P3498" s="644">
        <v>10700000</v>
      </c>
      <c r="Q3498" s="1277"/>
      <c r="R3498" s="644"/>
      <c r="S3498" s="1280" t="s">
        <v>4505</v>
      </c>
      <c r="T3498" s="1191">
        <v>16800</v>
      </c>
      <c r="U3498" s="48"/>
      <c r="V3498" s="49"/>
    </row>
    <row r="3499" spans="7:22">
      <c r="G3499" s="48"/>
      <c r="H3499" s="48"/>
      <c r="I3499" s="1282" t="s">
        <v>4522</v>
      </c>
      <c r="J3499" s="49">
        <v>30030000</v>
      </c>
      <c r="K3499" s="1493"/>
      <c r="L3499" s="49"/>
      <c r="M3499" s="1493" t="s">
        <v>4528</v>
      </c>
      <c r="N3499" s="49">
        <v>888620000</v>
      </c>
      <c r="O3499" s="1383"/>
      <c r="P3499" s="644"/>
      <c r="Q3499" s="1277" t="s">
        <v>4527</v>
      </c>
      <c r="R3499" s="644">
        <v>4000000</v>
      </c>
      <c r="S3499" s="1278"/>
      <c r="T3499" s="1191"/>
      <c r="U3499" s="1279" t="s">
        <v>4529</v>
      </c>
      <c r="V3499" s="49">
        <v>10000</v>
      </c>
    </row>
    <row r="3500" spans="7:22">
      <c r="G3500" s="48"/>
      <c r="H3500" s="48"/>
      <c r="I3500" s="1278" t="s">
        <v>4523</v>
      </c>
      <c r="J3500" s="49">
        <v>30030000</v>
      </c>
      <c r="K3500" s="1495"/>
      <c r="L3500" s="49"/>
      <c r="M3500" s="1493"/>
      <c r="N3500" s="49"/>
      <c r="O3500" s="1383"/>
      <c r="P3500" s="644"/>
      <c r="Q3500" s="1277"/>
      <c r="R3500" s="644"/>
      <c r="S3500" s="48"/>
      <c r="T3500" s="1271"/>
      <c r="U3500" s="48"/>
      <c r="V3500" s="49"/>
    </row>
    <row r="3501" spans="7:22">
      <c r="G3501" s="48"/>
      <c r="H3501" s="48"/>
      <c r="I3501" s="1282" t="s">
        <v>4524</v>
      </c>
      <c r="J3501" s="49">
        <v>30030000</v>
      </c>
      <c r="K3501" s="1495"/>
      <c r="L3501" s="49"/>
      <c r="M3501" s="1493"/>
      <c r="N3501" s="49"/>
      <c r="O3501" s="644"/>
      <c r="P3501" s="644"/>
      <c r="Q3501" s="1277"/>
      <c r="R3501" s="644"/>
      <c r="S3501" s="48"/>
      <c r="T3501" s="1271"/>
      <c r="U3501" s="48"/>
      <c r="V3501" s="49"/>
    </row>
    <row r="3502" spans="7:22">
      <c r="G3502" s="48"/>
      <c r="H3502" s="48"/>
      <c r="I3502" s="1282" t="s">
        <v>4525</v>
      </c>
      <c r="J3502" s="49">
        <v>30030000</v>
      </c>
      <c r="K3502" s="1495"/>
      <c r="L3502" s="49"/>
      <c r="M3502" s="1495"/>
      <c r="N3502" s="49"/>
      <c r="O3502" s="644"/>
      <c r="P3502" s="644"/>
      <c r="Q3502" s="1277"/>
      <c r="R3502" s="644"/>
      <c r="S3502" s="48"/>
      <c r="T3502" s="1271"/>
      <c r="U3502" s="48"/>
      <c r="V3502" s="49"/>
    </row>
    <row r="3503" spans="7:22">
      <c r="G3503" s="48"/>
      <c r="H3503" s="48"/>
      <c r="I3503" s="1282" t="s">
        <v>4526</v>
      </c>
      <c r="J3503" s="49">
        <v>30030000</v>
      </c>
      <c r="K3503" s="1495"/>
      <c r="L3503" s="49"/>
      <c r="M3503" s="1498"/>
      <c r="N3503" s="49"/>
      <c r="O3503" s="644"/>
      <c r="P3503" s="644"/>
      <c r="Q3503" s="1281"/>
      <c r="R3503" s="644"/>
      <c r="S3503" s="48"/>
      <c r="T3503" s="1271"/>
      <c r="U3503" s="48"/>
      <c r="V3503" s="49"/>
    </row>
    <row r="3504" spans="7:22">
      <c r="G3504" s="48"/>
      <c r="H3504" s="48"/>
      <c r="I3504" s="1184"/>
      <c r="J3504" s="49"/>
      <c r="K3504" s="1532"/>
      <c r="L3504" s="49"/>
      <c r="M3504" s="1498"/>
      <c r="N3504" s="49"/>
      <c r="O3504" s="644"/>
      <c r="P3504" s="644"/>
      <c r="Q3504" s="1282"/>
      <c r="R3504" s="644"/>
      <c r="S3504" s="48"/>
      <c r="T3504" s="1271"/>
      <c r="U3504" s="48"/>
      <c r="V3504" s="49"/>
    </row>
    <row r="3505" spans="7:22">
      <c r="G3505" s="48"/>
      <c r="H3505" s="48"/>
      <c r="I3505" s="48"/>
      <c r="J3505" s="49"/>
      <c r="K3505" s="1495"/>
      <c r="L3505" s="49"/>
      <c r="M3505" s="1498"/>
      <c r="N3505" s="49"/>
      <c r="O3505" s="644"/>
      <c r="P3505" s="644"/>
      <c r="Q3505" s="644"/>
      <c r="R3505" s="644"/>
      <c r="S3505" s="48"/>
      <c r="T3505" s="1271"/>
      <c r="U3505" s="48"/>
      <c r="V3505" s="49"/>
    </row>
    <row r="3506" spans="7:22">
      <c r="G3506" s="48"/>
      <c r="H3506" s="48"/>
      <c r="I3506" s="48"/>
      <c r="J3506" s="49"/>
      <c r="K3506" s="1495"/>
      <c r="L3506" s="49"/>
      <c r="M3506" s="1498"/>
      <c r="N3506" s="49"/>
      <c r="O3506" s="644"/>
      <c r="P3506" s="644"/>
      <c r="Q3506" s="644"/>
      <c r="R3506" s="644"/>
      <c r="S3506" s="48"/>
      <c r="T3506" s="1271"/>
      <c r="U3506" s="48"/>
      <c r="V3506" s="49"/>
    </row>
    <row r="3507" spans="7:22">
      <c r="G3507" s="48"/>
      <c r="H3507" s="48"/>
      <c r="I3507" s="48"/>
      <c r="J3507" s="49"/>
      <c r="K3507" s="1498"/>
      <c r="L3507" s="49"/>
      <c r="M3507" s="1498"/>
      <c r="N3507" s="49"/>
      <c r="O3507" s="644"/>
      <c r="P3507" s="644"/>
      <c r="Q3507" s="644"/>
      <c r="R3507" s="644"/>
      <c r="S3507" s="48"/>
      <c r="T3507" s="1271"/>
      <c r="U3507" s="48"/>
      <c r="V3507" s="48"/>
    </row>
    <row r="3508" spans="7:22">
      <c r="G3508" s="48"/>
      <c r="H3508" s="48"/>
      <c r="I3508" s="48"/>
      <c r="J3508" s="49"/>
      <c r="K3508" s="49"/>
      <c r="L3508" s="49"/>
      <c r="M3508" s="1498"/>
      <c r="N3508" s="49"/>
      <c r="O3508" s="644"/>
      <c r="P3508" s="644"/>
      <c r="Q3508" s="644"/>
      <c r="R3508" s="644"/>
      <c r="S3508" s="48"/>
      <c r="T3508" s="1271"/>
      <c r="U3508" s="48"/>
      <c r="V3508" s="48"/>
    </row>
    <row r="3509" spans="7:22">
      <c r="G3509" s="48"/>
      <c r="H3509" s="48"/>
      <c r="I3509" s="48"/>
      <c r="J3509" s="954">
        <f>SUM(J3497:J3505)</f>
        <v>192010000</v>
      </c>
      <c r="K3509" s="954"/>
      <c r="L3509" s="954">
        <f>SUM(L3497:L3508)</f>
        <v>850000</v>
      </c>
      <c r="M3509" s="1498"/>
      <c r="N3509" s="954">
        <f>SUM(N3497:N3508)</f>
        <v>952620000</v>
      </c>
      <c r="O3509" s="644"/>
      <c r="P3509" s="969">
        <f>SUM(P3497:P3503)</f>
        <v>10700000</v>
      </c>
      <c r="Q3509" s="969"/>
      <c r="R3509" s="969">
        <f>SUM(R3497:R3504)</f>
        <v>4000000</v>
      </c>
      <c r="S3509" s="48"/>
      <c r="T3509" s="1178">
        <f>SUM(T3497:T3508)</f>
        <v>16800</v>
      </c>
      <c r="U3509" s="48"/>
      <c r="V3509" s="878">
        <f>SUM(V3497:V3508)</f>
        <v>10000</v>
      </c>
    </row>
    <row r="3510" spans="7:22">
      <c r="T3510" s="1270"/>
    </row>
    <row r="3511" spans="7:22">
      <c r="T3511" s="1270"/>
    </row>
    <row r="3512" spans="7:22">
      <c r="R3512" s="661"/>
      <c r="T3512" s="1270"/>
    </row>
    <row r="3513" spans="7:22">
      <c r="T3513" s="1270"/>
    </row>
    <row r="3514" spans="7:22">
      <c r="T3514" s="1270"/>
    </row>
    <row r="3515" spans="7:22">
      <c r="I3515" s="946"/>
      <c r="M3515" s="1533" t="s">
        <v>3699</v>
      </c>
      <c r="O3515" s="1535" t="s">
        <v>3741</v>
      </c>
      <c r="P3515" s="1512">
        <f>P3509-R3509</f>
        <v>6700000</v>
      </c>
      <c r="S3515" s="906" t="s">
        <v>4049</v>
      </c>
      <c r="T3515" s="1107">
        <f>T3509-V3509</f>
        <v>6800</v>
      </c>
    </row>
    <row r="3516" spans="7:22">
      <c r="G3516" s="1574" t="s">
        <v>3530</v>
      </c>
      <c r="H3516" s="1574"/>
      <c r="I3516" s="1574"/>
      <c r="J3516" s="3">
        <f>J3509+L3509</f>
        <v>192860000</v>
      </c>
      <c r="K3516" s="1009"/>
      <c r="L3516" s="3"/>
      <c r="M3516" s="1533" t="s">
        <v>3664</v>
      </c>
      <c r="N3516" s="1527"/>
      <c r="O3516" s="1535" t="s">
        <v>4066</v>
      </c>
      <c r="P3516" s="1512"/>
      <c r="T3516" s="1270"/>
    </row>
    <row r="3517" spans="7:22">
      <c r="G3517" s="1574" t="s">
        <v>3512</v>
      </c>
      <c r="H3517" s="1574"/>
      <c r="I3517" s="1574"/>
      <c r="J3517" s="3">
        <f>N3509-J3516</f>
        <v>759760000</v>
      </c>
      <c r="K3517" s="1009"/>
      <c r="L3517" s="3"/>
      <c r="M3517" s="1528"/>
      <c r="O3517" s="1529"/>
      <c r="Q3517" s="661"/>
      <c r="T3517" s="1270"/>
    </row>
    <row r="3518" spans="7:22">
      <c r="G3518" s="1574" t="s">
        <v>3531</v>
      </c>
      <c r="H3518" s="1574"/>
      <c r="I3518" s="1574"/>
      <c r="J3518" s="3">
        <f>T3515</f>
        <v>6800</v>
      </c>
      <c r="Q3518" s="3"/>
      <c r="T3518" s="1270"/>
    </row>
    <row r="3519" spans="7:22">
      <c r="G3519" s="1564" t="s">
        <v>4455</v>
      </c>
      <c r="H3519" s="1564"/>
      <c r="I3519" s="1564"/>
      <c r="J3519" s="3">
        <f>+P3515</f>
        <v>6700000</v>
      </c>
      <c r="R3519" s="3"/>
      <c r="T3519" s="1270"/>
    </row>
    <row r="3520" spans="7:22">
      <c r="T3520" s="1270"/>
    </row>
    <row r="3521" spans="7:22">
      <c r="T3521" s="1270"/>
    </row>
    <row r="3524" spans="7:22">
      <c r="T3524" s="1270"/>
    </row>
    <row r="3525" spans="7:22">
      <c r="T3525" s="1270"/>
    </row>
    <row r="3526" spans="7:22">
      <c r="T3526" s="1270"/>
    </row>
    <row r="3527" spans="7:22">
      <c r="G3527" s="1008">
        <v>46046</v>
      </c>
      <c r="H3527" s="1169"/>
      <c r="I3527" s="1575" t="s">
        <v>3510</v>
      </c>
      <c r="J3527" s="1576"/>
      <c r="K3527" s="1575" t="s">
        <v>3509</v>
      </c>
      <c r="L3527" s="1576"/>
      <c r="M3527" s="1575" t="s">
        <v>3541</v>
      </c>
      <c r="N3527" s="1576"/>
      <c r="O3527" s="1577" t="s">
        <v>3598</v>
      </c>
      <c r="P3527" s="1578"/>
      <c r="Q3527" s="1579" t="s">
        <v>3599</v>
      </c>
      <c r="R3527" s="1580"/>
      <c r="S3527" s="1583" t="s">
        <v>3953</v>
      </c>
      <c r="T3527" s="1583"/>
      <c r="U3527" s="1583" t="s">
        <v>3954</v>
      </c>
      <c r="V3527" s="1583"/>
    </row>
    <row r="3528" spans="7:22">
      <c r="G3528" s="1097"/>
      <c r="H3528" s="1261"/>
      <c r="I3528" s="1279" t="s">
        <v>4534</v>
      </c>
      <c r="J3528" s="49">
        <v>93000000</v>
      </c>
      <c r="K3528" s="1495" t="s">
        <v>4535</v>
      </c>
      <c r="L3528" s="49">
        <v>400000</v>
      </c>
      <c r="M3528" s="1495" t="s">
        <v>4486</v>
      </c>
      <c r="N3528" s="49">
        <v>104000000</v>
      </c>
      <c r="O3528" s="1383"/>
      <c r="P3528" s="644"/>
      <c r="Q3528" s="1279"/>
      <c r="R3528" s="644"/>
      <c r="S3528" s="1223"/>
      <c r="T3528" s="1191"/>
      <c r="U3528" s="1232"/>
      <c r="V3528" s="48"/>
    </row>
    <row r="3529" spans="7:22">
      <c r="G3529" s="1098"/>
      <c r="H3529" s="1172"/>
      <c r="I3529" s="1278"/>
      <c r="J3529" s="49"/>
      <c r="K3529" s="1495" t="s">
        <v>4536</v>
      </c>
      <c r="L3529" s="49">
        <v>200000</v>
      </c>
      <c r="M3529" s="1495" t="s">
        <v>4530</v>
      </c>
      <c r="N3529" s="49">
        <v>100000</v>
      </c>
      <c r="O3529" s="1383" t="s">
        <v>4484</v>
      </c>
      <c r="P3529" s="644">
        <v>5700000</v>
      </c>
      <c r="Q3529" s="1277"/>
      <c r="R3529" s="644"/>
      <c r="S3529" s="1280" t="s">
        <v>4505</v>
      </c>
      <c r="T3529" s="1191">
        <v>6800</v>
      </c>
      <c r="U3529" s="48"/>
      <c r="V3529" s="49"/>
    </row>
    <row r="3530" spans="7:22">
      <c r="G3530" s="48"/>
      <c r="H3530" s="48"/>
      <c r="I3530" s="1282"/>
      <c r="J3530" s="49"/>
      <c r="K3530" s="1493" t="s">
        <v>4542</v>
      </c>
      <c r="L3530" s="49">
        <v>700000</v>
      </c>
      <c r="M3530" s="1493" t="s">
        <v>4533</v>
      </c>
      <c r="N3530" s="49">
        <v>14500000</v>
      </c>
      <c r="O3530" s="1383"/>
      <c r="P3530" s="644"/>
      <c r="Q3530" s="1277" t="s">
        <v>4537</v>
      </c>
      <c r="R3530" s="644">
        <v>1250000</v>
      </c>
      <c r="S3530" s="1278" t="s">
        <v>4531</v>
      </c>
      <c r="T3530" s="1191">
        <v>100</v>
      </c>
      <c r="U3530" s="1279"/>
      <c r="V3530" s="49"/>
    </row>
    <row r="3531" spans="7:22">
      <c r="G3531" s="48"/>
      <c r="H3531" s="48"/>
      <c r="I3531" s="1278"/>
      <c r="J3531" s="49"/>
      <c r="K3531" s="1495" t="s">
        <v>4543</v>
      </c>
      <c r="L3531" s="49">
        <v>12000000</v>
      </c>
      <c r="M3531" s="1493" t="s">
        <v>4538</v>
      </c>
      <c r="N3531" s="49">
        <v>1250000</v>
      </c>
      <c r="O3531" s="1383"/>
      <c r="P3531" s="644"/>
      <c r="Q3531" s="1277" t="s">
        <v>4539</v>
      </c>
      <c r="R3531" s="644">
        <v>400000</v>
      </c>
      <c r="S3531" s="1282" t="s">
        <v>4544</v>
      </c>
      <c r="T3531" s="1271">
        <v>1000</v>
      </c>
      <c r="U3531" s="48"/>
      <c r="V3531" s="49"/>
    </row>
    <row r="3532" spans="7:22">
      <c r="G3532" s="48"/>
      <c r="H3532" s="48"/>
      <c r="I3532" s="1282"/>
      <c r="J3532" s="49"/>
      <c r="K3532" s="1495" t="s">
        <v>4474</v>
      </c>
      <c r="L3532" s="1495">
        <v>500000</v>
      </c>
      <c r="M3532" s="1493"/>
      <c r="N3532" s="49"/>
      <c r="O3532" s="644"/>
      <c r="P3532" s="644"/>
      <c r="Q3532" s="1277" t="s">
        <v>4540</v>
      </c>
      <c r="R3532" s="644">
        <v>100000</v>
      </c>
      <c r="S3532" s="48"/>
      <c r="T3532" s="1271"/>
      <c r="U3532" s="48"/>
      <c r="V3532" s="49"/>
    </row>
    <row r="3533" spans="7:22">
      <c r="G3533" s="48"/>
      <c r="H3533" s="48"/>
      <c r="I3533" s="1282"/>
      <c r="J3533" s="49"/>
      <c r="K3533" s="1495"/>
      <c r="L3533" s="49"/>
      <c r="M3533" s="1495"/>
      <c r="N3533" s="49"/>
      <c r="O3533" s="644"/>
      <c r="P3533" s="644"/>
      <c r="Q3533" s="1277" t="s">
        <v>4541</v>
      </c>
      <c r="R3533" s="644">
        <v>100000</v>
      </c>
      <c r="S3533" s="48"/>
      <c r="T3533" s="1271"/>
      <c r="U3533" s="48"/>
      <c r="V3533" s="49"/>
    </row>
    <row r="3534" spans="7:22">
      <c r="G3534" s="48"/>
      <c r="H3534" s="48"/>
      <c r="I3534" s="1282"/>
      <c r="J3534" s="49"/>
      <c r="K3534" s="1495"/>
      <c r="L3534" s="49"/>
      <c r="M3534" s="1498"/>
      <c r="N3534" s="49"/>
      <c r="O3534" s="644"/>
      <c r="P3534" s="644"/>
      <c r="Q3534" s="1281"/>
      <c r="R3534" s="644"/>
      <c r="S3534" s="48"/>
      <c r="T3534" s="1271"/>
      <c r="U3534" s="48"/>
      <c r="V3534" s="49"/>
    </row>
    <row r="3535" spans="7:22">
      <c r="G3535" s="48"/>
      <c r="H3535" s="48"/>
      <c r="I3535" s="1184"/>
      <c r="J3535" s="49"/>
      <c r="K3535" s="1532"/>
      <c r="L3535" s="49"/>
      <c r="M3535" s="1498"/>
      <c r="N3535" s="49"/>
      <c r="O3535" s="644"/>
      <c r="P3535" s="644"/>
      <c r="Q3535" s="1283"/>
      <c r="R3535" s="644"/>
      <c r="S3535" s="48"/>
      <c r="T3535" s="1271"/>
      <c r="U3535" s="48"/>
      <c r="V3535" s="49"/>
    </row>
    <row r="3536" spans="7:22">
      <c r="G3536" s="48"/>
      <c r="H3536" s="48"/>
      <c r="I3536" s="48"/>
      <c r="J3536" s="49"/>
      <c r="K3536" s="1495"/>
      <c r="L3536" s="49"/>
      <c r="M3536" s="1498"/>
      <c r="N3536" s="49"/>
      <c r="O3536" s="644"/>
      <c r="P3536" s="644"/>
      <c r="Q3536" s="644"/>
      <c r="R3536" s="644"/>
      <c r="S3536" s="48"/>
      <c r="T3536" s="1271"/>
      <c r="U3536" s="48"/>
      <c r="V3536" s="49"/>
    </row>
    <row r="3537" spans="7:22">
      <c r="G3537" s="48"/>
      <c r="H3537" s="48"/>
      <c r="I3537" s="48"/>
      <c r="J3537" s="49"/>
      <c r="K3537" s="1495"/>
      <c r="L3537" s="49"/>
      <c r="M3537" s="1498"/>
      <c r="N3537" s="49"/>
      <c r="O3537" s="644"/>
      <c r="P3537" s="644"/>
      <c r="Q3537" s="644"/>
      <c r="R3537" s="644"/>
      <c r="S3537" s="48"/>
      <c r="T3537" s="1271"/>
      <c r="U3537" s="48"/>
      <c r="V3537" s="49"/>
    </row>
    <row r="3538" spans="7:22">
      <c r="G3538" s="48"/>
      <c r="H3538" s="48"/>
      <c r="I3538" s="48"/>
      <c r="J3538" s="49"/>
      <c r="K3538" s="1498"/>
      <c r="L3538" s="49"/>
      <c r="M3538" s="1498"/>
      <c r="N3538" s="49"/>
      <c r="O3538" s="644"/>
      <c r="P3538" s="644"/>
      <c r="Q3538" s="644"/>
      <c r="R3538" s="644"/>
      <c r="S3538" s="48"/>
      <c r="T3538" s="1271"/>
      <c r="U3538" s="48"/>
      <c r="V3538" s="48"/>
    </row>
    <row r="3539" spans="7:22">
      <c r="G3539" s="48"/>
      <c r="H3539" s="48"/>
      <c r="I3539" s="48"/>
      <c r="J3539" s="49"/>
      <c r="K3539" s="49"/>
      <c r="L3539" s="49"/>
      <c r="M3539" s="1498"/>
      <c r="N3539" s="49"/>
      <c r="O3539" s="644"/>
      <c r="P3539" s="644"/>
      <c r="Q3539" s="644"/>
      <c r="R3539" s="644"/>
      <c r="S3539" s="48"/>
      <c r="T3539" s="1271"/>
      <c r="U3539" s="48"/>
      <c r="V3539" s="48"/>
    </row>
    <row r="3540" spans="7:22">
      <c r="G3540" s="48"/>
      <c r="H3540" s="48"/>
      <c r="I3540" s="48"/>
      <c r="J3540" s="954">
        <f>SUM(J3528:J3536)</f>
        <v>93000000</v>
      </c>
      <c r="K3540" s="954"/>
      <c r="L3540" s="954">
        <f>SUM(L3528:L3539)</f>
        <v>13800000</v>
      </c>
      <c r="M3540" s="1498"/>
      <c r="N3540" s="954">
        <f>SUM(N3528:N3539)</f>
        <v>119850000</v>
      </c>
      <c r="O3540" s="644"/>
      <c r="P3540" s="969">
        <f>SUM(P3528:P3534)</f>
        <v>5700000</v>
      </c>
      <c r="Q3540" s="969"/>
      <c r="R3540" s="969">
        <f>SUM(R3528:R3535)</f>
        <v>1850000</v>
      </c>
      <c r="S3540" s="48"/>
      <c r="T3540" s="1178">
        <f>SUM(T3528:T3539)</f>
        <v>7900</v>
      </c>
      <c r="U3540" s="48"/>
      <c r="V3540" s="878">
        <f>SUM(V3528:V3539)</f>
        <v>0</v>
      </c>
    </row>
    <row r="3541" spans="7:22">
      <c r="T3541" s="1270"/>
    </row>
    <row r="3542" spans="7:22">
      <c r="T3542" s="1270"/>
    </row>
    <row r="3543" spans="7:22">
      <c r="R3543" s="661"/>
      <c r="T3543" s="1270"/>
    </row>
    <row r="3544" spans="7:22">
      <c r="T3544" s="1270"/>
    </row>
    <row r="3545" spans="7:22">
      <c r="T3545" s="1270"/>
    </row>
    <row r="3546" spans="7:22">
      <c r="I3546" s="946"/>
      <c r="M3546" s="1533" t="s">
        <v>3699</v>
      </c>
      <c r="O3546" s="1535" t="s">
        <v>3741</v>
      </c>
      <c r="P3546" s="1512">
        <f>P3540-R3540</f>
        <v>3850000</v>
      </c>
      <c r="S3546" s="906" t="s">
        <v>4049</v>
      </c>
      <c r="T3546" s="1107">
        <f>T3540-V3540</f>
        <v>7900</v>
      </c>
    </row>
    <row r="3547" spans="7:22">
      <c r="G3547" s="1574" t="s">
        <v>3530</v>
      </c>
      <c r="H3547" s="1574"/>
      <c r="I3547" s="1574"/>
      <c r="J3547" s="3">
        <f>J3540+L3540</f>
        <v>106800000</v>
      </c>
      <c r="K3547" s="1009"/>
      <c r="L3547" s="3"/>
      <c r="M3547" s="1533" t="s">
        <v>3664</v>
      </c>
      <c r="N3547" s="1527"/>
      <c r="O3547" s="1535" t="s">
        <v>4066</v>
      </c>
      <c r="P3547" s="1512"/>
      <c r="T3547" s="1270"/>
    </row>
    <row r="3548" spans="7:22">
      <c r="G3548" s="1574" t="s">
        <v>3512</v>
      </c>
      <c r="H3548" s="1574"/>
      <c r="I3548" s="1574"/>
      <c r="J3548" s="3">
        <f>N3540-J3547</f>
        <v>13050000</v>
      </c>
      <c r="K3548" s="1009"/>
      <c r="L3548" s="3"/>
      <c r="M3548" s="1528"/>
      <c r="O3548" s="1529"/>
      <c r="Q3548" s="661"/>
      <c r="T3548" s="1270"/>
    </row>
    <row r="3549" spans="7:22">
      <c r="G3549" s="1574" t="s">
        <v>3531</v>
      </c>
      <c r="H3549" s="1574"/>
      <c r="I3549" s="1574"/>
      <c r="J3549" s="3">
        <f>T3546</f>
        <v>7900</v>
      </c>
      <c r="Q3549" s="3"/>
      <c r="T3549" s="1270"/>
    </row>
    <row r="3550" spans="7:22">
      <c r="G3550" s="1564" t="s">
        <v>4455</v>
      </c>
      <c r="H3550" s="1564"/>
      <c r="I3550" s="1564"/>
      <c r="J3550" s="3">
        <f>+P3546</f>
        <v>3850000</v>
      </c>
      <c r="R3550" s="3"/>
      <c r="T3550" s="1270"/>
    </row>
    <row r="3551" spans="7:22">
      <c r="T3551" s="1270"/>
    </row>
    <row r="3552" spans="7:22">
      <c r="T3552" s="1270"/>
    </row>
    <row r="3555" spans="7:22">
      <c r="T3555" s="1270"/>
    </row>
    <row r="3556" spans="7:22">
      <c r="T3556" s="1270"/>
    </row>
    <row r="3557" spans="7:22">
      <c r="G3557" s="1008">
        <v>46048</v>
      </c>
      <c r="H3557" s="1169"/>
      <c r="I3557" s="1575" t="s">
        <v>3510</v>
      </c>
      <c r="J3557" s="1576"/>
      <c r="K3557" s="1575" t="s">
        <v>3509</v>
      </c>
      <c r="L3557" s="1576"/>
      <c r="M3557" s="1575" t="s">
        <v>3541</v>
      </c>
      <c r="N3557" s="1576"/>
      <c r="O3557" s="1577" t="s">
        <v>3598</v>
      </c>
      <c r="P3557" s="1578"/>
      <c r="Q3557" s="1579" t="s">
        <v>3599</v>
      </c>
      <c r="R3557" s="1580"/>
      <c r="S3557" s="1583" t="s">
        <v>3953</v>
      </c>
      <c r="T3557" s="1583"/>
      <c r="U3557" s="1583" t="s">
        <v>3954</v>
      </c>
      <c r="V3557" s="1583"/>
    </row>
    <row r="3558" spans="7:22">
      <c r="G3558" s="1097"/>
      <c r="H3558" s="1261"/>
      <c r="I3558" s="1286" t="s">
        <v>4546</v>
      </c>
      <c r="J3558" s="49">
        <v>92000000</v>
      </c>
      <c r="K3558" s="1495" t="s">
        <v>4478</v>
      </c>
      <c r="L3558" s="49">
        <v>300000</v>
      </c>
      <c r="M3558" s="1495" t="s">
        <v>4486</v>
      </c>
      <c r="N3558" s="49">
        <v>212000000</v>
      </c>
      <c r="O3558" s="1383"/>
      <c r="P3558" s="644"/>
      <c r="Q3558" s="1279"/>
      <c r="R3558" s="644"/>
      <c r="S3558" s="1223"/>
      <c r="T3558" s="1191"/>
      <c r="U3558" s="1232"/>
      <c r="V3558" s="48"/>
    </row>
    <row r="3559" spans="7:22">
      <c r="G3559" s="1098"/>
      <c r="H3559" s="1172"/>
      <c r="I3559" s="1287" t="s">
        <v>3058</v>
      </c>
      <c r="J3559" s="49">
        <v>80000000</v>
      </c>
      <c r="K3559" s="1495" t="s">
        <v>4547</v>
      </c>
      <c r="L3559" s="49">
        <v>100000</v>
      </c>
      <c r="M3559" s="1495" t="s">
        <v>4486</v>
      </c>
      <c r="N3559" s="49">
        <v>12000000</v>
      </c>
      <c r="O3559" s="1383" t="s">
        <v>4484</v>
      </c>
      <c r="P3559" s="644">
        <v>2400000</v>
      </c>
      <c r="Q3559" s="1277"/>
      <c r="R3559" s="644"/>
      <c r="S3559" s="1280" t="s">
        <v>4505</v>
      </c>
      <c r="T3559" s="1191">
        <v>6900</v>
      </c>
      <c r="U3559" s="48"/>
      <c r="V3559" s="49"/>
    </row>
    <row r="3560" spans="7:22">
      <c r="G3560" s="48"/>
      <c r="H3560" s="48"/>
      <c r="I3560" s="1289" t="s">
        <v>4552</v>
      </c>
      <c r="J3560" s="49">
        <v>20000000</v>
      </c>
      <c r="K3560" s="1493" t="s">
        <v>4548</v>
      </c>
      <c r="L3560" s="49">
        <v>400000</v>
      </c>
      <c r="M3560" s="1493" t="s">
        <v>4553</v>
      </c>
      <c r="N3560" s="49">
        <v>10000000</v>
      </c>
      <c r="O3560" s="1383"/>
      <c r="P3560" s="644">
        <v>1200000</v>
      </c>
      <c r="Q3560" s="1277" t="s">
        <v>4545</v>
      </c>
      <c r="R3560" s="644">
        <v>1800000</v>
      </c>
      <c r="S3560" s="1287"/>
      <c r="T3560" s="1191"/>
      <c r="U3560" s="1287" t="s">
        <v>4550</v>
      </c>
      <c r="V3560" s="1191">
        <v>6700</v>
      </c>
    </row>
    <row r="3561" spans="7:22">
      <c r="G3561" s="48"/>
      <c r="H3561" s="48"/>
      <c r="I3561" s="1278"/>
      <c r="J3561" s="49"/>
      <c r="K3561" s="1495" t="s">
        <v>4549</v>
      </c>
      <c r="L3561" s="49">
        <v>11000000</v>
      </c>
      <c r="M3561" s="1493"/>
      <c r="N3561" s="49"/>
      <c r="O3561" s="1383"/>
      <c r="P3561" s="644"/>
      <c r="Q3561" s="1277" t="s">
        <v>4471</v>
      </c>
      <c r="R3561" s="644">
        <v>500000</v>
      </c>
      <c r="S3561" s="1289"/>
      <c r="T3561" s="1271"/>
      <c r="U3561" s="1289" t="s">
        <v>4551</v>
      </c>
      <c r="V3561" s="1276">
        <v>100</v>
      </c>
    </row>
    <row r="3562" spans="7:22">
      <c r="G3562" s="48"/>
      <c r="H3562" s="48"/>
      <c r="I3562" s="1282"/>
      <c r="J3562" s="49"/>
      <c r="K3562" s="1495" t="s">
        <v>4554</v>
      </c>
      <c r="L3562" s="1495">
        <v>500000</v>
      </c>
      <c r="M3562" s="1493"/>
      <c r="N3562" s="49"/>
      <c r="O3562" s="644"/>
      <c r="P3562" s="644"/>
      <c r="Q3562" s="1288" t="s">
        <v>4439</v>
      </c>
      <c r="R3562" s="644">
        <v>1200000</v>
      </c>
      <c r="S3562" s="48"/>
      <c r="T3562" s="1271"/>
      <c r="U3562" s="48"/>
      <c r="V3562" s="49"/>
    </row>
    <row r="3563" spans="7:22">
      <c r="G3563" s="48"/>
      <c r="H3563" s="48"/>
      <c r="I3563" s="1282"/>
      <c r="J3563" s="49"/>
      <c r="K3563" s="1495" t="s">
        <v>4474</v>
      </c>
      <c r="L3563" s="49">
        <v>500000</v>
      </c>
      <c r="M3563" s="1495"/>
      <c r="N3563" s="49"/>
      <c r="O3563" s="644"/>
      <c r="P3563" s="644"/>
      <c r="Q3563" s="1277"/>
      <c r="R3563" s="644"/>
      <c r="S3563" s="48"/>
      <c r="T3563" s="1271"/>
      <c r="U3563" s="48"/>
      <c r="V3563" s="49"/>
    </row>
    <row r="3564" spans="7:22">
      <c r="G3564" s="48"/>
      <c r="H3564" s="48"/>
      <c r="I3564" s="1282"/>
      <c r="J3564" s="49"/>
      <c r="K3564" s="1495" t="s">
        <v>3537</v>
      </c>
      <c r="L3564" s="49">
        <v>200000</v>
      </c>
      <c r="M3564" s="1498"/>
      <c r="N3564" s="49"/>
      <c r="O3564" s="644"/>
      <c r="P3564" s="644"/>
      <c r="Q3564" s="1281"/>
      <c r="R3564" s="644"/>
      <c r="S3564" s="48"/>
      <c r="T3564" s="1271"/>
      <c r="U3564" s="48"/>
      <c r="V3564" s="49"/>
    </row>
    <row r="3565" spans="7:22">
      <c r="G3565" s="48"/>
      <c r="H3565" s="48"/>
      <c r="I3565" s="1184"/>
      <c r="J3565" s="49"/>
      <c r="K3565" s="1532" t="s">
        <v>4412</v>
      </c>
      <c r="L3565" s="49">
        <v>200000</v>
      </c>
      <c r="M3565" s="1498"/>
      <c r="N3565" s="49"/>
      <c r="O3565" s="644"/>
      <c r="P3565" s="644"/>
      <c r="Q3565" s="1283"/>
      <c r="R3565" s="644"/>
      <c r="S3565" s="48"/>
      <c r="T3565" s="1271"/>
      <c r="U3565" s="48"/>
      <c r="V3565" s="49"/>
    </row>
    <row r="3566" spans="7:22">
      <c r="G3566" s="48"/>
      <c r="H3566" s="48"/>
      <c r="I3566" s="48"/>
      <c r="J3566" s="49"/>
      <c r="K3566" s="1495" t="s">
        <v>4555</v>
      </c>
      <c r="L3566" s="49">
        <v>2000000</v>
      </c>
      <c r="M3566" s="1498"/>
      <c r="N3566" s="49"/>
      <c r="O3566" s="644"/>
      <c r="P3566" s="644"/>
      <c r="Q3566" s="644"/>
      <c r="R3566" s="644"/>
      <c r="S3566" s="48"/>
      <c r="T3566" s="1271"/>
      <c r="U3566" s="48"/>
      <c r="V3566" s="49"/>
    </row>
    <row r="3567" spans="7:22">
      <c r="G3567" s="48"/>
      <c r="H3567" s="48"/>
      <c r="I3567" s="48"/>
      <c r="J3567" s="49"/>
      <c r="K3567" s="1495" t="s">
        <v>4494</v>
      </c>
      <c r="L3567" s="49">
        <v>1000000</v>
      </c>
      <c r="M3567" s="1498"/>
      <c r="N3567" s="49"/>
      <c r="O3567" s="644"/>
      <c r="P3567" s="644"/>
      <c r="Q3567" s="644"/>
      <c r="R3567" s="644"/>
      <c r="S3567" s="48"/>
      <c r="T3567" s="1271"/>
      <c r="U3567" s="48"/>
      <c r="V3567" s="49"/>
    </row>
    <row r="3568" spans="7:22">
      <c r="G3568" s="48"/>
      <c r="H3568" s="48"/>
      <c r="I3568" s="48"/>
      <c r="J3568" s="49"/>
      <c r="K3568" s="1498"/>
      <c r="L3568" s="49"/>
      <c r="M3568" s="1498"/>
      <c r="N3568" s="49"/>
      <c r="O3568" s="644"/>
      <c r="P3568" s="644"/>
      <c r="Q3568" s="644"/>
      <c r="R3568" s="644"/>
      <c r="S3568" s="48"/>
      <c r="T3568" s="1271"/>
      <c r="U3568" s="48"/>
      <c r="V3568" s="48"/>
    </row>
    <row r="3569" spans="7:22">
      <c r="G3569" s="48"/>
      <c r="H3569" s="48"/>
      <c r="I3569" s="48"/>
      <c r="J3569" s="49"/>
      <c r="K3569" s="49"/>
      <c r="L3569" s="49"/>
      <c r="M3569" s="1498"/>
      <c r="N3569" s="49"/>
      <c r="O3569" s="644"/>
      <c r="P3569" s="644"/>
      <c r="Q3569" s="644"/>
      <c r="R3569" s="644"/>
      <c r="S3569" s="48"/>
      <c r="T3569" s="1271"/>
      <c r="U3569" s="48"/>
      <c r="V3569" s="48"/>
    </row>
    <row r="3570" spans="7:22">
      <c r="G3570" s="48"/>
      <c r="H3570" s="48"/>
      <c r="I3570" s="48"/>
      <c r="J3570" s="954">
        <f>SUM(J3558:J3566)</f>
        <v>192000000</v>
      </c>
      <c r="K3570" s="954"/>
      <c r="L3570" s="954">
        <f>SUM(L3558:L3569)</f>
        <v>16200000</v>
      </c>
      <c r="M3570" s="1498"/>
      <c r="N3570" s="954">
        <f>SUM(N3558:N3569)</f>
        <v>234000000</v>
      </c>
      <c r="O3570" s="644"/>
      <c r="P3570" s="969">
        <f>SUM(P3558:P3564)</f>
        <v>3600000</v>
      </c>
      <c r="Q3570" s="969"/>
      <c r="R3570" s="969">
        <f>SUM(R3558:R3565)</f>
        <v>3500000</v>
      </c>
      <c r="S3570" s="48"/>
      <c r="T3570" s="1178">
        <f>SUM(T3558:T3569)</f>
        <v>6900</v>
      </c>
      <c r="U3570" s="48"/>
      <c r="V3570" s="878">
        <f>SUM(V3558:V3569)</f>
        <v>6800</v>
      </c>
    </row>
    <row r="3571" spans="7:22">
      <c r="T3571" s="1270"/>
    </row>
    <row r="3572" spans="7:22">
      <c r="T3572" s="1270"/>
    </row>
    <row r="3573" spans="7:22">
      <c r="R3573" s="661"/>
      <c r="T3573" s="1270"/>
    </row>
    <row r="3574" spans="7:22">
      <c r="T3574" s="1270"/>
    </row>
    <row r="3575" spans="7:22">
      <c r="T3575" s="1270"/>
    </row>
    <row r="3576" spans="7:22">
      <c r="I3576" s="946"/>
      <c r="M3576" s="1533" t="s">
        <v>3699</v>
      </c>
      <c r="O3576" s="1535" t="s">
        <v>3741</v>
      </c>
      <c r="P3576" s="1512">
        <f>P3570-R3570</f>
        <v>100000</v>
      </c>
      <c r="S3576" s="906" t="s">
        <v>4049</v>
      </c>
      <c r="T3576" s="1107">
        <f>T3570-V3570</f>
        <v>100</v>
      </c>
    </row>
    <row r="3577" spans="7:22">
      <c r="G3577" s="1574" t="s">
        <v>3530</v>
      </c>
      <c r="H3577" s="1574"/>
      <c r="I3577" s="1574"/>
      <c r="J3577" s="3">
        <f>J3570+L3570</f>
        <v>208200000</v>
      </c>
      <c r="K3577" s="1009"/>
      <c r="L3577" s="3"/>
      <c r="M3577" s="1533" t="s">
        <v>3664</v>
      </c>
      <c r="N3577" s="1527"/>
      <c r="O3577" s="1535" t="s">
        <v>4066</v>
      </c>
      <c r="P3577" s="1512"/>
      <c r="T3577" s="1270"/>
    </row>
    <row r="3578" spans="7:22">
      <c r="G3578" s="1574" t="s">
        <v>3512</v>
      </c>
      <c r="H3578" s="1574"/>
      <c r="I3578" s="1574"/>
      <c r="J3578" s="3">
        <f>N3570-J3577</f>
        <v>25800000</v>
      </c>
      <c r="K3578" s="1009"/>
      <c r="L3578" s="3"/>
      <c r="M3578" s="1528"/>
      <c r="O3578" s="1529"/>
      <c r="Q3578" s="661"/>
      <c r="T3578" s="1270"/>
    </row>
    <row r="3579" spans="7:22">
      <c r="G3579" s="1574" t="s">
        <v>3531</v>
      </c>
      <c r="H3579" s="1574"/>
      <c r="I3579" s="1574"/>
      <c r="J3579" s="3">
        <f>T3576</f>
        <v>100</v>
      </c>
      <c r="Q3579" s="3"/>
      <c r="T3579" s="1270"/>
    </row>
    <row r="3580" spans="7:22">
      <c r="G3580" s="1564" t="s">
        <v>4455</v>
      </c>
      <c r="H3580" s="1564"/>
      <c r="I3580" s="1564"/>
      <c r="J3580" s="3">
        <f>+P3576</f>
        <v>100000</v>
      </c>
      <c r="R3580" s="3"/>
      <c r="T3580" s="1270"/>
    </row>
    <row r="3581" spans="7:22">
      <c r="T3581" s="1270"/>
    </row>
    <row r="3582" spans="7:22">
      <c r="T3582" s="1270"/>
    </row>
    <row r="3585" spans="7:22">
      <c r="T3585" s="1275"/>
    </row>
    <row r="3586" spans="7:22">
      <c r="T3586" s="1275"/>
    </row>
    <row r="3587" spans="7:22">
      <c r="G3587" s="1008">
        <v>46049</v>
      </c>
      <c r="H3587" s="1169"/>
      <c r="I3587" s="1575" t="s">
        <v>3510</v>
      </c>
      <c r="J3587" s="1576"/>
      <c r="K3587" s="1575" t="s">
        <v>3509</v>
      </c>
      <c r="L3587" s="1576"/>
      <c r="M3587" s="1575" t="s">
        <v>3541</v>
      </c>
      <c r="N3587" s="1576"/>
      <c r="O3587" s="1577" t="s">
        <v>3598</v>
      </c>
      <c r="P3587" s="1578"/>
      <c r="Q3587" s="1579" t="s">
        <v>3599</v>
      </c>
      <c r="R3587" s="1580"/>
      <c r="S3587" s="1583" t="s">
        <v>3953</v>
      </c>
      <c r="T3587" s="1583"/>
      <c r="U3587" s="1583" t="s">
        <v>3954</v>
      </c>
      <c r="V3587" s="1583"/>
    </row>
    <row r="3588" spans="7:22">
      <c r="G3588" s="1097"/>
      <c r="H3588" s="1261"/>
      <c r="I3588" s="1286" t="s">
        <v>4559</v>
      </c>
      <c r="J3588" s="49">
        <v>30700000</v>
      </c>
      <c r="K3588" s="1495" t="s">
        <v>4556</v>
      </c>
      <c r="L3588" s="49">
        <f>3000000+230000</f>
        <v>3230000</v>
      </c>
      <c r="M3588" s="1495" t="s">
        <v>4486</v>
      </c>
      <c r="N3588" s="49">
        <v>179500000</v>
      </c>
      <c r="O3588" s="1383"/>
      <c r="P3588" s="644"/>
      <c r="Q3588" s="1279"/>
      <c r="R3588" s="644"/>
      <c r="S3588" s="1223"/>
      <c r="T3588" s="1191"/>
      <c r="U3588" s="1232"/>
      <c r="V3588" s="48"/>
    </row>
    <row r="3589" spans="7:22">
      <c r="G3589" s="1098"/>
      <c r="H3589" s="1172"/>
      <c r="I3589" s="1287" t="s">
        <v>4561</v>
      </c>
      <c r="J3589" s="49">
        <v>30030000</v>
      </c>
      <c r="K3589" s="1495" t="s">
        <v>4560</v>
      </c>
      <c r="L3589" s="49">
        <v>6500000</v>
      </c>
      <c r="M3589" s="1495" t="s">
        <v>4557</v>
      </c>
      <c r="N3589" s="49">
        <v>77500000</v>
      </c>
      <c r="O3589" s="1383" t="s">
        <v>4484</v>
      </c>
      <c r="P3589" s="644">
        <v>100000</v>
      </c>
      <c r="Q3589" s="1290" t="s">
        <v>4463</v>
      </c>
      <c r="R3589" s="1290">
        <v>500000</v>
      </c>
      <c r="S3589" s="1280" t="s">
        <v>4505</v>
      </c>
      <c r="T3589" s="1191">
        <v>600</v>
      </c>
      <c r="U3589" s="48"/>
      <c r="V3589" s="49"/>
    </row>
    <row r="3590" spans="7:22">
      <c r="G3590" s="48"/>
      <c r="H3590" s="48"/>
      <c r="I3590" s="1289" t="s">
        <v>4562</v>
      </c>
      <c r="J3590" s="49">
        <v>24200000</v>
      </c>
      <c r="K3590" s="1493" t="s">
        <v>4564</v>
      </c>
      <c r="L3590" s="49">
        <v>2000000</v>
      </c>
      <c r="M3590" s="1493" t="s">
        <v>4558</v>
      </c>
      <c r="N3590" s="49">
        <v>2000000</v>
      </c>
      <c r="O3590" s="1383"/>
      <c r="P3590" s="644">
        <v>7000000</v>
      </c>
      <c r="Q3590" s="1277"/>
      <c r="R3590" s="644">
        <v>565000</v>
      </c>
      <c r="S3590" s="1287"/>
      <c r="T3590" s="1191"/>
      <c r="U3590" s="1287"/>
      <c r="V3590" s="1191"/>
    </row>
    <row r="3591" spans="7:22">
      <c r="G3591" s="48"/>
      <c r="H3591" s="48"/>
      <c r="I3591" s="1287" t="s">
        <v>4568</v>
      </c>
      <c r="J3591" s="49">
        <v>400000000</v>
      </c>
      <c r="K3591" s="1495" t="s">
        <v>4565</v>
      </c>
      <c r="L3591" s="49">
        <v>1000000</v>
      </c>
      <c r="M3591" s="1493" t="s">
        <v>4563</v>
      </c>
      <c r="N3591" s="49">
        <v>1300000</v>
      </c>
      <c r="O3591" s="1383"/>
      <c r="P3591" s="644">
        <v>1200000</v>
      </c>
      <c r="Q3591" s="1277"/>
      <c r="R3591" s="644">
        <v>600000</v>
      </c>
      <c r="S3591" s="1289"/>
      <c r="T3591" s="1276"/>
      <c r="U3591" s="1289"/>
      <c r="V3591" s="1276"/>
    </row>
    <row r="3592" spans="7:22">
      <c r="G3592" s="48"/>
      <c r="H3592" s="48"/>
      <c r="I3592" s="1282"/>
      <c r="J3592" s="49"/>
      <c r="K3592" s="1495" t="s">
        <v>4566</v>
      </c>
      <c r="L3592" s="1495">
        <v>2400000</v>
      </c>
      <c r="M3592" s="1493" t="s">
        <v>4567</v>
      </c>
      <c r="N3592" s="49">
        <v>1350000</v>
      </c>
      <c r="O3592" s="644"/>
      <c r="P3592" s="644"/>
      <c r="Q3592" s="1288"/>
      <c r="R3592" s="644">
        <v>437000</v>
      </c>
      <c r="S3592" s="48"/>
      <c r="T3592" s="1276"/>
      <c r="U3592" s="48"/>
      <c r="V3592" s="49"/>
    </row>
    <row r="3593" spans="7:22">
      <c r="G3593" s="48"/>
      <c r="H3593" s="48"/>
      <c r="I3593" s="1282"/>
      <c r="J3593" s="49"/>
      <c r="K3593" s="1495"/>
      <c r="L3593" s="49"/>
      <c r="M3593" s="1495" t="s">
        <v>4486</v>
      </c>
      <c r="N3593" s="49">
        <v>300000000</v>
      </c>
      <c r="O3593" s="644"/>
      <c r="P3593" s="644"/>
      <c r="Q3593" s="1277"/>
      <c r="R3593" s="644">
        <v>303000</v>
      </c>
      <c r="S3593" s="48"/>
      <c r="T3593" s="1276"/>
      <c r="U3593" s="48"/>
      <c r="V3593" s="49"/>
    </row>
    <row r="3594" spans="7:22">
      <c r="G3594" s="48"/>
      <c r="H3594" s="48"/>
      <c r="I3594" s="1282"/>
      <c r="J3594" s="49"/>
      <c r="K3594" s="1495"/>
      <c r="L3594" s="49"/>
      <c r="M3594" s="1498"/>
      <c r="N3594" s="49"/>
      <c r="O3594" s="644"/>
      <c r="P3594" s="644"/>
      <c r="Q3594" s="1281"/>
      <c r="R3594" s="644">
        <v>1355000</v>
      </c>
      <c r="S3594" s="48"/>
      <c r="T3594" s="1276"/>
      <c r="U3594" s="48"/>
      <c r="V3594" s="49"/>
    </row>
    <row r="3595" spans="7:22">
      <c r="G3595" s="48"/>
      <c r="H3595" s="48"/>
      <c r="I3595" s="1184"/>
      <c r="J3595" s="49"/>
      <c r="K3595" s="1532"/>
      <c r="L3595" s="49"/>
      <c r="M3595" s="1498"/>
      <c r="N3595" s="49"/>
      <c r="O3595" s="644"/>
      <c r="P3595" s="644"/>
      <c r="Q3595" s="1283"/>
      <c r="R3595" s="644">
        <v>954000</v>
      </c>
      <c r="S3595" s="48"/>
      <c r="T3595" s="1276"/>
      <c r="U3595" s="48"/>
      <c r="V3595" s="49"/>
    </row>
    <row r="3596" spans="7:22">
      <c r="G3596" s="48"/>
      <c r="H3596" s="48"/>
      <c r="I3596" s="48"/>
      <c r="J3596" s="49"/>
      <c r="K3596" s="1495"/>
      <c r="L3596" s="49"/>
      <c r="M3596" s="1498"/>
      <c r="N3596" s="49"/>
      <c r="O3596" s="644"/>
      <c r="P3596" s="644"/>
      <c r="Q3596" s="644"/>
      <c r="R3596" s="644">
        <v>180000</v>
      </c>
      <c r="S3596" s="48"/>
      <c r="T3596" s="1276"/>
      <c r="U3596" s="48"/>
      <c r="V3596" s="49"/>
    </row>
    <row r="3597" spans="7:22">
      <c r="G3597" s="48"/>
      <c r="H3597" s="48"/>
      <c r="I3597" s="48"/>
      <c r="J3597" s="49"/>
      <c r="K3597" s="1495"/>
      <c r="L3597" s="49"/>
      <c r="M3597" s="1498"/>
      <c r="N3597" s="49"/>
      <c r="O3597" s="644"/>
      <c r="P3597" s="644"/>
      <c r="Q3597" s="644"/>
      <c r="R3597" s="644">
        <v>404000</v>
      </c>
      <c r="S3597" s="48"/>
      <c r="T3597" s="1276"/>
      <c r="U3597" s="48"/>
      <c r="V3597" s="49"/>
    </row>
    <row r="3598" spans="7:22">
      <c r="G3598" s="48"/>
      <c r="H3598" s="48"/>
      <c r="I3598" s="48"/>
      <c r="J3598" s="49"/>
      <c r="K3598" s="1498"/>
      <c r="L3598" s="49"/>
      <c r="M3598" s="1498"/>
      <c r="N3598" s="49"/>
      <c r="O3598" s="644"/>
      <c r="P3598" s="644"/>
      <c r="Q3598" s="644"/>
      <c r="R3598" s="644"/>
      <c r="S3598" s="48"/>
      <c r="T3598" s="1276"/>
      <c r="U3598" s="48"/>
      <c r="V3598" s="48"/>
    </row>
    <row r="3599" spans="7:22">
      <c r="G3599" s="48"/>
      <c r="H3599" s="48"/>
      <c r="I3599" s="48"/>
      <c r="J3599" s="49"/>
      <c r="K3599" s="49"/>
      <c r="L3599" s="49"/>
      <c r="M3599" s="1498"/>
      <c r="N3599" s="49"/>
      <c r="O3599" s="644"/>
      <c r="P3599" s="644"/>
      <c r="Q3599" s="644"/>
      <c r="R3599" s="644"/>
      <c r="S3599" s="48"/>
      <c r="T3599" s="1276"/>
      <c r="U3599" s="48"/>
      <c r="V3599" s="48"/>
    </row>
    <row r="3600" spans="7:22">
      <c r="G3600" s="48"/>
      <c r="H3600" s="48"/>
      <c r="I3600" s="48"/>
      <c r="J3600" s="954">
        <f>SUM(J3588:J3596)</f>
        <v>484930000</v>
      </c>
      <c r="K3600" s="954"/>
      <c r="L3600" s="954">
        <f>SUM(L3588:L3599)</f>
        <v>15130000</v>
      </c>
      <c r="M3600" s="1498"/>
      <c r="N3600" s="954">
        <f>SUM(N3588:N3599)</f>
        <v>561650000</v>
      </c>
      <c r="O3600" s="644"/>
      <c r="P3600" s="969">
        <f>SUM(P3588:P3594)</f>
        <v>8300000</v>
      </c>
      <c r="Q3600" s="969"/>
      <c r="R3600" s="969">
        <f>SUM(R3588:R3597)</f>
        <v>5298000</v>
      </c>
      <c r="S3600" s="48"/>
      <c r="T3600" s="1178">
        <f>SUM(T3588:T3599)</f>
        <v>600</v>
      </c>
      <c r="U3600" s="48"/>
      <c r="V3600" s="878">
        <f>SUM(V3588:V3599)</f>
        <v>0</v>
      </c>
    </row>
    <row r="3601" spans="7:22">
      <c r="T3601" s="1275"/>
    </row>
    <row r="3602" spans="7:22">
      <c r="T3602" s="1275"/>
    </row>
    <row r="3603" spans="7:22">
      <c r="R3603" s="661"/>
      <c r="T3603" s="1275"/>
    </row>
    <row r="3604" spans="7:22">
      <c r="T3604" s="1275"/>
    </row>
    <row r="3605" spans="7:22">
      <c r="T3605" s="1275"/>
    </row>
    <row r="3606" spans="7:22">
      <c r="I3606" s="946"/>
      <c r="M3606" s="1533" t="s">
        <v>3699</v>
      </c>
      <c r="O3606" s="1535" t="s">
        <v>3741</v>
      </c>
      <c r="P3606" s="1512">
        <f>P3600-R3600</f>
        <v>3002000</v>
      </c>
      <c r="S3606" s="906" t="s">
        <v>4049</v>
      </c>
      <c r="T3606" s="1107">
        <f>T3600-V3600</f>
        <v>600</v>
      </c>
    </row>
    <row r="3607" spans="7:22">
      <c r="G3607" s="1574" t="s">
        <v>3530</v>
      </c>
      <c r="H3607" s="1574"/>
      <c r="I3607" s="1574"/>
      <c r="J3607" s="3">
        <f>J3600+L3600</f>
        <v>500060000</v>
      </c>
      <c r="K3607" s="1009"/>
      <c r="L3607" s="3"/>
      <c r="M3607" s="1533" t="s">
        <v>3664</v>
      </c>
      <c r="N3607" s="1527"/>
      <c r="O3607" s="1535" t="s">
        <v>4066</v>
      </c>
      <c r="P3607" s="1512"/>
      <c r="T3607" s="1275"/>
    </row>
    <row r="3608" spans="7:22">
      <c r="G3608" s="1574" t="s">
        <v>3512</v>
      </c>
      <c r="H3608" s="1574"/>
      <c r="I3608" s="1574"/>
      <c r="J3608" s="3">
        <f>N3600-J3607</f>
        <v>61590000</v>
      </c>
      <c r="K3608" s="1009"/>
      <c r="L3608" s="3"/>
      <c r="M3608" s="1528"/>
      <c r="O3608" s="1529"/>
      <c r="Q3608" s="661"/>
      <c r="T3608" s="1275"/>
    </row>
    <row r="3609" spans="7:22">
      <c r="G3609" s="1574" t="s">
        <v>3531</v>
      </c>
      <c r="H3609" s="1574"/>
      <c r="I3609" s="1574"/>
      <c r="J3609" s="3">
        <f>T3606</f>
        <v>600</v>
      </c>
      <c r="Q3609" s="3"/>
      <c r="T3609" s="1275"/>
    </row>
    <row r="3610" spans="7:22">
      <c r="G3610" s="1564" t="s">
        <v>4455</v>
      </c>
      <c r="H3610" s="1564"/>
      <c r="I3610" s="1564"/>
      <c r="J3610" s="3">
        <f>+P3606</f>
        <v>3002000</v>
      </c>
      <c r="R3610" s="3"/>
      <c r="T3610" s="1275"/>
    </row>
    <row r="3611" spans="7:22">
      <c r="T3611" s="1275"/>
    </row>
    <row r="3613" spans="7:22">
      <c r="T3613" s="1275"/>
    </row>
    <row r="3614" spans="7:22">
      <c r="T3614" s="1275"/>
    </row>
    <row r="3615" spans="7:22">
      <c r="G3615" s="1008">
        <v>46050</v>
      </c>
      <c r="H3615" s="1169"/>
      <c r="I3615" s="1575" t="s">
        <v>3510</v>
      </c>
      <c r="J3615" s="1576"/>
      <c r="K3615" s="1575" t="s">
        <v>3509</v>
      </c>
      <c r="L3615" s="1576"/>
      <c r="M3615" s="1575" t="s">
        <v>3541</v>
      </c>
      <c r="N3615" s="1576"/>
      <c r="O3615" s="1577" t="s">
        <v>3598</v>
      </c>
      <c r="P3615" s="1578"/>
      <c r="Q3615" s="1579" t="s">
        <v>3599</v>
      </c>
      <c r="R3615" s="1580"/>
      <c r="S3615" s="1583" t="s">
        <v>3953</v>
      </c>
      <c r="T3615" s="1583"/>
      <c r="U3615" s="1583" t="s">
        <v>3954</v>
      </c>
      <c r="V3615" s="1583"/>
    </row>
    <row r="3616" spans="7:22">
      <c r="G3616" s="1097"/>
      <c r="H3616" s="1261">
        <v>1</v>
      </c>
      <c r="I3616" s="1286" t="s">
        <v>4570</v>
      </c>
      <c r="J3616" s="49">
        <v>29040000</v>
      </c>
      <c r="K3616" s="1495" t="s">
        <v>4569</v>
      </c>
      <c r="L3616" s="49">
        <v>500000</v>
      </c>
      <c r="M3616" s="1495" t="s">
        <v>4486</v>
      </c>
      <c r="N3616" s="49">
        <v>61300000</v>
      </c>
      <c r="O3616" s="1383"/>
      <c r="P3616" s="644"/>
      <c r="Q3616" s="1279"/>
      <c r="R3616" s="644"/>
      <c r="S3616" s="1223"/>
      <c r="T3616" s="1191"/>
      <c r="U3616" s="1232"/>
      <c r="V3616" s="48"/>
    </row>
    <row r="3617" spans="7:22">
      <c r="G3617" s="1098"/>
      <c r="H3617" s="1172">
        <v>2</v>
      </c>
      <c r="I3617" s="1287" t="s">
        <v>4576</v>
      </c>
      <c r="J3617" s="49">
        <v>18400000</v>
      </c>
      <c r="K3617" s="1495" t="s">
        <v>4577</v>
      </c>
      <c r="L3617" s="49">
        <v>5700000</v>
      </c>
      <c r="M3617" s="1495" t="s">
        <v>4571</v>
      </c>
      <c r="N3617" s="49">
        <v>2600000</v>
      </c>
      <c r="O3617" s="1383" t="s">
        <v>4484</v>
      </c>
      <c r="P3617" s="644">
        <v>3000000</v>
      </c>
      <c r="Q3617" s="1290"/>
      <c r="R3617" s="1290"/>
      <c r="S3617" s="1280" t="s">
        <v>4505</v>
      </c>
      <c r="T3617" s="1191">
        <v>800</v>
      </c>
      <c r="U3617" s="48"/>
      <c r="V3617" s="49"/>
    </row>
    <row r="3618" spans="7:22">
      <c r="G3618" s="48"/>
      <c r="H3618" s="48">
        <v>3</v>
      </c>
      <c r="I3618" s="1289" t="s">
        <v>4579</v>
      </c>
      <c r="J3618" s="49">
        <v>30690000</v>
      </c>
      <c r="K3618" s="1493" t="s">
        <v>4584</v>
      </c>
      <c r="L3618" s="49">
        <v>3800000</v>
      </c>
      <c r="M3618" s="1493" t="s">
        <v>4575</v>
      </c>
      <c r="N3618" s="49">
        <v>100000000</v>
      </c>
      <c r="O3618" s="1383" t="s">
        <v>4572</v>
      </c>
      <c r="P3618" s="644">
        <v>5000000</v>
      </c>
      <c r="Q3618" s="1288" t="s">
        <v>4573</v>
      </c>
      <c r="R3618" s="644">
        <v>765000</v>
      </c>
      <c r="S3618" s="1287"/>
      <c r="T3618" s="1191"/>
      <c r="U3618" s="1287"/>
      <c r="V3618" s="1191"/>
    </row>
    <row r="3619" spans="7:22">
      <c r="G3619" s="48"/>
      <c r="H3619" s="48">
        <v>4</v>
      </c>
      <c r="I3619" s="1287" t="s">
        <v>4581</v>
      </c>
      <c r="J3619" s="49">
        <f>300000000*0.94</f>
        <v>282000000</v>
      </c>
      <c r="K3619" s="1495" t="s">
        <v>4585</v>
      </c>
      <c r="L3619" s="49">
        <v>820000</v>
      </c>
      <c r="M3619" s="1493" t="s">
        <v>4580</v>
      </c>
      <c r="N3619" s="49">
        <v>422880000</v>
      </c>
      <c r="O3619" s="1383"/>
      <c r="P3619" s="644"/>
      <c r="Q3619" s="1288" t="s">
        <v>4574</v>
      </c>
      <c r="R3619" s="644">
        <v>1300000</v>
      </c>
      <c r="S3619" s="1289"/>
      <c r="T3619" s="1276"/>
      <c r="U3619" s="1289"/>
      <c r="V3619" s="1276"/>
    </row>
    <row r="3620" spans="7:22">
      <c r="G3620" s="48"/>
      <c r="H3620" s="48">
        <v>5</v>
      </c>
      <c r="I3620" s="1289" t="s">
        <v>4582</v>
      </c>
      <c r="J3620" s="49">
        <v>46500000</v>
      </c>
      <c r="K3620" s="1495" t="s">
        <v>4586</v>
      </c>
      <c r="L3620" s="1495">
        <v>6500000</v>
      </c>
      <c r="M3620" s="1493"/>
      <c r="N3620" s="49"/>
      <c r="O3620" s="644"/>
      <c r="P3620" s="644"/>
      <c r="Q3620" s="1288" t="s">
        <v>4461</v>
      </c>
      <c r="R3620" s="644">
        <v>505000</v>
      </c>
      <c r="S3620" s="48"/>
      <c r="T3620" s="1276"/>
      <c r="U3620" s="48"/>
      <c r="V3620" s="49"/>
    </row>
    <row r="3621" spans="7:22">
      <c r="G3621" s="48"/>
      <c r="H3621" s="48">
        <v>6</v>
      </c>
      <c r="I3621" s="1289" t="s">
        <v>4583</v>
      </c>
      <c r="J3621" s="49">
        <v>30690000</v>
      </c>
      <c r="K3621" s="1495" t="s">
        <v>4587</v>
      </c>
      <c r="L3621" s="49">
        <v>1000000</v>
      </c>
      <c r="M3621" s="1495"/>
      <c r="N3621" s="49"/>
      <c r="O3621" s="644"/>
      <c r="P3621" s="644"/>
      <c r="Q3621" s="1288" t="s">
        <v>4578</v>
      </c>
      <c r="R3621" s="644">
        <v>2000000</v>
      </c>
      <c r="S3621" s="48"/>
      <c r="T3621" s="1276"/>
      <c r="U3621" s="48"/>
      <c r="V3621" s="49"/>
    </row>
    <row r="3622" spans="7:22">
      <c r="G3622" s="48"/>
      <c r="H3622" s="48"/>
      <c r="I3622" s="1282"/>
      <c r="J3622" s="49"/>
      <c r="K3622" s="1495"/>
      <c r="L3622" s="49"/>
      <c r="M3622" s="1498"/>
      <c r="N3622" s="49"/>
      <c r="O3622" s="644"/>
      <c r="P3622" s="644"/>
      <c r="Q3622" s="1290" t="s">
        <v>4439</v>
      </c>
      <c r="R3622" s="644">
        <v>300000</v>
      </c>
      <c r="S3622" s="48"/>
      <c r="T3622" s="1276"/>
      <c r="U3622" s="48"/>
      <c r="V3622" s="49"/>
    </row>
    <row r="3623" spans="7:22">
      <c r="G3623" s="48"/>
      <c r="H3623" s="48"/>
      <c r="I3623" s="1184"/>
      <c r="J3623" s="49"/>
      <c r="K3623" s="1532"/>
      <c r="L3623" s="49"/>
      <c r="M3623" s="1498"/>
      <c r="N3623" s="49"/>
      <c r="O3623" s="644"/>
      <c r="P3623" s="644"/>
      <c r="Q3623" s="1283"/>
      <c r="R3623" s="644"/>
      <c r="S3623" s="48"/>
      <c r="T3623" s="1276"/>
      <c r="U3623" s="48"/>
      <c r="V3623" s="49"/>
    </row>
    <row r="3624" spans="7:22">
      <c r="G3624" s="48"/>
      <c r="H3624" s="48"/>
      <c r="I3624" s="48"/>
      <c r="J3624" s="49"/>
      <c r="K3624" s="1495"/>
      <c r="L3624" s="49"/>
      <c r="M3624" s="1498"/>
      <c r="N3624" s="49"/>
      <c r="O3624" s="644"/>
      <c r="P3624" s="644"/>
      <c r="Q3624" s="644"/>
      <c r="R3624" s="644"/>
      <c r="S3624" s="48"/>
      <c r="T3624" s="1276"/>
      <c r="U3624" s="48"/>
      <c r="V3624" s="49"/>
    </row>
    <row r="3625" spans="7:22">
      <c r="G3625" s="48"/>
      <c r="H3625" s="48"/>
      <c r="I3625" s="48"/>
      <c r="J3625" s="49"/>
      <c r="K3625" s="1495"/>
      <c r="L3625" s="49"/>
      <c r="M3625" s="1498"/>
      <c r="N3625" s="49"/>
      <c r="O3625" s="644"/>
      <c r="P3625" s="644"/>
      <c r="Q3625" s="644"/>
      <c r="R3625" s="644"/>
      <c r="S3625" s="48"/>
      <c r="T3625" s="1276"/>
      <c r="U3625" s="48"/>
      <c r="V3625" s="49"/>
    </row>
    <row r="3626" spans="7:22">
      <c r="G3626" s="48"/>
      <c r="H3626" s="48"/>
      <c r="I3626" s="48"/>
      <c r="J3626" s="49"/>
      <c r="K3626" s="1498"/>
      <c r="L3626" s="49"/>
      <c r="M3626" s="1498"/>
      <c r="N3626" s="49"/>
      <c r="O3626" s="644"/>
      <c r="P3626" s="644"/>
      <c r="Q3626" s="644"/>
      <c r="R3626" s="644"/>
      <c r="S3626" s="48"/>
      <c r="T3626" s="1276"/>
      <c r="U3626" s="48"/>
      <c r="V3626" s="48"/>
    </row>
    <row r="3627" spans="7:22">
      <c r="G3627" s="48"/>
      <c r="H3627" s="48"/>
      <c r="I3627" s="48"/>
      <c r="J3627" s="49"/>
      <c r="K3627" s="49"/>
      <c r="L3627" s="49"/>
      <c r="M3627" s="1498"/>
      <c r="N3627" s="49"/>
      <c r="O3627" s="644"/>
      <c r="P3627" s="644"/>
      <c r="Q3627" s="644"/>
      <c r="R3627" s="644"/>
      <c r="S3627" s="48"/>
      <c r="T3627" s="1276"/>
      <c r="U3627" s="48"/>
      <c r="V3627" s="48"/>
    </row>
    <row r="3628" spans="7:22">
      <c r="G3628" s="48"/>
      <c r="H3628" s="48"/>
      <c r="I3628" s="48"/>
      <c r="J3628" s="954">
        <f>SUM(J3616:J3624)</f>
        <v>437320000</v>
      </c>
      <c r="K3628" s="954"/>
      <c r="L3628" s="954">
        <f>SUM(L3616:L3627)</f>
        <v>18320000</v>
      </c>
      <c r="M3628" s="1498"/>
      <c r="N3628" s="954">
        <f>SUM(N3616:N3627)</f>
        <v>586780000</v>
      </c>
      <c r="O3628" s="644"/>
      <c r="P3628" s="969">
        <f>SUM(P3616:P3622)</f>
        <v>8000000</v>
      </c>
      <c r="Q3628" s="969"/>
      <c r="R3628" s="969">
        <f>SUM(R3616:R3625)</f>
        <v>4870000</v>
      </c>
      <c r="S3628" s="48"/>
      <c r="T3628" s="1178">
        <f>SUM(T3616:T3627)</f>
        <v>800</v>
      </c>
      <c r="U3628" s="48"/>
      <c r="V3628" s="878">
        <f>SUM(V3616:V3627)</f>
        <v>0</v>
      </c>
    </row>
    <row r="3629" spans="7:22">
      <c r="T3629" s="1275"/>
    </row>
    <row r="3630" spans="7:22">
      <c r="T3630" s="1275"/>
    </row>
    <row r="3631" spans="7:22">
      <c r="R3631" s="661"/>
      <c r="T3631" s="1275"/>
    </row>
    <row r="3632" spans="7:22">
      <c r="T3632" s="1275"/>
    </row>
    <row r="3633" spans="7:22">
      <c r="T3633" s="1275"/>
    </row>
    <row r="3634" spans="7:22">
      <c r="I3634" s="946"/>
      <c r="M3634" s="1533" t="s">
        <v>3699</v>
      </c>
      <c r="O3634" s="1535" t="s">
        <v>3741</v>
      </c>
      <c r="P3634" s="1512">
        <f>P3628-R3628</f>
        <v>3130000</v>
      </c>
      <c r="S3634" s="906" t="s">
        <v>4049</v>
      </c>
      <c r="T3634" s="1107">
        <f>T3628-V3628</f>
        <v>800</v>
      </c>
    </row>
    <row r="3635" spans="7:22">
      <c r="G3635" s="1574" t="s">
        <v>3530</v>
      </c>
      <c r="H3635" s="1574"/>
      <c r="I3635" s="1574"/>
      <c r="J3635" s="3">
        <f>J3628+L3628</f>
        <v>455640000</v>
      </c>
      <c r="K3635" s="1009"/>
      <c r="L3635" s="3"/>
      <c r="M3635" s="1533" t="s">
        <v>3664</v>
      </c>
      <c r="N3635" s="1527"/>
      <c r="O3635" s="1535" t="s">
        <v>4066</v>
      </c>
      <c r="P3635" s="1512"/>
      <c r="T3635" s="1275"/>
    </row>
    <row r="3636" spans="7:22">
      <c r="G3636" s="1574" t="s">
        <v>3512</v>
      </c>
      <c r="H3636" s="1574"/>
      <c r="I3636" s="1574"/>
      <c r="J3636" s="3">
        <f>N3628-J3635</f>
        <v>131140000</v>
      </c>
      <c r="K3636" s="1009"/>
      <c r="L3636" s="3"/>
      <c r="M3636" s="1528"/>
      <c r="O3636" s="1529"/>
      <c r="Q3636" s="661"/>
      <c r="T3636" s="1275"/>
    </row>
    <row r="3637" spans="7:22">
      <c r="G3637" s="1574" t="s">
        <v>3531</v>
      </c>
      <c r="H3637" s="1574"/>
      <c r="I3637" s="1574"/>
      <c r="J3637" s="3">
        <f>T3634</f>
        <v>800</v>
      </c>
      <c r="Q3637" s="3"/>
      <c r="T3637" s="1275"/>
    </row>
    <row r="3638" spans="7:22">
      <c r="G3638" s="1564" t="s">
        <v>4455</v>
      </c>
      <c r="H3638" s="1564"/>
      <c r="I3638" s="1564"/>
      <c r="J3638" s="3">
        <f>+P3634</f>
        <v>3130000</v>
      </c>
      <c r="R3638" s="3"/>
      <c r="T3638" s="1275"/>
    </row>
    <row r="3639" spans="7:22">
      <c r="T3639" s="1275"/>
    </row>
    <row r="3646" spans="7:22">
      <c r="T3646" s="1275"/>
    </row>
    <row r="3647" spans="7:22">
      <c r="T3647" s="1275"/>
    </row>
    <row r="3648" spans="7:22">
      <c r="G3648" s="1008">
        <v>46051</v>
      </c>
      <c r="H3648" s="1169"/>
      <c r="I3648" s="1575" t="s">
        <v>3510</v>
      </c>
      <c r="J3648" s="1576"/>
      <c r="K3648" s="1575" t="s">
        <v>3509</v>
      </c>
      <c r="L3648" s="1576"/>
      <c r="M3648" s="1575" t="s">
        <v>3541</v>
      </c>
      <c r="N3648" s="1576"/>
      <c r="O3648" s="1577" t="s">
        <v>3598</v>
      </c>
      <c r="P3648" s="1578"/>
      <c r="Q3648" s="1579" t="s">
        <v>3599</v>
      </c>
      <c r="R3648" s="1580"/>
      <c r="S3648" s="1583" t="s">
        <v>3953</v>
      </c>
      <c r="T3648" s="1583"/>
      <c r="U3648" s="1583" t="s">
        <v>3954</v>
      </c>
      <c r="V3648" s="1583"/>
    </row>
    <row r="3649" spans="7:22">
      <c r="G3649" s="1097"/>
      <c r="H3649" s="1261">
        <v>1</v>
      </c>
      <c r="I3649" s="1286" t="s">
        <v>4589</v>
      </c>
      <c r="J3649" s="49">
        <v>30000000</v>
      </c>
      <c r="K3649" s="1495" t="s">
        <v>4463</v>
      </c>
      <c r="L3649" s="49">
        <v>1000000</v>
      </c>
      <c r="M3649" s="1495" t="s">
        <v>4486</v>
      </c>
      <c r="N3649" s="49">
        <v>129500000</v>
      </c>
      <c r="O3649" s="1383"/>
      <c r="P3649" s="644"/>
      <c r="Q3649" s="1279"/>
      <c r="R3649" s="644"/>
      <c r="S3649" s="1223"/>
      <c r="T3649" s="1191"/>
      <c r="U3649" s="1232"/>
      <c r="V3649" s="48"/>
    </row>
    <row r="3650" spans="7:22">
      <c r="G3650" s="1098"/>
      <c r="H3650" s="1172">
        <v>2</v>
      </c>
      <c r="I3650" s="1287" t="s">
        <v>4590</v>
      </c>
      <c r="J3650" s="49">
        <v>22600000</v>
      </c>
      <c r="K3650" s="1495" t="s">
        <v>4494</v>
      </c>
      <c r="L3650" s="49">
        <v>1000000</v>
      </c>
      <c r="M3650" s="1495"/>
      <c r="N3650" s="49">
        <v>850000</v>
      </c>
      <c r="O3650" s="1383" t="s">
        <v>4484</v>
      </c>
      <c r="P3650" s="644">
        <v>3000000</v>
      </c>
      <c r="Q3650" s="1290"/>
      <c r="R3650" s="1290"/>
      <c r="S3650" s="1280" t="s">
        <v>4505</v>
      </c>
      <c r="T3650" s="1191">
        <v>800</v>
      </c>
      <c r="U3650" s="48"/>
      <c r="V3650" s="49"/>
    </row>
    <row r="3651" spans="7:22">
      <c r="G3651" s="48"/>
      <c r="H3651" s="48">
        <v>3</v>
      </c>
      <c r="I3651" s="1289" t="s">
        <v>4592</v>
      </c>
      <c r="J3651" s="49">
        <v>20900000</v>
      </c>
      <c r="K3651" s="1493" t="s">
        <v>4588</v>
      </c>
      <c r="L3651" s="49">
        <v>15000000</v>
      </c>
      <c r="M3651" s="1495" t="s">
        <v>4591</v>
      </c>
      <c r="N3651" s="49">
        <v>2600000</v>
      </c>
      <c r="O3651" s="1383"/>
      <c r="P3651" s="644"/>
      <c r="Q3651" s="1288"/>
      <c r="R3651" s="644"/>
      <c r="S3651" s="1287"/>
      <c r="T3651" s="1191"/>
      <c r="U3651" s="1287"/>
      <c r="V3651" s="1191"/>
    </row>
    <row r="3652" spans="7:22">
      <c r="G3652" s="48"/>
      <c r="H3652" s="48">
        <v>4</v>
      </c>
      <c r="I3652" s="1287" t="s">
        <v>4595</v>
      </c>
      <c r="J3652" s="49">
        <v>40000000</v>
      </c>
      <c r="K3652" s="1495" t="s">
        <v>4473</v>
      </c>
      <c r="L3652" s="49">
        <v>500000</v>
      </c>
      <c r="M3652" s="1493" t="s">
        <v>4593</v>
      </c>
      <c r="N3652" s="49">
        <v>1000000</v>
      </c>
      <c r="O3652" s="1383"/>
      <c r="P3652" s="644"/>
      <c r="Q3652" s="1288"/>
      <c r="R3652" s="644"/>
      <c r="S3652" s="1289"/>
      <c r="T3652" s="1276"/>
      <c r="U3652" s="1289"/>
      <c r="V3652" s="1276"/>
    </row>
    <row r="3653" spans="7:22">
      <c r="G3653" s="48"/>
      <c r="H3653" s="48"/>
      <c r="I3653" s="1289"/>
      <c r="J3653" s="49"/>
      <c r="K3653" s="1495" t="s">
        <v>4547</v>
      </c>
      <c r="L3653" s="1495">
        <v>300000</v>
      </c>
      <c r="M3653" s="1493"/>
      <c r="N3653" s="49"/>
      <c r="O3653" s="644"/>
      <c r="P3653" s="644"/>
      <c r="Q3653" s="1288"/>
      <c r="R3653" s="644"/>
      <c r="S3653" s="48"/>
      <c r="T3653" s="1276"/>
      <c r="U3653" s="48"/>
      <c r="V3653" s="49"/>
    </row>
    <row r="3654" spans="7:22">
      <c r="G3654" s="48"/>
      <c r="H3654" s="48"/>
      <c r="I3654" s="1289"/>
      <c r="J3654" s="49"/>
      <c r="K3654" s="1495" t="s">
        <v>4474</v>
      </c>
      <c r="L3654" s="49">
        <v>1000000</v>
      </c>
      <c r="M3654" s="1495"/>
      <c r="N3654" s="49"/>
      <c r="O3654" s="644"/>
      <c r="P3654" s="644"/>
      <c r="Q3654" s="1288"/>
      <c r="R3654" s="644"/>
      <c r="S3654" s="48"/>
      <c r="T3654" s="1276"/>
      <c r="U3654" s="48"/>
      <c r="V3654" s="49"/>
    </row>
    <row r="3655" spans="7:22">
      <c r="G3655" s="48"/>
      <c r="H3655" s="48"/>
      <c r="I3655" s="1282"/>
      <c r="J3655" s="49"/>
      <c r="K3655" s="1495" t="s">
        <v>4594</v>
      </c>
      <c r="L3655" s="49">
        <v>800000</v>
      </c>
      <c r="M3655" s="1498"/>
      <c r="N3655" s="49"/>
      <c r="O3655" s="644"/>
      <c r="P3655" s="644"/>
      <c r="Q3655" s="1290"/>
      <c r="R3655" s="644"/>
      <c r="S3655" s="48"/>
      <c r="T3655" s="1276"/>
      <c r="U3655" s="48"/>
      <c r="V3655" s="49"/>
    </row>
    <row r="3656" spans="7:22">
      <c r="G3656" s="48"/>
      <c r="H3656" s="48"/>
      <c r="I3656" s="1184"/>
      <c r="J3656" s="49"/>
      <c r="K3656" s="1532"/>
      <c r="L3656" s="49"/>
      <c r="M3656" s="1498"/>
      <c r="N3656" s="49"/>
      <c r="O3656" s="644"/>
      <c r="P3656" s="644"/>
      <c r="Q3656" s="1283"/>
      <c r="R3656" s="644"/>
      <c r="S3656" s="48"/>
      <c r="T3656" s="1276"/>
      <c r="U3656" s="48"/>
      <c r="V3656" s="49"/>
    </row>
    <row r="3657" spans="7:22">
      <c r="G3657" s="48"/>
      <c r="H3657" s="48"/>
      <c r="I3657" s="48"/>
      <c r="J3657" s="49"/>
      <c r="K3657" s="1495"/>
      <c r="L3657" s="49"/>
      <c r="M3657" s="1498"/>
      <c r="N3657" s="49"/>
      <c r="O3657" s="644"/>
      <c r="P3657" s="644"/>
      <c r="Q3657" s="644"/>
      <c r="R3657" s="644"/>
      <c r="S3657" s="48"/>
      <c r="T3657" s="1276"/>
      <c r="U3657" s="48"/>
      <c r="V3657" s="49"/>
    </row>
    <row r="3658" spans="7:22">
      <c r="G3658" s="48"/>
      <c r="H3658" s="48"/>
      <c r="I3658" s="48"/>
      <c r="J3658" s="49"/>
      <c r="K3658" s="1495"/>
      <c r="L3658" s="49"/>
      <c r="M3658" s="1498"/>
      <c r="N3658" s="49"/>
      <c r="O3658" s="644"/>
      <c r="P3658" s="644"/>
      <c r="Q3658" s="644"/>
      <c r="R3658" s="644"/>
      <c r="S3658" s="48"/>
      <c r="T3658" s="1276"/>
      <c r="U3658" s="48"/>
      <c r="V3658" s="49"/>
    </row>
    <row r="3659" spans="7:22">
      <c r="G3659" s="48"/>
      <c r="H3659" s="48"/>
      <c r="I3659" s="48"/>
      <c r="J3659" s="49"/>
      <c r="K3659" s="1498"/>
      <c r="L3659" s="49"/>
      <c r="M3659" s="1498"/>
      <c r="N3659" s="49"/>
      <c r="O3659" s="644"/>
      <c r="P3659" s="644"/>
      <c r="Q3659" s="644"/>
      <c r="R3659" s="644"/>
      <c r="S3659" s="48"/>
      <c r="T3659" s="1276"/>
      <c r="U3659" s="48"/>
      <c r="V3659" s="48"/>
    </row>
    <row r="3660" spans="7:22">
      <c r="G3660" s="48"/>
      <c r="H3660" s="48"/>
      <c r="I3660" s="48"/>
      <c r="J3660" s="49"/>
      <c r="K3660" s="49"/>
      <c r="L3660" s="49"/>
      <c r="M3660" s="1498"/>
      <c r="N3660" s="49"/>
      <c r="O3660" s="644"/>
      <c r="P3660" s="644"/>
      <c r="Q3660" s="644"/>
      <c r="R3660" s="644"/>
      <c r="S3660" s="48"/>
      <c r="T3660" s="1276"/>
      <c r="U3660" s="48"/>
      <c r="V3660" s="48"/>
    </row>
    <row r="3661" spans="7:22">
      <c r="G3661" s="48"/>
      <c r="H3661" s="48"/>
      <c r="I3661" s="48"/>
      <c r="J3661" s="954">
        <f>SUM(J3649:J3657)</f>
        <v>113500000</v>
      </c>
      <c r="K3661" s="954"/>
      <c r="L3661" s="954">
        <f>SUM(L3649:L3660)</f>
        <v>19600000</v>
      </c>
      <c r="M3661" s="1498"/>
      <c r="N3661" s="954">
        <f>SUM(N3649:N3660)</f>
        <v>133950000</v>
      </c>
      <c r="O3661" s="644"/>
      <c r="P3661" s="969">
        <f>SUM(P3649:P3655)</f>
        <v>3000000</v>
      </c>
      <c r="Q3661" s="969"/>
      <c r="R3661" s="969">
        <f>SUM(R3649:R3658)</f>
        <v>0</v>
      </c>
      <c r="S3661" s="48"/>
      <c r="T3661" s="1178">
        <f>SUM(T3649:T3660)</f>
        <v>800</v>
      </c>
      <c r="U3661" s="48"/>
      <c r="V3661" s="878">
        <f>SUM(V3649:V3660)</f>
        <v>0</v>
      </c>
    </row>
    <row r="3662" spans="7:22">
      <c r="T3662" s="1275"/>
    </row>
    <row r="3663" spans="7:22">
      <c r="T3663" s="1275"/>
    </row>
    <row r="3664" spans="7:22">
      <c r="R3664" s="661"/>
      <c r="T3664" s="1275"/>
    </row>
    <row r="3665" spans="7:22">
      <c r="T3665" s="1275"/>
    </row>
    <row r="3666" spans="7:22">
      <c r="T3666" s="1275"/>
    </row>
    <row r="3667" spans="7:22">
      <c r="I3667" s="946"/>
      <c r="M3667" s="1533" t="s">
        <v>3699</v>
      </c>
      <c r="O3667" s="1535" t="s">
        <v>3741</v>
      </c>
      <c r="P3667" s="1512">
        <f>P3661-R3661</f>
        <v>3000000</v>
      </c>
      <c r="S3667" s="906" t="s">
        <v>4049</v>
      </c>
      <c r="T3667" s="1107">
        <f>T3661-V3661</f>
        <v>800</v>
      </c>
    </row>
    <row r="3668" spans="7:22">
      <c r="G3668" s="1574" t="s">
        <v>3530</v>
      </c>
      <c r="H3668" s="1574"/>
      <c r="I3668" s="1574"/>
      <c r="J3668" s="3">
        <f>J3661+L3661</f>
        <v>133100000</v>
      </c>
      <c r="K3668" s="1009"/>
      <c r="L3668" s="3"/>
      <c r="M3668" s="1533" t="s">
        <v>3664</v>
      </c>
      <c r="N3668" s="1527"/>
      <c r="O3668" s="1535" t="s">
        <v>4066</v>
      </c>
      <c r="P3668" s="1512"/>
      <c r="T3668" s="1275"/>
    </row>
    <row r="3669" spans="7:22">
      <c r="G3669" s="1574" t="s">
        <v>3512</v>
      </c>
      <c r="H3669" s="1574"/>
      <c r="I3669" s="1574"/>
      <c r="J3669" s="3">
        <f>N3661-J3668</f>
        <v>850000</v>
      </c>
      <c r="K3669" s="1009"/>
      <c r="L3669" s="3"/>
      <c r="M3669" s="1528"/>
      <c r="O3669" s="1529"/>
      <c r="Q3669" s="661"/>
      <c r="T3669" s="1275"/>
    </row>
    <row r="3670" spans="7:22">
      <c r="G3670" s="1574" t="s">
        <v>3531</v>
      </c>
      <c r="H3670" s="1574"/>
      <c r="I3670" s="1574"/>
      <c r="J3670" s="3">
        <f>T3667</f>
        <v>800</v>
      </c>
      <c r="Q3670" s="3"/>
      <c r="T3670" s="1275"/>
    </row>
    <row r="3671" spans="7:22">
      <c r="G3671" s="1564" t="s">
        <v>4455</v>
      </c>
      <c r="H3671" s="1564"/>
      <c r="I3671" s="1564"/>
      <c r="J3671" s="3">
        <f>+P3667</f>
        <v>3000000</v>
      </c>
      <c r="R3671" s="3"/>
      <c r="T3671" s="1275"/>
    </row>
    <row r="3672" spans="7:22">
      <c r="T3672" s="1275"/>
    </row>
    <row r="3675" spans="7:22">
      <c r="T3675" s="1275"/>
    </row>
    <row r="3676" spans="7:22">
      <c r="T3676" s="1275"/>
    </row>
    <row r="3677" spans="7:22">
      <c r="T3677" s="1275"/>
    </row>
    <row r="3678" spans="7:22">
      <c r="G3678" s="1008">
        <v>46052</v>
      </c>
      <c r="H3678" s="1169"/>
      <c r="I3678" s="1575" t="s">
        <v>3510</v>
      </c>
      <c r="J3678" s="1576"/>
      <c r="K3678" s="1575" t="s">
        <v>3509</v>
      </c>
      <c r="L3678" s="1576"/>
      <c r="M3678" s="1575" t="s">
        <v>3541</v>
      </c>
      <c r="N3678" s="1576"/>
      <c r="O3678" s="1577" t="s">
        <v>3598</v>
      </c>
      <c r="P3678" s="1578"/>
      <c r="Q3678" s="1579" t="s">
        <v>3599</v>
      </c>
      <c r="R3678" s="1580"/>
      <c r="S3678" s="1583" t="s">
        <v>3953</v>
      </c>
      <c r="T3678" s="1583"/>
      <c r="U3678" s="1583" t="s">
        <v>3954</v>
      </c>
      <c r="V3678" s="1583"/>
    </row>
    <row r="3679" spans="7:22">
      <c r="G3679" s="1097"/>
      <c r="H3679" s="1261"/>
      <c r="I3679" s="1286" t="s">
        <v>4608</v>
      </c>
      <c r="J3679" s="49">
        <v>10420000</v>
      </c>
      <c r="K3679" s="1495" t="s">
        <v>4605</v>
      </c>
      <c r="L3679" s="49">
        <v>1000000</v>
      </c>
      <c r="M3679" s="1495" t="s">
        <v>4486</v>
      </c>
      <c r="N3679" s="49">
        <v>500000</v>
      </c>
      <c r="O3679" s="1383"/>
      <c r="P3679" s="644"/>
      <c r="Q3679" s="1279"/>
      <c r="R3679" s="644"/>
      <c r="S3679" s="1223"/>
      <c r="T3679" s="1191"/>
      <c r="U3679" s="1232"/>
      <c r="V3679" s="48"/>
    </row>
    <row r="3680" spans="7:22">
      <c r="G3680" s="1098"/>
      <c r="H3680" s="1172"/>
      <c r="I3680" s="1287"/>
      <c r="J3680" s="49"/>
      <c r="K3680" s="1495" t="s">
        <v>4494</v>
      </c>
      <c r="L3680" s="49">
        <v>2200000</v>
      </c>
      <c r="M3680" s="1495" t="s">
        <v>4604</v>
      </c>
      <c r="N3680" s="49">
        <v>70000000</v>
      </c>
      <c r="O3680" s="1383" t="s">
        <v>4484</v>
      </c>
      <c r="P3680" s="644">
        <v>50000000</v>
      </c>
      <c r="Q3680" s="1290"/>
      <c r="R3680" s="1290"/>
      <c r="S3680" s="1280" t="s">
        <v>4505</v>
      </c>
      <c r="T3680" s="1191">
        <v>800</v>
      </c>
      <c r="U3680" s="48"/>
      <c r="V3680" s="49"/>
    </row>
    <row r="3681" spans="7:22">
      <c r="G3681" s="48"/>
      <c r="H3681" s="48"/>
      <c r="I3681" s="1289"/>
      <c r="J3681" s="49"/>
      <c r="K3681" s="1493" t="s">
        <v>4607</v>
      </c>
      <c r="L3681" s="49">
        <v>2000000</v>
      </c>
      <c r="M3681" s="1495"/>
      <c r="N3681" s="49"/>
      <c r="O3681" s="1383" t="s">
        <v>4454</v>
      </c>
      <c r="P3681" s="644">
        <v>44676000</v>
      </c>
      <c r="Q3681" s="1288" t="s">
        <v>4596</v>
      </c>
      <c r="R3681" s="644">
        <v>413000</v>
      </c>
      <c r="S3681" s="1287"/>
      <c r="T3681" s="1191"/>
      <c r="U3681" s="1287"/>
      <c r="V3681" s="1191"/>
    </row>
    <row r="3682" spans="7:22">
      <c r="G3682" s="48"/>
      <c r="H3682" s="48"/>
      <c r="I3682" s="1287"/>
      <c r="J3682" s="49"/>
      <c r="K3682" s="1495" t="s">
        <v>4513</v>
      </c>
      <c r="L3682" s="49">
        <v>2000000</v>
      </c>
      <c r="M3682" s="1493"/>
      <c r="N3682" s="49"/>
      <c r="O3682" s="1383" t="s">
        <v>4454</v>
      </c>
      <c r="P3682" s="644">
        <v>26140000</v>
      </c>
      <c r="Q3682" s="1288" t="s">
        <v>4597</v>
      </c>
      <c r="R3682" s="644">
        <v>729000</v>
      </c>
      <c r="S3682" s="1289"/>
      <c r="T3682" s="1276"/>
      <c r="U3682" s="1289"/>
      <c r="V3682" s="1276"/>
    </row>
    <row r="3683" spans="7:22">
      <c r="G3683" s="48"/>
      <c r="H3683" s="48"/>
      <c r="I3683" s="1289"/>
      <c r="J3683" s="49"/>
      <c r="K3683" s="1495" t="s">
        <v>4495</v>
      </c>
      <c r="L3683" s="1495">
        <v>4500000</v>
      </c>
      <c r="M3683" s="1493"/>
      <c r="N3683" s="49"/>
      <c r="O3683" s="1383" t="s">
        <v>4454</v>
      </c>
      <c r="P3683" s="644">
        <v>30590000</v>
      </c>
      <c r="Q3683" s="1288" t="s">
        <v>4598</v>
      </c>
      <c r="R3683" s="644">
        <f>40000000+44676000</f>
        <v>84676000</v>
      </c>
      <c r="S3683" s="48"/>
      <c r="T3683" s="1276"/>
      <c r="U3683" s="48"/>
      <c r="V3683" s="49"/>
    </row>
    <row r="3684" spans="7:22">
      <c r="G3684" s="48"/>
      <c r="H3684" s="48"/>
      <c r="I3684" s="1289"/>
      <c r="J3684" s="49"/>
      <c r="K3684" s="1495" t="s">
        <v>3537</v>
      </c>
      <c r="L3684" s="49">
        <v>1800000</v>
      </c>
      <c r="M3684" s="1495"/>
      <c r="N3684" s="49"/>
      <c r="O3684" s="1383" t="s">
        <v>4454</v>
      </c>
      <c r="P3684" s="644">
        <v>23000000</v>
      </c>
      <c r="Q3684" s="1288" t="s">
        <v>4469</v>
      </c>
      <c r="R3684" s="644">
        <v>42000</v>
      </c>
      <c r="S3684" s="48"/>
      <c r="T3684" s="1276"/>
      <c r="U3684" s="48"/>
      <c r="V3684" s="49"/>
    </row>
    <row r="3685" spans="7:22">
      <c r="G3685" s="48"/>
      <c r="H3685" s="48"/>
      <c r="I3685" s="1282"/>
      <c r="J3685" s="49"/>
      <c r="K3685" s="1495"/>
      <c r="L3685" s="49"/>
      <c r="M3685" s="1498"/>
      <c r="N3685" s="49"/>
      <c r="O3685" s="1383" t="s">
        <v>4454</v>
      </c>
      <c r="P3685" s="644">
        <v>28000000</v>
      </c>
      <c r="Q3685" s="1290" t="s">
        <v>4599</v>
      </c>
      <c r="R3685" s="644">
        <v>1500000</v>
      </c>
      <c r="S3685" s="48"/>
      <c r="T3685" s="1276"/>
      <c r="U3685" s="48"/>
      <c r="V3685" s="49"/>
    </row>
    <row r="3686" spans="7:22">
      <c r="G3686" s="48"/>
      <c r="H3686" s="48"/>
      <c r="I3686" s="1184"/>
      <c r="J3686" s="49"/>
      <c r="K3686" s="1532"/>
      <c r="L3686" s="49"/>
      <c r="M3686" s="1498"/>
      <c r="N3686" s="49"/>
      <c r="O3686" s="1383"/>
      <c r="P3686" s="644"/>
      <c r="Q3686" s="1291" t="s">
        <v>4600</v>
      </c>
      <c r="R3686" s="644">
        <v>3700000</v>
      </c>
      <c r="S3686" s="48"/>
      <c r="T3686" s="1276"/>
      <c r="U3686" s="48"/>
      <c r="V3686" s="49"/>
    </row>
    <row r="3687" spans="7:22">
      <c r="G3687" s="48"/>
      <c r="H3687" s="48"/>
      <c r="I3687" s="48"/>
      <c r="J3687" s="49"/>
      <c r="K3687" s="1495"/>
      <c r="L3687" s="49"/>
      <c r="M3687" s="1498"/>
      <c r="N3687" s="49"/>
      <c r="O3687" s="644"/>
      <c r="P3687" s="644"/>
      <c r="Q3687" s="1290" t="s">
        <v>4601</v>
      </c>
      <c r="R3687" s="644">
        <v>26140000</v>
      </c>
      <c r="S3687" s="48"/>
      <c r="T3687" s="1276"/>
      <c r="U3687" s="48"/>
      <c r="V3687" s="49"/>
    </row>
    <row r="3688" spans="7:22">
      <c r="G3688" s="48"/>
      <c r="H3688" s="48"/>
      <c r="I3688" s="48"/>
      <c r="J3688" s="49"/>
      <c r="K3688" s="1495"/>
      <c r="L3688" s="49"/>
      <c r="M3688" s="1498"/>
      <c r="N3688" s="49"/>
      <c r="O3688" s="644"/>
      <c r="P3688" s="644"/>
      <c r="Q3688" s="1290" t="s">
        <v>4602</v>
      </c>
      <c r="R3688" s="644">
        <v>30590000</v>
      </c>
      <c r="S3688" s="48"/>
      <c r="T3688" s="1276"/>
      <c r="U3688" s="48"/>
      <c r="V3688" s="49"/>
    </row>
    <row r="3689" spans="7:22">
      <c r="G3689" s="48"/>
      <c r="H3689" s="48"/>
      <c r="I3689" s="48"/>
      <c r="J3689" s="49"/>
      <c r="K3689" s="1498"/>
      <c r="L3689" s="49"/>
      <c r="M3689" s="1498"/>
      <c r="N3689" s="49"/>
      <c r="O3689" s="644"/>
      <c r="P3689" s="644"/>
      <c r="Q3689" s="1290" t="s">
        <v>4602</v>
      </c>
      <c r="R3689" s="644">
        <v>23000000</v>
      </c>
      <c r="S3689" s="48"/>
      <c r="T3689" s="1276"/>
      <c r="U3689" s="48"/>
      <c r="V3689" s="48"/>
    </row>
    <row r="3690" spans="7:22">
      <c r="G3690" s="48"/>
      <c r="H3690" s="48"/>
      <c r="I3690" s="48"/>
      <c r="J3690" s="49"/>
      <c r="K3690" s="1498"/>
      <c r="L3690" s="49"/>
      <c r="M3690" s="1498"/>
      <c r="N3690" s="49"/>
      <c r="O3690" s="644"/>
      <c r="P3690" s="644"/>
      <c r="Q3690" s="1290" t="s">
        <v>4603</v>
      </c>
      <c r="R3690" s="644">
        <v>7760000</v>
      </c>
      <c r="S3690" s="48"/>
      <c r="T3690" s="1276"/>
      <c r="U3690" s="48"/>
      <c r="V3690" s="48"/>
    </row>
    <row r="3691" spans="7:22">
      <c r="G3691" s="48"/>
      <c r="H3691" s="48"/>
      <c r="I3691" s="48"/>
      <c r="J3691" s="49"/>
      <c r="K3691" s="1498"/>
      <c r="L3691" s="49"/>
      <c r="M3691" s="1498"/>
      <c r="N3691" s="49"/>
      <c r="O3691" s="644"/>
      <c r="P3691" s="644"/>
      <c r="Q3691" s="1290" t="s">
        <v>4606</v>
      </c>
      <c r="R3691" s="644">
        <v>19940000</v>
      </c>
      <c r="S3691" s="48"/>
      <c r="T3691" s="1276"/>
      <c r="U3691" s="48"/>
      <c r="V3691" s="48"/>
    </row>
    <row r="3692" spans="7:22">
      <c r="G3692" s="48"/>
      <c r="H3692" s="48"/>
      <c r="I3692" s="48"/>
      <c r="J3692" s="49"/>
      <c r="K3692" s="1498"/>
      <c r="L3692" s="49"/>
      <c r="M3692" s="1498"/>
      <c r="N3692" s="49"/>
      <c r="O3692" s="644"/>
      <c r="P3692" s="644"/>
      <c r="Q3692" s="1290" t="s">
        <v>4605</v>
      </c>
      <c r="R3692" s="644">
        <v>3000000</v>
      </c>
      <c r="S3692" s="48"/>
      <c r="T3692" s="1276"/>
      <c r="U3692" s="48"/>
      <c r="V3692" s="48"/>
    </row>
    <row r="3693" spans="7:22">
      <c r="G3693" s="48"/>
      <c r="H3693" s="48"/>
      <c r="I3693" s="48"/>
      <c r="J3693" s="49"/>
      <c r="K3693" s="1498"/>
      <c r="L3693" s="49"/>
      <c r="M3693" s="1498"/>
      <c r="N3693" s="49"/>
      <c r="O3693" s="644"/>
      <c r="P3693" s="644"/>
      <c r="Q3693" s="1290"/>
      <c r="R3693" s="644"/>
      <c r="S3693" s="48"/>
      <c r="T3693" s="1276"/>
      <c r="U3693" s="48"/>
      <c r="V3693" s="48"/>
    </row>
    <row r="3694" spans="7:22">
      <c r="G3694" s="48"/>
      <c r="H3694" s="48"/>
      <c r="I3694" s="48"/>
      <c r="J3694" s="49"/>
      <c r="K3694" s="49"/>
      <c r="L3694" s="49"/>
      <c r="M3694" s="1498"/>
      <c r="N3694" s="49"/>
      <c r="O3694" s="644"/>
      <c r="P3694" s="644"/>
      <c r="Q3694" s="1290"/>
      <c r="R3694" s="644"/>
      <c r="S3694" s="48"/>
      <c r="T3694" s="1276"/>
      <c r="U3694" s="48"/>
      <c r="V3694" s="48"/>
    </row>
    <row r="3695" spans="7:22">
      <c r="G3695" s="48"/>
      <c r="H3695" s="48"/>
      <c r="I3695" s="48"/>
      <c r="J3695" s="954">
        <f>SUM(J3679:J3687)</f>
        <v>10420000</v>
      </c>
      <c r="K3695" s="954"/>
      <c r="L3695" s="954">
        <f>SUM(L3679:L3694)</f>
        <v>13500000</v>
      </c>
      <c r="M3695" s="1498"/>
      <c r="N3695" s="954">
        <f>SUM(N3679:N3694)</f>
        <v>70500000</v>
      </c>
      <c r="O3695" s="644"/>
      <c r="P3695" s="969">
        <f>SUM(P3679:P3686)</f>
        <v>202406000</v>
      </c>
      <c r="Q3695" s="969"/>
      <c r="R3695" s="969">
        <f>SUM(R3679:R3694)</f>
        <v>201490000</v>
      </c>
      <c r="S3695" s="48"/>
      <c r="T3695" s="1178">
        <f>SUM(T3679:T3694)</f>
        <v>800</v>
      </c>
      <c r="U3695" s="48"/>
      <c r="V3695" s="878">
        <f>SUM(V3679:V3694)</f>
        <v>0</v>
      </c>
    </row>
    <row r="3696" spans="7:22">
      <c r="T3696" s="1275"/>
    </row>
    <row r="3697" spans="7:22">
      <c r="T3697" s="1275"/>
    </row>
    <row r="3698" spans="7:22">
      <c r="R3698" s="661"/>
      <c r="T3698" s="1275"/>
    </row>
    <row r="3699" spans="7:22">
      <c r="T3699" s="1275"/>
    </row>
    <row r="3700" spans="7:22">
      <c r="T3700" s="1275"/>
    </row>
    <row r="3701" spans="7:22">
      <c r="I3701" s="946"/>
      <c r="M3701" s="1533" t="s">
        <v>3699</v>
      </c>
      <c r="O3701" s="1535" t="s">
        <v>3741</v>
      </c>
      <c r="P3701" s="1512">
        <f>P3695-R3695</f>
        <v>916000</v>
      </c>
      <c r="S3701" s="906" t="s">
        <v>4049</v>
      </c>
      <c r="T3701" s="1107">
        <f>T3695-V3695</f>
        <v>800</v>
      </c>
    </row>
    <row r="3702" spans="7:22">
      <c r="G3702" s="1574" t="s">
        <v>3530</v>
      </c>
      <c r="H3702" s="1574"/>
      <c r="I3702" s="1574"/>
      <c r="J3702" s="3">
        <f>J3695+L3695</f>
        <v>23920000</v>
      </c>
      <c r="K3702" s="1009"/>
      <c r="L3702" s="3"/>
      <c r="M3702" s="1533" t="s">
        <v>3664</v>
      </c>
      <c r="N3702" s="1527"/>
      <c r="O3702" s="1535" t="s">
        <v>4066</v>
      </c>
      <c r="P3702" s="1512"/>
      <c r="T3702" s="1275"/>
    </row>
    <row r="3703" spans="7:22">
      <c r="G3703" s="1574" t="s">
        <v>3512</v>
      </c>
      <c r="H3703" s="1574"/>
      <c r="I3703" s="1574"/>
      <c r="J3703" s="3">
        <f>N3695-J3702</f>
        <v>46580000</v>
      </c>
      <c r="K3703" s="1009"/>
      <c r="L3703" s="3"/>
      <c r="M3703" s="1528"/>
      <c r="O3703" s="1529"/>
      <c r="Q3703" s="661"/>
      <c r="T3703" s="1275"/>
    </row>
    <row r="3704" spans="7:22">
      <c r="G3704" s="1574" t="s">
        <v>3531</v>
      </c>
      <c r="H3704" s="1574"/>
      <c r="I3704" s="1574"/>
      <c r="J3704" s="3">
        <f>T3701</f>
        <v>800</v>
      </c>
      <c r="Q3704" s="3"/>
      <c r="T3704" s="1275"/>
    </row>
    <row r="3705" spans="7:22">
      <c r="G3705" s="1564" t="s">
        <v>4455</v>
      </c>
      <c r="H3705" s="1564"/>
      <c r="I3705" s="1564"/>
      <c r="J3705" s="3">
        <f>+P3701</f>
        <v>916000</v>
      </c>
      <c r="R3705" s="3"/>
      <c r="T3705" s="1275"/>
    </row>
    <row r="3706" spans="7:22">
      <c r="T3706" s="1275"/>
    </row>
    <row r="3707" spans="7:22">
      <c r="T3707" s="1275"/>
    </row>
    <row r="3708" spans="7:22">
      <c r="T3708" s="1275"/>
    </row>
    <row r="3709" spans="7:22">
      <c r="T3709" s="1284"/>
    </row>
    <row r="3710" spans="7:22">
      <c r="G3710" s="1008">
        <v>46053</v>
      </c>
      <c r="H3710" s="1169"/>
      <c r="I3710" s="1575" t="s">
        <v>3510</v>
      </c>
      <c r="J3710" s="1576"/>
      <c r="K3710" s="1575" t="s">
        <v>3509</v>
      </c>
      <c r="L3710" s="1576"/>
      <c r="M3710" s="1575" t="s">
        <v>3541</v>
      </c>
      <c r="N3710" s="1576"/>
      <c r="O3710" s="1577" t="s">
        <v>3598</v>
      </c>
      <c r="P3710" s="1578"/>
      <c r="Q3710" s="1579" t="s">
        <v>3599</v>
      </c>
      <c r="R3710" s="1580"/>
      <c r="S3710" s="1583" t="s">
        <v>3953</v>
      </c>
      <c r="T3710" s="1583"/>
      <c r="U3710" s="1583" t="s">
        <v>3954</v>
      </c>
      <c r="V3710" s="1583"/>
    </row>
    <row r="3711" spans="7:22">
      <c r="G3711" s="1097"/>
      <c r="H3711" s="1261"/>
      <c r="I3711" s="1294" t="s">
        <v>4609</v>
      </c>
      <c r="J3711" s="49">
        <v>30360000</v>
      </c>
      <c r="K3711" s="1495" t="s">
        <v>4594</v>
      </c>
      <c r="L3711" s="49">
        <v>400000</v>
      </c>
      <c r="M3711" s="1495" t="s">
        <v>4485</v>
      </c>
      <c r="N3711" s="1495">
        <v>46000000</v>
      </c>
      <c r="O3711" s="1383"/>
      <c r="P3711" s="644"/>
      <c r="Q3711" s="1279"/>
      <c r="R3711" s="644"/>
      <c r="S3711" s="1223"/>
      <c r="T3711" s="1191"/>
      <c r="U3711" s="1232"/>
      <c r="V3711" s="48"/>
    </row>
    <row r="3712" spans="7:22">
      <c r="G3712" s="1098"/>
      <c r="H3712" s="1172"/>
      <c r="I3712" s="1295" t="s">
        <v>4612</v>
      </c>
      <c r="J3712" s="49">
        <v>70000000</v>
      </c>
      <c r="K3712" s="1495" t="s">
        <v>4610</v>
      </c>
      <c r="L3712" s="49">
        <f>1100*12100</f>
        <v>13310000</v>
      </c>
      <c r="M3712" s="1495" t="s">
        <v>4611</v>
      </c>
      <c r="N3712" s="49">
        <v>70000000</v>
      </c>
      <c r="O3712" s="1383" t="s">
        <v>4484</v>
      </c>
      <c r="P3712" s="644">
        <v>500000</v>
      </c>
      <c r="Q3712" s="1290"/>
      <c r="R3712" s="1290"/>
      <c r="S3712" s="1280" t="s">
        <v>4505</v>
      </c>
      <c r="T3712" s="1191">
        <v>2600</v>
      </c>
      <c r="U3712" s="48"/>
      <c r="V3712" s="49"/>
    </row>
    <row r="3713" spans="7:22">
      <c r="G3713" s="48"/>
      <c r="H3713" s="48"/>
      <c r="I3713" s="1289"/>
      <c r="J3713" s="49"/>
      <c r="K3713" s="1493" t="s">
        <v>986</v>
      </c>
      <c r="L3713" s="49">
        <v>1000000</v>
      </c>
      <c r="M3713" s="1495"/>
      <c r="N3713" s="49"/>
      <c r="O3713" s="1383"/>
      <c r="P3713" s="644"/>
      <c r="Q3713" s="1288"/>
      <c r="R3713" s="644"/>
      <c r="S3713" s="1287"/>
      <c r="T3713" s="1191"/>
      <c r="U3713" s="1287"/>
      <c r="V3713" s="1191"/>
    </row>
    <row r="3714" spans="7:22">
      <c r="G3714" s="48"/>
      <c r="H3714" s="48"/>
      <c r="I3714" s="1287"/>
      <c r="J3714" s="49"/>
      <c r="K3714" s="1495"/>
      <c r="L3714" s="49"/>
      <c r="M3714" s="1493"/>
      <c r="N3714" s="49"/>
      <c r="O3714" s="1383"/>
      <c r="P3714" s="644"/>
      <c r="Q3714" s="1288"/>
      <c r="R3714" s="644"/>
      <c r="S3714" s="1289"/>
      <c r="T3714" s="1285"/>
      <c r="U3714" s="1289"/>
      <c r="V3714" s="1285"/>
    </row>
    <row r="3715" spans="7:22">
      <c r="G3715" s="48"/>
      <c r="H3715" s="48"/>
      <c r="I3715" s="1289"/>
      <c r="J3715" s="49"/>
      <c r="K3715" s="1495"/>
      <c r="L3715" s="1495"/>
      <c r="M3715" s="1493"/>
      <c r="N3715" s="49"/>
      <c r="O3715" s="1383"/>
      <c r="P3715" s="644"/>
      <c r="Q3715" s="1288"/>
      <c r="R3715" s="644"/>
      <c r="S3715" s="48"/>
      <c r="T3715" s="1285"/>
      <c r="U3715" s="48"/>
      <c r="V3715" s="49"/>
    </row>
    <row r="3716" spans="7:22">
      <c r="G3716" s="48"/>
      <c r="H3716" s="48"/>
      <c r="I3716" s="1289"/>
      <c r="J3716" s="49"/>
      <c r="K3716" s="1495"/>
      <c r="L3716" s="49"/>
      <c r="M3716" s="1495"/>
      <c r="N3716" s="49"/>
      <c r="O3716" s="1383"/>
      <c r="P3716" s="644"/>
      <c r="Q3716" s="1288"/>
      <c r="R3716" s="644"/>
      <c r="S3716" s="48"/>
      <c r="T3716" s="1285"/>
      <c r="U3716" s="48"/>
      <c r="V3716" s="49"/>
    </row>
    <row r="3717" spans="7:22">
      <c r="G3717" s="48"/>
      <c r="H3717" s="48"/>
      <c r="I3717" s="1282"/>
      <c r="J3717" s="49"/>
      <c r="K3717" s="1495"/>
      <c r="L3717" s="49"/>
      <c r="M3717" s="1498"/>
      <c r="N3717" s="49"/>
      <c r="O3717" s="1383"/>
      <c r="P3717" s="644"/>
      <c r="Q3717" s="1290"/>
      <c r="R3717" s="644"/>
      <c r="S3717" s="48"/>
      <c r="T3717" s="1285"/>
      <c r="U3717" s="48"/>
      <c r="V3717" s="49"/>
    </row>
    <row r="3718" spans="7:22">
      <c r="G3718" s="48"/>
      <c r="H3718" s="48"/>
      <c r="I3718" s="1184"/>
      <c r="J3718" s="49"/>
      <c r="K3718" s="1532"/>
      <c r="L3718" s="49"/>
      <c r="M3718" s="1498"/>
      <c r="N3718" s="49"/>
      <c r="O3718" s="1383"/>
      <c r="P3718" s="644"/>
      <c r="Q3718" s="1291"/>
      <c r="R3718" s="644"/>
      <c r="S3718" s="48"/>
      <c r="T3718" s="1285"/>
      <c r="U3718" s="48"/>
      <c r="V3718" s="49"/>
    </row>
    <row r="3719" spans="7:22">
      <c r="G3719" s="48"/>
      <c r="H3719" s="48"/>
      <c r="I3719" s="48"/>
      <c r="J3719" s="49"/>
      <c r="K3719" s="1495"/>
      <c r="L3719" s="49"/>
      <c r="M3719" s="1498"/>
      <c r="N3719" s="49"/>
      <c r="O3719" s="644"/>
      <c r="P3719" s="644"/>
      <c r="Q3719" s="1290"/>
      <c r="R3719" s="644"/>
      <c r="S3719" s="48"/>
      <c r="T3719" s="1285"/>
      <c r="U3719" s="48"/>
      <c r="V3719" s="49"/>
    </row>
    <row r="3720" spans="7:22">
      <c r="G3720" s="48"/>
      <c r="H3720" s="48"/>
      <c r="I3720" s="48"/>
      <c r="J3720" s="49"/>
      <c r="K3720" s="1495"/>
      <c r="L3720" s="49"/>
      <c r="M3720" s="1498"/>
      <c r="N3720" s="49"/>
      <c r="O3720" s="644"/>
      <c r="P3720" s="644"/>
      <c r="Q3720" s="1290"/>
      <c r="R3720" s="644"/>
      <c r="S3720" s="48"/>
      <c r="T3720" s="1285"/>
      <c r="U3720" s="48"/>
      <c r="V3720" s="49"/>
    </row>
    <row r="3721" spans="7:22">
      <c r="G3721" s="48"/>
      <c r="H3721" s="48"/>
      <c r="I3721" s="48"/>
      <c r="J3721" s="49"/>
      <c r="K3721" s="1498"/>
      <c r="L3721" s="49"/>
      <c r="M3721" s="1498"/>
      <c r="N3721" s="49"/>
      <c r="O3721" s="644"/>
      <c r="P3721" s="644"/>
      <c r="Q3721" s="1290"/>
      <c r="R3721" s="644"/>
      <c r="S3721" s="48"/>
      <c r="T3721" s="1285"/>
      <c r="U3721" s="48"/>
      <c r="V3721" s="48"/>
    </row>
    <row r="3722" spans="7:22">
      <c r="G3722" s="48"/>
      <c r="H3722" s="48"/>
      <c r="I3722" s="48"/>
      <c r="J3722" s="49"/>
      <c r="K3722" s="1498"/>
      <c r="L3722" s="49"/>
      <c r="M3722" s="1498"/>
      <c r="N3722" s="49"/>
      <c r="O3722" s="644"/>
      <c r="P3722" s="644"/>
      <c r="Q3722" s="1290"/>
      <c r="R3722" s="644"/>
      <c r="S3722" s="48"/>
      <c r="T3722" s="1285"/>
      <c r="U3722" s="48"/>
      <c r="V3722" s="48"/>
    </row>
    <row r="3723" spans="7:22">
      <c r="G3723" s="48"/>
      <c r="H3723" s="48"/>
      <c r="I3723" s="48"/>
      <c r="J3723" s="49"/>
      <c r="K3723" s="1498"/>
      <c r="L3723" s="49"/>
      <c r="M3723" s="1498"/>
      <c r="N3723" s="49"/>
      <c r="O3723" s="644"/>
      <c r="P3723" s="644"/>
      <c r="Q3723" s="1290"/>
      <c r="R3723" s="644"/>
      <c r="S3723" s="48"/>
      <c r="T3723" s="1285"/>
      <c r="U3723" s="48"/>
      <c r="V3723" s="48"/>
    </row>
    <row r="3724" spans="7:22">
      <c r="G3724" s="48"/>
      <c r="H3724" s="48"/>
      <c r="I3724" s="48"/>
      <c r="J3724" s="49"/>
      <c r="K3724" s="1498"/>
      <c r="L3724" s="49"/>
      <c r="M3724" s="1498"/>
      <c r="N3724" s="49"/>
      <c r="O3724" s="644"/>
      <c r="P3724" s="644"/>
      <c r="Q3724" s="1290"/>
      <c r="R3724" s="644"/>
      <c r="S3724" s="48"/>
      <c r="T3724" s="1285"/>
      <c r="U3724" s="48"/>
      <c r="V3724" s="48"/>
    </row>
    <row r="3725" spans="7:22">
      <c r="G3725" s="48"/>
      <c r="H3725" s="48"/>
      <c r="I3725" s="48"/>
      <c r="J3725" s="49"/>
      <c r="K3725" s="1498"/>
      <c r="L3725" s="49"/>
      <c r="M3725" s="1498"/>
      <c r="N3725" s="49"/>
      <c r="O3725" s="644"/>
      <c r="P3725" s="644"/>
      <c r="Q3725" s="1290"/>
      <c r="R3725" s="644"/>
      <c r="S3725" s="48"/>
      <c r="T3725" s="1285"/>
      <c r="U3725" s="48"/>
      <c r="V3725" s="48"/>
    </row>
    <row r="3726" spans="7:22">
      <c r="G3726" s="48"/>
      <c r="H3726" s="48"/>
      <c r="I3726" s="48"/>
      <c r="J3726" s="49"/>
      <c r="K3726" s="49"/>
      <c r="L3726" s="49"/>
      <c r="M3726" s="1498"/>
      <c r="N3726" s="49"/>
      <c r="O3726" s="644"/>
      <c r="P3726" s="644"/>
      <c r="Q3726" s="1290"/>
      <c r="R3726" s="644"/>
      <c r="S3726" s="48"/>
      <c r="T3726" s="1285"/>
      <c r="U3726" s="48"/>
      <c r="V3726" s="48"/>
    </row>
    <row r="3727" spans="7:22">
      <c r="G3727" s="48"/>
      <c r="H3727" s="48"/>
      <c r="I3727" s="48"/>
      <c r="J3727" s="954">
        <f>SUM(J3711:J3719)</f>
        <v>100360000</v>
      </c>
      <c r="K3727" s="954"/>
      <c r="L3727" s="954">
        <f>SUM(L3711:L3726)</f>
        <v>14710000</v>
      </c>
      <c r="M3727" s="1498"/>
      <c r="N3727" s="954">
        <f>SUM(N3711:N3726)</f>
        <v>116000000</v>
      </c>
      <c r="O3727" s="644"/>
      <c r="P3727" s="969">
        <f>SUM(P3711:P3718)</f>
        <v>500000</v>
      </c>
      <c r="Q3727" s="969"/>
      <c r="R3727" s="969">
        <f>SUM(R3711:R3726)</f>
        <v>0</v>
      </c>
      <c r="S3727" s="48"/>
      <c r="T3727" s="1178">
        <f>SUM(T3711:T3726)</f>
        <v>2600</v>
      </c>
      <c r="U3727" s="48"/>
      <c r="V3727" s="878">
        <f>SUM(V3711:V3726)</f>
        <v>0</v>
      </c>
    </row>
    <row r="3728" spans="7:22">
      <c r="T3728" s="1284"/>
    </row>
    <row r="3729" spans="7:22">
      <c r="T3729" s="1284"/>
    </row>
    <row r="3730" spans="7:22">
      <c r="R3730" s="661"/>
      <c r="T3730" s="1284"/>
    </row>
    <row r="3731" spans="7:22">
      <c r="T3731" s="1284"/>
    </row>
    <row r="3732" spans="7:22">
      <c r="T3732" s="1284"/>
    </row>
    <row r="3733" spans="7:22">
      <c r="I3733" s="946"/>
      <c r="M3733" s="1533" t="s">
        <v>3699</v>
      </c>
      <c r="O3733" s="1535" t="s">
        <v>3741</v>
      </c>
      <c r="P3733" s="1512">
        <f>P3727-R3727</f>
        <v>500000</v>
      </c>
      <c r="S3733" s="906" t="s">
        <v>4049</v>
      </c>
      <c r="T3733" s="1107">
        <f>T3727-V3727</f>
        <v>2600</v>
      </c>
    </row>
    <row r="3734" spans="7:22">
      <c r="G3734" s="1574" t="s">
        <v>3530</v>
      </c>
      <c r="H3734" s="1574"/>
      <c r="I3734" s="1574"/>
      <c r="J3734" s="3">
        <f>J3727+L3727</f>
        <v>115070000</v>
      </c>
      <c r="K3734" s="1009"/>
      <c r="L3734" s="3"/>
      <c r="M3734" s="1533" t="s">
        <v>3664</v>
      </c>
      <c r="N3734" s="1527"/>
      <c r="O3734" s="1535" t="s">
        <v>4066</v>
      </c>
      <c r="P3734" s="1512"/>
      <c r="T3734" s="1284"/>
    </row>
    <row r="3735" spans="7:22">
      <c r="G3735" s="1574" t="s">
        <v>3512</v>
      </c>
      <c r="H3735" s="1574"/>
      <c r="I3735" s="1574"/>
      <c r="J3735" s="3">
        <f>N3727-J3734</f>
        <v>930000</v>
      </c>
      <c r="K3735" s="1009"/>
      <c r="L3735" s="3"/>
      <c r="M3735" s="1528"/>
      <c r="O3735" s="1529"/>
      <c r="Q3735" s="661"/>
      <c r="T3735" s="1284"/>
    </row>
    <row r="3736" spans="7:22">
      <c r="G3736" s="1574" t="s">
        <v>3531</v>
      </c>
      <c r="H3736" s="1574"/>
      <c r="I3736" s="1574"/>
      <c r="J3736" s="3">
        <f>T3733</f>
        <v>2600</v>
      </c>
      <c r="Q3736" s="3"/>
      <c r="T3736" s="1284"/>
    </row>
    <row r="3737" spans="7:22">
      <c r="G3737" s="1564" t="s">
        <v>4455</v>
      </c>
      <c r="H3737" s="1564"/>
      <c r="I3737" s="1564"/>
      <c r="J3737" s="3">
        <f>+P3733</f>
        <v>500000</v>
      </c>
      <c r="R3737" s="3"/>
      <c r="T3737" s="1284"/>
    </row>
    <row r="3738" spans="7:22">
      <c r="T3738" s="1284"/>
    </row>
    <row r="3740" spans="7:22">
      <c r="T3740" s="1284"/>
    </row>
    <row r="3741" spans="7:22">
      <c r="T3741" s="1284"/>
    </row>
    <row r="3742" spans="7:22">
      <c r="G3742" s="1008">
        <v>46055</v>
      </c>
      <c r="H3742" s="1169"/>
      <c r="I3742" s="1575" t="s">
        <v>3510</v>
      </c>
      <c r="J3742" s="1576"/>
      <c r="K3742" s="1575" t="s">
        <v>3509</v>
      </c>
      <c r="L3742" s="1576"/>
      <c r="M3742" s="1575" t="s">
        <v>3541</v>
      </c>
      <c r="N3742" s="1576"/>
      <c r="O3742" s="1577" t="s">
        <v>3598</v>
      </c>
      <c r="P3742" s="1578"/>
      <c r="Q3742" s="1579" t="s">
        <v>3599</v>
      </c>
      <c r="R3742" s="1580"/>
      <c r="S3742" s="1583" t="s">
        <v>3953</v>
      </c>
      <c r="T3742" s="1583"/>
      <c r="U3742" s="1583" t="s">
        <v>3954</v>
      </c>
      <c r="V3742" s="1583"/>
    </row>
    <row r="3743" spans="7:22">
      <c r="G3743" s="1097"/>
      <c r="H3743" s="1261"/>
      <c r="I3743" s="1294" t="s">
        <v>4614</v>
      </c>
      <c r="J3743" s="49">
        <v>18400000</v>
      </c>
      <c r="K3743" s="1495" t="s">
        <v>4615</v>
      </c>
      <c r="L3743" s="49">
        <v>1000000</v>
      </c>
      <c r="M3743" s="1495" t="s">
        <v>4613</v>
      </c>
      <c r="N3743" s="1495">
        <v>422000000</v>
      </c>
      <c r="O3743" s="1383"/>
      <c r="P3743" s="644"/>
      <c r="Q3743" s="1279"/>
      <c r="R3743" s="644"/>
      <c r="S3743" s="1223"/>
      <c r="T3743" s="1191"/>
      <c r="U3743" s="1232"/>
      <c r="V3743" s="48"/>
    </row>
    <row r="3744" spans="7:22">
      <c r="G3744" s="1098"/>
      <c r="H3744" s="1172"/>
      <c r="I3744" s="1295"/>
      <c r="J3744" s="49"/>
      <c r="K3744" s="1495" t="s">
        <v>4616</v>
      </c>
      <c r="L3744" s="49">
        <v>800000</v>
      </c>
      <c r="M3744" s="1495"/>
      <c r="N3744" s="49"/>
      <c r="O3744" s="1383"/>
      <c r="P3744" s="644"/>
      <c r="Q3744" s="1290"/>
      <c r="R3744" s="1290"/>
      <c r="S3744" s="1296" t="s">
        <v>4613</v>
      </c>
      <c r="T3744" s="1191">
        <v>0</v>
      </c>
      <c r="U3744" s="48"/>
      <c r="V3744" s="49"/>
    </row>
    <row r="3745" spans="7:22">
      <c r="G3745" s="48"/>
      <c r="H3745" s="48"/>
      <c r="I3745" s="1289"/>
      <c r="J3745" s="49"/>
      <c r="K3745" s="1493" t="s">
        <v>4541</v>
      </c>
      <c r="L3745" s="49">
        <v>2000000</v>
      </c>
      <c r="M3745" s="1495"/>
      <c r="N3745" s="49"/>
      <c r="O3745" s="1383"/>
      <c r="P3745" s="644"/>
      <c r="Q3745" s="1288"/>
      <c r="R3745" s="644"/>
      <c r="S3745" s="1287"/>
      <c r="T3745" s="1191"/>
      <c r="U3745" s="1287"/>
      <c r="V3745" s="1191"/>
    </row>
    <row r="3746" spans="7:22">
      <c r="G3746" s="48"/>
      <c r="H3746" s="48"/>
      <c r="I3746" s="1287"/>
      <c r="J3746" s="49"/>
      <c r="K3746" s="1495" t="s">
        <v>4439</v>
      </c>
      <c r="L3746" s="49">
        <f>3000000+120000</f>
        <v>3120000</v>
      </c>
      <c r="M3746" s="1493"/>
      <c r="N3746" s="49"/>
      <c r="O3746" s="1383"/>
      <c r="P3746" s="644"/>
      <c r="Q3746" s="1288"/>
      <c r="R3746" s="644"/>
      <c r="S3746" s="1289"/>
      <c r="T3746" s="1285"/>
      <c r="U3746" s="1289"/>
      <c r="V3746" s="1285"/>
    </row>
    <row r="3747" spans="7:22">
      <c r="G3747" s="48"/>
      <c r="H3747" s="48"/>
      <c r="I3747" s="1289"/>
      <c r="J3747" s="49"/>
      <c r="K3747" s="1495" t="s">
        <v>4455</v>
      </c>
      <c r="L3747" s="1495">
        <v>1700000</v>
      </c>
      <c r="M3747" s="1493"/>
      <c r="N3747" s="49"/>
      <c r="O3747" s="1383"/>
      <c r="P3747" s="644"/>
      <c r="Q3747" s="1288"/>
      <c r="R3747" s="644"/>
      <c r="S3747" s="48"/>
      <c r="T3747" s="1285"/>
      <c r="U3747" s="48"/>
      <c r="V3747" s="49"/>
    </row>
    <row r="3748" spans="7:22">
      <c r="G3748" s="48"/>
      <c r="H3748" s="48"/>
      <c r="I3748" s="1289"/>
      <c r="J3748" s="49"/>
      <c r="K3748" s="1495" t="s">
        <v>4617</v>
      </c>
      <c r="L3748" s="49">
        <v>15000000</v>
      </c>
      <c r="M3748" s="1495"/>
      <c r="N3748" s="49"/>
      <c r="O3748" s="1383"/>
      <c r="P3748" s="644"/>
      <c r="Q3748" s="1288"/>
      <c r="R3748" s="644"/>
      <c r="S3748" s="48"/>
      <c r="T3748" s="1285"/>
      <c r="U3748" s="48"/>
      <c r="V3748" s="49"/>
    </row>
    <row r="3749" spans="7:22">
      <c r="G3749" s="48"/>
      <c r="H3749" s="48"/>
      <c r="I3749" s="1282"/>
      <c r="J3749" s="49"/>
      <c r="K3749" s="1495" t="s">
        <v>4618</v>
      </c>
      <c r="L3749" s="49">
        <v>100000</v>
      </c>
      <c r="M3749" s="1498"/>
      <c r="N3749" s="49"/>
      <c r="O3749" s="1383"/>
      <c r="P3749" s="644"/>
      <c r="Q3749" s="1290"/>
      <c r="R3749" s="644"/>
      <c r="S3749" s="48"/>
      <c r="T3749" s="1285"/>
      <c r="U3749" s="48"/>
      <c r="V3749" s="49"/>
    </row>
    <row r="3750" spans="7:22">
      <c r="G3750" s="48"/>
      <c r="H3750" s="48"/>
      <c r="I3750" s="1184"/>
      <c r="J3750" s="49"/>
      <c r="K3750" s="1532" t="s">
        <v>4473</v>
      </c>
      <c r="L3750" s="49">
        <v>150000</v>
      </c>
      <c r="M3750" s="1498"/>
      <c r="N3750" s="49"/>
      <c r="O3750" s="1383"/>
      <c r="P3750" s="644"/>
      <c r="Q3750" s="1291"/>
      <c r="R3750" s="644"/>
      <c r="S3750" s="48"/>
      <c r="T3750" s="1285"/>
      <c r="U3750" s="48"/>
      <c r="V3750" s="49"/>
    </row>
    <row r="3751" spans="7:22">
      <c r="G3751" s="48"/>
      <c r="H3751" s="48"/>
      <c r="I3751" s="48"/>
      <c r="J3751" s="49"/>
      <c r="K3751" s="1495" t="s">
        <v>4619</v>
      </c>
      <c r="L3751" s="49">
        <v>4000000</v>
      </c>
      <c r="M3751" s="1498"/>
      <c r="N3751" s="49"/>
      <c r="O3751" s="644"/>
      <c r="P3751" s="644"/>
      <c r="Q3751" s="1290"/>
      <c r="R3751" s="644"/>
      <c r="S3751" s="48"/>
      <c r="T3751" s="1285"/>
      <c r="U3751" s="48"/>
      <c r="V3751" s="49"/>
    </row>
    <row r="3752" spans="7:22">
      <c r="G3752" s="48"/>
      <c r="H3752" s="48"/>
      <c r="I3752" s="48"/>
      <c r="J3752" s="49"/>
      <c r="K3752" s="1495" t="s">
        <v>4620</v>
      </c>
      <c r="L3752" s="49">
        <v>400000</v>
      </c>
      <c r="M3752" s="1498"/>
      <c r="N3752" s="49"/>
      <c r="O3752" s="644"/>
      <c r="P3752" s="644"/>
      <c r="Q3752" s="1290"/>
      <c r="R3752" s="644"/>
      <c r="S3752" s="48"/>
      <c r="T3752" s="1285"/>
      <c r="U3752" s="48"/>
      <c r="V3752" s="49"/>
    </row>
    <row r="3753" spans="7:22">
      <c r="G3753" s="48"/>
      <c r="H3753" s="48"/>
      <c r="I3753" s="48"/>
      <c r="J3753" s="49"/>
      <c r="K3753" s="1495" t="s">
        <v>4621</v>
      </c>
      <c r="L3753" s="49">
        <v>6000000</v>
      </c>
      <c r="M3753" s="1498"/>
      <c r="N3753" s="49"/>
      <c r="O3753" s="644"/>
      <c r="P3753" s="644"/>
      <c r="Q3753" s="1290"/>
      <c r="R3753" s="644"/>
      <c r="S3753" s="48"/>
      <c r="T3753" s="1285"/>
      <c r="U3753" s="48"/>
      <c r="V3753" s="48"/>
    </row>
    <row r="3754" spans="7:22">
      <c r="G3754" s="48"/>
      <c r="H3754" s="48"/>
      <c r="I3754" s="48"/>
      <c r="J3754" s="49"/>
      <c r="K3754" s="1498"/>
      <c r="L3754" s="49"/>
      <c r="M3754" s="1498"/>
      <c r="N3754" s="49"/>
      <c r="O3754" s="644"/>
      <c r="P3754" s="644"/>
      <c r="Q3754" s="1290"/>
      <c r="R3754" s="644"/>
      <c r="S3754" s="48"/>
      <c r="T3754" s="1285"/>
      <c r="U3754" s="48"/>
      <c r="V3754" s="48"/>
    </row>
    <row r="3755" spans="7:22">
      <c r="G3755" s="48"/>
      <c r="H3755" s="48"/>
      <c r="I3755" s="48"/>
      <c r="J3755" s="49"/>
      <c r="K3755" s="1498"/>
      <c r="L3755" s="49"/>
      <c r="M3755" s="1498"/>
      <c r="N3755" s="49"/>
      <c r="O3755" s="644"/>
      <c r="P3755" s="644"/>
      <c r="Q3755" s="1290"/>
      <c r="R3755" s="644"/>
      <c r="S3755" s="48"/>
      <c r="T3755" s="1285"/>
      <c r="U3755" s="48"/>
      <c r="V3755" s="48"/>
    </row>
    <row r="3756" spans="7:22">
      <c r="G3756" s="48"/>
      <c r="H3756" s="48"/>
      <c r="I3756" s="48"/>
      <c r="J3756" s="49"/>
      <c r="K3756" s="1498"/>
      <c r="L3756" s="49"/>
      <c r="M3756" s="1498"/>
      <c r="N3756" s="49"/>
      <c r="O3756" s="644"/>
      <c r="P3756" s="644"/>
      <c r="Q3756" s="1290"/>
      <c r="R3756" s="644"/>
      <c r="S3756" s="48"/>
      <c r="T3756" s="1285"/>
      <c r="U3756" s="48"/>
      <c r="V3756" s="48"/>
    </row>
    <row r="3757" spans="7:22">
      <c r="G3757" s="48"/>
      <c r="H3757" s="48"/>
      <c r="I3757" s="48"/>
      <c r="J3757" s="49"/>
      <c r="K3757" s="1498"/>
      <c r="L3757" s="49"/>
      <c r="M3757" s="1498"/>
      <c r="N3757" s="49"/>
      <c r="O3757" s="644"/>
      <c r="P3757" s="644"/>
      <c r="Q3757" s="1290"/>
      <c r="R3757" s="644"/>
      <c r="S3757" s="48"/>
      <c r="T3757" s="1285"/>
      <c r="U3757" s="48"/>
      <c r="V3757" s="48"/>
    </row>
    <row r="3758" spans="7:22">
      <c r="G3758" s="48"/>
      <c r="H3758" s="48"/>
      <c r="I3758" s="48"/>
      <c r="J3758" s="49"/>
      <c r="K3758" s="49"/>
      <c r="L3758" s="49"/>
      <c r="M3758" s="1498"/>
      <c r="N3758" s="49"/>
      <c r="O3758" s="644"/>
      <c r="P3758" s="644"/>
      <c r="Q3758" s="1290"/>
      <c r="R3758" s="644"/>
      <c r="S3758" s="48"/>
      <c r="T3758" s="1285"/>
      <c r="U3758" s="48"/>
      <c r="V3758" s="48"/>
    </row>
    <row r="3759" spans="7:22">
      <c r="G3759" s="48"/>
      <c r="H3759" s="48"/>
      <c r="I3759" s="48"/>
      <c r="J3759" s="954">
        <f>SUM(J3743:J3751)</f>
        <v>18400000</v>
      </c>
      <c r="K3759" s="954"/>
      <c r="L3759" s="954">
        <f>SUM(L3743:L3758)</f>
        <v>34270000</v>
      </c>
      <c r="M3759" s="1498"/>
      <c r="N3759" s="954">
        <f>SUM(N3743:N3758)</f>
        <v>422000000</v>
      </c>
      <c r="O3759" s="644"/>
      <c r="P3759" s="969">
        <f>SUM(P3743:P3750)</f>
        <v>0</v>
      </c>
      <c r="Q3759" s="969"/>
      <c r="R3759" s="969">
        <f>SUM(R3743:R3758)</f>
        <v>0</v>
      </c>
      <c r="S3759" s="48"/>
      <c r="T3759" s="1178">
        <f>SUM(T3743:T3758)</f>
        <v>0</v>
      </c>
      <c r="U3759" s="48"/>
      <c r="V3759" s="878">
        <f>SUM(V3743:V3758)</f>
        <v>0</v>
      </c>
    </row>
    <row r="3760" spans="7:22">
      <c r="T3760" s="1284"/>
    </row>
    <row r="3761" spans="7:22">
      <c r="T3761" s="1284"/>
    </row>
    <row r="3762" spans="7:22">
      <c r="R3762" s="661"/>
      <c r="T3762" s="1284"/>
    </row>
    <row r="3763" spans="7:22">
      <c r="T3763" s="1284"/>
    </row>
    <row r="3764" spans="7:22">
      <c r="T3764" s="1284"/>
    </row>
    <row r="3765" spans="7:22">
      <c r="I3765" s="946"/>
      <c r="M3765" s="1533" t="s">
        <v>3699</v>
      </c>
      <c r="O3765" s="1535" t="s">
        <v>3741</v>
      </c>
      <c r="P3765" s="1512">
        <f>P3759-R3759</f>
        <v>0</v>
      </c>
      <c r="S3765" s="906" t="s">
        <v>4049</v>
      </c>
      <c r="T3765" s="1107">
        <f>T3759-V3759</f>
        <v>0</v>
      </c>
    </row>
    <row r="3766" spans="7:22">
      <c r="G3766" s="1574" t="s">
        <v>3530</v>
      </c>
      <c r="H3766" s="1574"/>
      <c r="I3766" s="1574"/>
      <c r="J3766" s="3">
        <f>J3759+L3759</f>
        <v>52670000</v>
      </c>
      <c r="K3766" s="1009"/>
      <c r="L3766" s="3"/>
      <c r="M3766" s="1533" t="s">
        <v>3664</v>
      </c>
      <c r="N3766" s="1527"/>
      <c r="O3766" s="1535" t="s">
        <v>4066</v>
      </c>
      <c r="P3766" s="1512"/>
      <c r="T3766" s="1284"/>
    </row>
    <row r="3767" spans="7:22">
      <c r="G3767" s="1574" t="s">
        <v>3512</v>
      </c>
      <c r="H3767" s="1574"/>
      <c r="I3767" s="1574"/>
      <c r="J3767" s="3">
        <f>N3759-J3766</f>
        <v>369330000</v>
      </c>
      <c r="K3767" s="1009"/>
      <c r="L3767" s="3"/>
      <c r="M3767" s="1528"/>
      <c r="O3767" s="1529"/>
      <c r="Q3767" s="661"/>
      <c r="T3767" s="1284"/>
    </row>
    <row r="3768" spans="7:22">
      <c r="G3768" s="1574" t="s">
        <v>3531</v>
      </c>
      <c r="H3768" s="1574"/>
      <c r="I3768" s="1574"/>
      <c r="J3768" s="3">
        <f>T3765</f>
        <v>0</v>
      </c>
      <c r="Q3768" s="3"/>
      <c r="T3768" s="1284"/>
    </row>
    <row r="3769" spans="7:22">
      <c r="G3769" s="1564" t="s">
        <v>4455</v>
      </c>
      <c r="H3769" s="1564"/>
      <c r="I3769" s="1564"/>
      <c r="J3769" s="3">
        <f>+P3765</f>
        <v>0</v>
      </c>
      <c r="R3769" s="3"/>
      <c r="T3769" s="1284"/>
    </row>
    <row r="3770" spans="7:22">
      <c r="T3770" s="1284"/>
    </row>
    <row r="3771" spans="7:22">
      <c r="T3771" s="1284"/>
    </row>
    <row r="3772" spans="7:22">
      <c r="T3772" s="1284"/>
    </row>
    <row r="3773" spans="7:22">
      <c r="T3773" s="1284"/>
    </row>
    <row r="3774" spans="7:22">
      <c r="G3774" s="1008">
        <v>46056</v>
      </c>
      <c r="H3774" s="1169"/>
      <c r="I3774" s="1575" t="s">
        <v>3510</v>
      </c>
      <c r="J3774" s="1576"/>
      <c r="K3774" s="1575" t="s">
        <v>3509</v>
      </c>
      <c r="L3774" s="1576"/>
      <c r="M3774" s="1575" t="s">
        <v>3541</v>
      </c>
      <c r="N3774" s="1576"/>
      <c r="O3774" s="1577" t="s">
        <v>3598</v>
      </c>
      <c r="P3774" s="1578"/>
      <c r="Q3774" s="1579" t="s">
        <v>3599</v>
      </c>
      <c r="R3774" s="1580"/>
      <c r="S3774" s="1583" t="s">
        <v>3953</v>
      </c>
      <c r="T3774" s="1583"/>
      <c r="U3774" s="1583" t="s">
        <v>3954</v>
      </c>
      <c r="V3774" s="1583"/>
    </row>
    <row r="3775" spans="7:22">
      <c r="G3775" s="1097"/>
      <c r="H3775" s="1261"/>
      <c r="I3775" s="1294" t="s">
        <v>4622</v>
      </c>
      <c r="J3775" s="49">
        <v>34000000</v>
      </c>
      <c r="K3775" s="1495" t="s">
        <v>4507</v>
      </c>
      <c r="L3775" s="49">
        <v>40000000</v>
      </c>
      <c r="M3775" s="1495" t="s">
        <v>4613</v>
      </c>
      <c r="N3775" s="1495">
        <v>169000000</v>
      </c>
      <c r="O3775" s="1383"/>
      <c r="P3775" s="644"/>
      <c r="Q3775" s="1279"/>
      <c r="R3775" s="644"/>
      <c r="S3775" s="1223"/>
      <c r="T3775" s="1191"/>
      <c r="U3775" s="1232"/>
      <c r="V3775" s="48"/>
    </row>
    <row r="3776" spans="7:22">
      <c r="G3776" s="1098"/>
      <c r="H3776" s="1172"/>
      <c r="I3776" s="1295"/>
      <c r="J3776" s="49"/>
      <c r="K3776" s="1495"/>
      <c r="L3776" s="49"/>
      <c r="M3776" s="1495" t="s">
        <v>4623</v>
      </c>
      <c r="N3776" s="49">
        <v>1000000</v>
      </c>
      <c r="O3776" s="1383"/>
      <c r="P3776" s="644"/>
      <c r="Q3776" s="1290"/>
      <c r="R3776" s="1290"/>
      <c r="S3776" s="1296" t="s">
        <v>4613</v>
      </c>
      <c r="T3776" s="1191">
        <v>0</v>
      </c>
      <c r="U3776" s="48"/>
      <c r="V3776" s="49"/>
    </row>
    <row r="3777" spans="7:22">
      <c r="G3777" s="48"/>
      <c r="H3777" s="48"/>
      <c r="I3777" s="1289"/>
      <c r="J3777" s="49"/>
      <c r="K3777" s="1493"/>
      <c r="L3777" s="49"/>
      <c r="M3777" s="1495" t="s">
        <v>4624</v>
      </c>
      <c r="N3777" s="49">
        <v>2500000</v>
      </c>
      <c r="O3777" s="1383"/>
      <c r="P3777" s="644"/>
      <c r="Q3777" s="1288"/>
      <c r="R3777" s="644"/>
      <c r="S3777" s="1287"/>
      <c r="T3777" s="1191"/>
      <c r="U3777" s="1287"/>
      <c r="V3777" s="1191"/>
    </row>
    <row r="3778" spans="7:22">
      <c r="G3778" s="48"/>
      <c r="H3778" s="48"/>
      <c r="I3778" s="1287"/>
      <c r="J3778" s="49"/>
      <c r="K3778" s="1495"/>
      <c r="L3778" s="49"/>
      <c r="M3778" s="1493" t="s">
        <v>4625</v>
      </c>
      <c r="N3778" s="49">
        <v>1060000</v>
      </c>
      <c r="O3778" s="1383"/>
      <c r="P3778" s="644"/>
      <c r="Q3778" s="1288"/>
      <c r="R3778" s="644"/>
      <c r="S3778" s="1289"/>
      <c r="T3778" s="1285"/>
      <c r="U3778" s="1289"/>
      <c r="V3778" s="1285"/>
    </row>
    <row r="3779" spans="7:22">
      <c r="G3779" s="48"/>
      <c r="H3779" s="48"/>
      <c r="I3779" s="1289"/>
      <c r="J3779" s="49"/>
      <c r="K3779" s="1495"/>
      <c r="L3779" s="1495"/>
      <c r="M3779" s="1493" t="s">
        <v>4626</v>
      </c>
      <c r="N3779" s="49">
        <v>11000000</v>
      </c>
      <c r="O3779" s="1383"/>
      <c r="P3779" s="644"/>
      <c r="Q3779" s="1288"/>
      <c r="R3779" s="644"/>
      <c r="S3779" s="48"/>
      <c r="T3779" s="1285"/>
      <c r="U3779" s="48"/>
      <c r="V3779" s="49"/>
    </row>
    <row r="3780" spans="7:22">
      <c r="G3780" s="48"/>
      <c r="H3780" s="48"/>
      <c r="I3780" s="1289"/>
      <c r="J3780" s="49"/>
      <c r="K3780" s="1495"/>
      <c r="L3780" s="49"/>
      <c r="M3780" s="1495"/>
      <c r="N3780" s="49"/>
      <c r="O3780" s="1383"/>
      <c r="P3780" s="644"/>
      <c r="Q3780" s="1288"/>
      <c r="R3780" s="644"/>
      <c r="S3780" s="48"/>
      <c r="T3780" s="1285"/>
      <c r="U3780" s="48"/>
      <c r="V3780" s="49"/>
    </row>
    <row r="3781" spans="7:22">
      <c r="G3781" s="48"/>
      <c r="H3781" s="48"/>
      <c r="I3781" s="1282"/>
      <c r="J3781" s="49"/>
      <c r="K3781" s="1495"/>
      <c r="L3781" s="49"/>
      <c r="M3781" s="1498"/>
      <c r="N3781" s="49"/>
      <c r="O3781" s="1383"/>
      <c r="P3781" s="644"/>
      <c r="Q3781" s="1290"/>
      <c r="R3781" s="644"/>
      <c r="S3781" s="48"/>
      <c r="T3781" s="1285"/>
      <c r="U3781" s="48"/>
      <c r="V3781" s="49"/>
    </row>
    <row r="3782" spans="7:22">
      <c r="G3782" s="48"/>
      <c r="H3782" s="48"/>
      <c r="I3782" s="1184"/>
      <c r="J3782" s="49"/>
      <c r="K3782" s="1532"/>
      <c r="L3782" s="49"/>
      <c r="M3782" s="1498"/>
      <c r="N3782" s="49"/>
      <c r="O3782" s="1383"/>
      <c r="P3782" s="644"/>
      <c r="Q3782" s="1291"/>
      <c r="R3782" s="644"/>
      <c r="S3782" s="48"/>
      <c r="T3782" s="1285"/>
      <c r="U3782" s="48"/>
      <c r="V3782" s="49"/>
    </row>
    <row r="3783" spans="7:22">
      <c r="G3783" s="48"/>
      <c r="H3783" s="48"/>
      <c r="I3783" s="48"/>
      <c r="J3783" s="49"/>
      <c r="K3783" s="1495"/>
      <c r="L3783" s="49"/>
      <c r="M3783" s="1498"/>
      <c r="N3783" s="49"/>
      <c r="O3783" s="644"/>
      <c r="P3783" s="644"/>
      <c r="Q3783" s="1290"/>
      <c r="R3783" s="644"/>
      <c r="S3783" s="48"/>
      <c r="T3783" s="1285"/>
      <c r="U3783" s="48"/>
      <c r="V3783" s="49"/>
    </row>
    <row r="3784" spans="7:22">
      <c r="G3784" s="48"/>
      <c r="H3784" s="48"/>
      <c r="I3784" s="48"/>
      <c r="J3784" s="49"/>
      <c r="K3784" s="1495"/>
      <c r="L3784" s="49"/>
      <c r="M3784" s="1498"/>
      <c r="N3784" s="49"/>
      <c r="O3784" s="644"/>
      <c r="P3784" s="644"/>
      <c r="Q3784" s="1290"/>
      <c r="R3784" s="644"/>
      <c r="S3784" s="48"/>
      <c r="T3784" s="1285"/>
      <c r="U3784" s="48"/>
      <c r="V3784" s="49"/>
    </row>
    <row r="3785" spans="7:22">
      <c r="G3785" s="48"/>
      <c r="H3785" s="48"/>
      <c r="I3785" s="48"/>
      <c r="J3785" s="49"/>
      <c r="K3785" s="1495"/>
      <c r="L3785" s="49"/>
      <c r="M3785" s="1498"/>
      <c r="N3785" s="49"/>
      <c r="O3785" s="644"/>
      <c r="P3785" s="644"/>
      <c r="Q3785" s="1290"/>
      <c r="R3785" s="644"/>
      <c r="S3785" s="48"/>
      <c r="T3785" s="1285"/>
      <c r="U3785" s="48"/>
      <c r="V3785" s="48"/>
    </row>
    <row r="3786" spans="7:22">
      <c r="G3786" s="48"/>
      <c r="H3786" s="48"/>
      <c r="I3786" s="48"/>
      <c r="J3786" s="49"/>
      <c r="K3786" s="1498"/>
      <c r="L3786" s="49"/>
      <c r="M3786" s="1498"/>
      <c r="N3786" s="49"/>
      <c r="O3786" s="644"/>
      <c r="P3786" s="644"/>
      <c r="Q3786" s="1290"/>
      <c r="R3786" s="644"/>
      <c r="S3786" s="48"/>
      <c r="T3786" s="1285"/>
      <c r="U3786" s="48"/>
      <c r="V3786" s="48"/>
    </row>
    <row r="3787" spans="7:22">
      <c r="G3787" s="48"/>
      <c r="H3787" s="48"/>
      <c r="I3787" s="48"/>
      <c r="J3787" s="49"/>
      <c r="K3787" s="1498"/>
      <c r="L3787" s="49"/>
      <c r="M3787" s="1498"/>
      <c r="N3787" s="49"/>
      <c r="O3787" s="644"/>
      <c r="P3787" s="644"/>
      <c r="Q3787" s="1290"/>
      <c r="R3787" s="644"/>
      <c r="S3787" s="48"/>
      <c r="T3787" s="1285"/>
      <c r="U3787" s="48"/>
      <c r="V3787" s="48"/>
    </row>
    <row r="3788" spans="7:22">
      <c r="G3788" s="48"/>
      <c r="H3788" s="48"/>
      <c r="I3788" s="48"/>
      <c r="J3788" s="49"/>
      <c r="K3788" s="1498"/>
      <c r="L3788" s="49"/>
      <c r="M3788" s="1498"/>
      <c r="N3788" s="49"/>
      <c r="O3788" s="644"/>
      <c r="P3788" s="644"/>
      <c r="Q3788" s="1290"/>
      <c r="R3788" s="644"/>
      <c r="S3788" s="48"/>
      <c r="T3788" s="1285"/>
      <c r="U3788" s="48"/>
      <c r="V3788" s="48"/>
    </row>
    <row r="3789" spans="7:22">
      <c r="G3789" s="48"/>
      <c r="H3789" s="48"/>
      <c r="I3789" s="48"/>
      <c r="J3789" s="49"/>
      <c r="K3789" s="1498"/>
      <c r="L3789" s="49"/>
      <c r="M3789" s="1498"/>
      <c r="N3789" s="49"/>
      <c r="O3789" s="644"/>
      <c r="P3789" s="644"/>
      <c r="Q3789" s="1290"/>
      <c r="R3789" s="644"/>
      <c r="S3789" s="48"/>
      <c r="T3789" s="1285"/>
      <c r="U3789" s="48"/>
      <c r="V3789" s="48"/>
    </row>
    <row r="3790" spans="7:22">
      <c r="G3790" s="48"/>
      <c r="H3790" s="48"/>
      <c r="I3790" s="48"/>
      <c r="J3790" s="49"/>
      <c r="K3790" s="49"/>
      <c r="L3790" s="49"/>
      <c r="M3790" s="1498"/>
      <c r="N3790" s="49"/>
      <c r="O3790" s="644"/>
      <c r="P3790" s="644"/>
      <c r="Q3790" s="1290"/>
      <c r="R3790" s="644"/>
      <c r="S3790" s="48"/>
      <c r="T3790" s="1285"/>
      <c r="U3790" s="48"/>
      <c r="V3790" s="48"/>
    </row>
    <row r="3791" spans="7:22">
      <c r="G3791" s="48"/>
      <c r="H3791" s="48"/>
      <c r="I3791" s="48"/>
      <c r="J3791" s="954">
        <f>SUM(J3775:J3783)</f>
        <v>34000000</v>
      </c>
      <c r="K3791" s="954"/>
      <c r="L3791" s="954">
        <f>SUM(L3775:L3790)</f>
        <v>40000000</v>
      </c>
      <c r="M3791" s="1498"/>
      <c r="N3791" s="954">
        <f>SUM(N3775:N3790)</f>
        <v>184560000</v>
      </c>
      <c r="O3791" s="644"/>
      <c r="P3791" s="969">
        <f>SUM(P3775:P3782)</f>
        <v>0</v>
      </c>
      <c r="Q3791" s="969"/>
      <c r="R3791" s="969">
        <f>SUM(R3775:R3790)</f>
        <v>0</v>
      </c>
      <c r="S3791" s="48"/>
      <c r="T3791" s="1178">
        <f>SUM(T3775:T3790)</f>
        <v>0</v>
      </c>
      <c r="U3791" s="48"/>
      <c r="V3791" s="878">
        <f>SUM(V3775:V3790)</f>
        <v>0</v>
      </c>
    </row>
    <row r="3792" spans="7:22">
      <c r="T3792" s="1284"/>
    </row>
    <row r="3793" spans="7:20">
      <c r="T3793" s="1284"/>
    </row>
    <row r="3794" spans="7:20">
      <c r="R3794" s="661"/>
      <c r="T3794" s="1284"/>
    </row>
    <row r="3795" spans="7:20">
      <c r="T3795" s="1284"/>
    </row>
    <row r="3796" spans="7:20">
      <c r="T3796" s="1284"/>
    </row>
    <row r="3797" spans="7:20">
      <c r="I3797" s="946"/>
      <c r="M3797" s="1533" t="s">
        <v>3699</v>
      </c>
      <c r="O3797" s="1535" t="s">
        <v>3741</v>
      </c>
      <c r="P3797" s="1512">
        <f>P3791-R3791</f>
        <v>0</v>
      </c>
      <c r="S3797" s="906" t="s">
        <v>4049</v>
      </c>
      <c r="T3797" s="1107">
        <f>T3791-V3791</f>
        <v>0</v>
      </c>
    </row>
    <row r="3798" spans="7:20">
      <c r="G3798" s="1574" t="s">
        <v>3530</v>
      </c>
      <c r="H3798" s="1574"/>
      <c r="I3798" s="1574"/>
      <c r="J3798" s="3">
        <f>J3791+L3791</f>
        <v>74000000</v>
      </c>
      <c r="K3798" s="1009"/>
      <c r="L3798" s="3"/>
      <c r="M3798" s="1533" t="s">
        <v>3664</v>
      </c>
      <c r="N3798" s="1527"/>
      <c r="O3798" s="1535" t="s">
        <v>4066</v>
      </c>
      <c r="P3798" s="1512"/>
      <c r="T3798" s="1284"/>
    </row>
    <row r="3799" spans="7:20">
      <c r="G3799" s="1574" t="s">
        <v>3512</v>
      </c>
      <c r="H3799" s="1574"/>
      <c r="I3799" s="1574"/>
      <c r="J3799" s="3">
        <f>N3791-J3798</f>
        <v>110560000</v>
      </c>
      <c r="K3799" s="1009"/>
      <c r="L3799" s="3"/>
      <c r="M3799" s="1528"/>
      <c r="O3799" s="1529"/>
      <c r="Q3799" s="661"/>
      <c r="T3799" s="1284"/>
    </row>
    <row r="3800" spans="7:20">
      <c r="G3800" s="1574" t="s">
        <v>3531</v>
      </c>
      <c r="H3800" s="1574"/>
      <c r="I3800" s="1574"/>
      <c r="J3800" s="3">
        <f>T3797</f>
        <v>0</v>
      </c>
      <c r="Q3800" s="3"/>
      <c r="T3800" s="1284"/>
    </row>
    <row r="3801" spans="7:20">
      <c r="G3801" s="1564" t="s">
        <v>4455</v>
      </c>
      <c r="H3801" s="1564"/>
      <c r="I3801" s="1564"/>
      <c r="J3801" s="3">
        <f>+P3797</f>
        <v>0</v>
      </c>
      <c r="R3801" s="3"/>
      <c r="T3801" s="1284"/>
    </row>
    <row r="3802" spans="7:20">
      <c r="T3802" s="1284"/>
    </row>
    <row r="3808" spans="7:20">
      <c r="T3808" s="1284"/>
    </row>
    <row r="3809" spans="7:22">
      <c r="T3809" s="1284"/>
    </row>
    <row r="3810" spans="7:22">
      <c r="T3810" s="1284"/>
    </row>
    <row r="3811" spans="7:22">
      <c r="G3811" s="1008">
        <v>46057</v>
      </c>
      <c r="H3811" s="1169"/>
      <c r="I3811" s="1575" t="s">
        <v>3510</v>
      </c>
      <c r="J3811" s="1576"/>
      <c r="K3811" s="1575" t="s">
        <v>3509</v>
      </c>
      <c r="L3811" s="1576"/>
      <c r="M3811" s="1575" t="s">
        <v>3541</v>
      </c>
      <c r="N3811" s="1576"/>
      <c r="O3811" s="1577" t="s">
        <v>3598</v>
      </c>
      <c r="P3811" s="1578"/>
      <c r="Q3811" s="1579" t="s">
        <v>3599</v>
      </c>
      <c r="R3811" s="1580"/>
      <c r="S3811" s="1583" t="s">
        <v>3953</v>
      </c>
      <c r="T3811" s="1583"/>
      <c r="U3811" s="1583" t="s">
        <v>3954</v>
      </c>
      <c r="V3811" s="1583"/>
    </row>
    <row r="3812" spans="7:22">
      <c r="G3812" s="1097"/>
      <c r="H3812" s="1261"/>
      <c r="I3812" s="1294" t="s">
        <v>4628</v>
      </c>
      <c r="J3812" s="49">
        <v>21160000</v>
      </c>
      <c r="K3812" s="1495" t="s">
        <v>4627</v>
      </c>
      <c r="L3812" s="49">
        <v>7000000</v>
      </c>
      <c r="M3812" s="1495" t="s">
        <v>4613</v>
      </c>
      <c r="N3812" s="1495">
        <v>300800000</v>
      </c>
      <c r="O3812" s="1383"/>
      <c r="P3812" s="644"/>
      <c r="Q3812" s="1279"/>
      <c r="R3812" s="644"/>
      <c r="S3812" s="1223"/>
      <c r="T3812" s="1191"/>
      <c r="U3812" s="1232"/>
      <c r="V3812" s="48"/>
    </row>
    <row r="3813" spans="7:22">
      <c r="G3813" s="1098"/>
      <c r="H3813" s="1172"/>
      <c r="I3813" s="1295" t="s">
        <v>4632</v>
      </c>
      <c r="J3813" s="49">
        <v>30360000</v>
      </c>
      <c r="K3813" s="1495" t="s">
        <v>4605</v>
      </c>
      <c r="L3813" s="49">
        <v>10000000</v>
      </c>
      <c r="M3813" s="1495" t="s">
        <v>4463</v>
      </c>
      <c r="N3813" s="49">
        <f>60000000+2000000</f>
        <v>62000000</v>
      </c>
      <c r="O3813" s="1383" t="s">
        <v>4637</v>
      </c>
      <c r="P3813" s="644">
        <v>10000000</v>
      </c>
      <c r="Q3813" s="1290"/>
      <c r="R3813" s="1290"/>
      <c r="S3813" s="1296" t="s">
        <v>4613</v>
      </c>
      <c r="T3813" s="1191">
        <v>0</v>
      </c>
      <c r="U3813" s="48"/>
      <c r="V3813" s="49"/>
    </row>
    <row r="3814" spans="7:22">
      <c r="G3814" s="48"/>
      <c r="H3814" s="48"/>
      <c r="I3814" s="1297" t="s">
        <v>4633</v>
      </c>
      <c r="J3814" s="49">
        <v>20000000</v>
      </c>
      <c r="K3814" s="1493" t="s">
        <v>4474</v>
      </c>
      <c r="L3814" s="49">
        <v>11000000</v>
      </c>
      <c r="M3814" s="1495" t="s">
        <v>4629</v>
      </c>
      <c r="N3814" s="49">
        <v>14000000</v>
      </c>
      <c r="O3814" s="1383"/>
      <c r="P3814" s="644"/>
      <c r="Q3814" s="1288"/>
      <c r="R3814" s="644"/>
      <c r="S3814" s="1287"/>
      <c r="T3814" s="1191"/>
      <c r="U3814" s="1287"/>
      <c r="V3814" s="1191"/>
    </row>
    <row r="3815" spans="7:22">
      <c r="G3815" s="48"/>
      <c r="H3815" s="48"/>
      <c r="I3815" s="1295" t="s">
        <v>4636</v>
      </c>
      <c r="J3815" s="49">
        <v>21390000</v>
      </c>
      <c r="K3815" s="1493" t="s">
        <v>4447</v>
      </c>
      <c r="L3815" s="49">
        <f>10000000+10000000</f>
        <v>20000000</v>
      </c>
      <c r="M3815" s="1493" t="s">
        <v>4634</v>
      </c>
      <c r="N3815" s="49">
        <v>37800000</v>
      </c>
      <c r="O3815" s="1383"/>
      <c r="P3815" s="644"/>
      <c r="Q3815" s="1288"/>
      <c r="R3815" s="644"/>
      <c r="S3815" s="1289"/>
      <c r="T3815" s="1285"/>
      <c r="U3815" s="1289"/>
      <c r="V3815" s="1285"/>
    </row>
    <row r="3816" spans="7:22">
      <c r="G3816" s="48"/>
      <c r="H3816" s="48"/>
      <c r="I3816" s="1289"/>
      <c r="J3816" s="49"/>
      <c r="K3816" s="1495" t="s">
        <v>4630</v>
      </c>
      <c r="L3816" s="49">
        <v>1000000</v>
      </c>
      <c r="M3816" s="1493" t="s">
        <v>4626</v>
      </c>
      <c r="N3816" s="49">
        <v>1500000</v>
      </c>
      <c r="O3816" s="1383"/>
      <c r="P3816" s="644"/>
      <c r="Q3816" s="1288"/>
      <c r="R3816" s="644"/>
      <c r="S3816" s="48"/>
      <c r="T3816" s="1285"/>
      <c r="U3816" s="48"/>
      <c r="V3816" s="49"/>
    </row>
    <row r="3817" spans="7:22">
      <c r="G3817" s="48"/>
      <c r="H3817" s="48"/>
      <c r="I3817" s="1289"/>
      <c r="J3817" s="49"/>
      <c r="K3817" s="1495" t="s">
        <v>4631</v>
      </c>
      <c r="L3817" s="49">
        <v>1000000</v>
      </c>
      <c r="M3817" s="1495"/>
      <c r="N3817" s="49"/>
      <c r="O3817" s="1383"/>
      <c r="P3817" s="644"/>
      <c r="Q3817" s="1288"/>
      <c r="R3817" s="644"/>
      <c r="S3817" s="48"/>
      <c r="T3817" s="1285"/>
      <c r="U3817" s="48"/>
      <c r="V3817" s="49"/>
    </row>
    <row r="3818" spans="7:22">
      <c r="G3818" s="48"/>
      <c r="H3818" s="48"/>
      <c r="I3818" s="1282"/>
      <c r="J3818" s="49"/>
      <c r="K3818" s="1493" t="s">
        <v>4635</v>
      </c>
      <c r="L3818" s="49">
        <v>5000000</v>
      </c>
      <c r="M3818" s="1495"/>
      <c r="N3818" s="49"/>
      <c r="O3818" s="1383"/>
      <c r="P3818" s="644"/>
      <c r="Q3818" s="1290"/>
      <c r="R3818" s="644"/>
      <c r="S3818" s="48"/>
      <c r="T3818" s="1285"/>
      <c r="U3818" s="48"/>
      <c r="V3818" s="49"/>
    </row>
    <row r="3819" spans="7:22">
      <c r="G3819" s="48"/>
      <c r="H3819" s="48"/>
      <c r="I3819" s="1184"/>
      <c r="J3819" s="49"/>
      <c r="K3819" s="1532"/>
      <c r="L3819" s="49"/>
      <c r="M3819" s="1498"/>
      <c r="N3819" s="49"/>
      <c r="O3819" s="1383"/>
      <c r="P3819" s="644"/>
      <c r="Q3819" s="1291"/>
      <c r="R3819" s="644"/>
      <c r="S3819" s="48"/>
      <c r="T3819" s="1285"/>
      <c r="U3819" s="48"/>
      <c r="V3819" s="49"/>
    </row>
    <row r="3820" spans="7:22">
      <c r="G3820" s="48"/>
      <c r="H3820" s="48"/>
      <c r="I3820" s="48"/>
      <c r="J3820" s="49"/>
      <c r="K3820" s="1495"/>
      <c r="L3820" s="49"/>
      <c r="M3820" s="1498"/>
      <c r="N3820" s="49"/>
      <c r="O3820" s="644"/>
      <c r="P3820" s="644"/>
      <c r="Q3820" s="1290"/>
      <c r="R3820" s="644"/>
      <c r="S3820" s="48"/>
      <c r="T3820" s="1285"/>
      <c r="U3820" s="48"/>
      <c r="V3820" s="49"/>
    </row>
    <row r="3821" spans="7:22">
      <c r="G3821" s="48"/>
      <c r="H3821" s="48"/>
      <c r="I3821" s="48"/>
      <c r="J3821" s="49"/>
      <c r="K3821" s="1495"/>
      <c r="L3821" s="49"/>
      <c r="M3821" s="1498"/>
      <c r="N3821" s="49"/>
      <c r="O3821" s="644"/>
      <c r="P3821" s="644"/>
      <c r="Q3821" s="1290"/>
      <c r="R3821" s="644"/>
      <c r="S3821" s="48"/>
      <c r="T3821" s="1285"/>
      <c r="U3821" s="48"/>
      <c r="V3821" s="49"/>
    </row>
    <row r="3822" spans="7:22">
      <c r="G3822" s="48"/>
      <c r="H3822" s="48"/>
      <c r="I3822" s="48"/>
      <c r="J3822" s="49"/>
      <c r="K3822" s="1495"/>
      <c r="L3822" s="49"/>
      <c r="M3822" s="1498"/>
      <c r="N3822" s="49"/>
      <c r="O3822" s="644"/>
      <c r="P3822" s="644"/>
      <c r="Q3822" s="1290"/>
      <c r="R3822" s="644"/>
      <c r="S3822" s="48"/>
      <c r="T3822" s="1285"/>
      <c r="U3822" s="48"/>
      <c r="V3822" s="48"/>
    </row>
    <row r="3823" spans="7:22">
      <c r="G3823" s="48"/>
      <c r="H3823" s="48"/>
      <c r="I3823" s="48"/>
      <c r="J3823" s="49"/>
      <c r="K3823" s="1498"/>
      <c r="L3823" s="49"/>
      <c r="M3823" s="1498"/>
      <c r="N3823" s="49"/>
      <c r="O3823" s="644"/>
      <c r="P3823" s="644"/>
      <c r="Q3823" s="1290"/>
      <c r="R3823" s="644"/>
      <c r="S3823" s="48"/>
      <c r="T3823" s="1285"/>
      <c r="U3823" s="48"/>
      <c r="V3823" s="48"/>
    </row>
    <row r="3824" spans="7:22">
      <c r="G3824" s="48"/>
      <c r="H3824" s="48"/>
      <c r="I3824" s="48"/>
      <c r="J3824" s="49"/>
      <c r="K3824" s="1498"/>
      <c r="L3824" s="49"/>
      <c r="M3824" s="1498"/>
      <c r="N3824" s="49"/>
      <c r="O3824" s="644"/>
      <c r="P3824" s="644"/>
      <c r="Q3824" s="1290"/>
      <c r="R3824" s="644"/>
      <c r="S3824" s="48"/>
      <c r="T3824" s="1285"/>
      <c r="U3824" s="48"/>
      <c r="V3824" s="48"/>
    </row>
    <row r="3825" spans="7:22">
      <c r="G3825" s="48"/>
      <c r="H3825" s="48"/>
      <c r="I3825" s="48"/>
      <c r="J3825" s="49"/>
      <c r="K3825" s="1498"/>
      <c r="L3825" s="49"/>
      <c r="M3825" s="1498"/>
      <c r="N3825" s="49"/>
      <c r="O3825" s="644"/>
      <c r="P3825" s="644"/>
      <c r="Q3825" s="1290"/>
      <c r="R3825" s="644"/>
      <c r="S3825" s="48"/>
      <c r="T3825" s="1285"/>
      <c r="U3825" s="48"/>
      <c r="V3825" s="48"/>
    </row>
    <row r="3826" spans="7:22">
      <c r="G3826" s="48"/>
      <c r="H3826" s="48"/>
      <c r="I3826" s="48"/>
      <c r="J3826" s="49"/>
      <c r="K3826" s="1498"/>
      <c r="L3826" s="49"/>
      <c r="M3826" s="1498"/>
      <c r="N3826" s="49"/>
      <c r="O3826" s="644"/>
      <c r="P3826" s="644"/>
      <c r="Q3826" s="1290"/>
      <c r="R3826" s="644"/>
      <c r="S3826" s="48"/>
      <c r="T3826" s="1285"/>
      <c r="U3826" s="48"/>
      <c r="V3826" s="48"/>
    </row>
    <row r="3827" spans="7:22">
      <c r="G3827" s="48"/>
      <c r="H3827" s="48"/>
      <c r="I3827" s="48"/>
      <c r="J3827" s="49"/>
      <c r="K3827" s="49"/>
      <c r="L3827" s="49"/>
      <c r="M3827" s="1498"/>
      <c r="N3827" s="49"/>
      <c r="O3827" s="644"/>
      <c r="P3827" s="644"/>
      <c r="Q3827" s="1290"/>
      <c r="R3827" s="644"/>
      <c r="S3827" s="48"/>
      <c r="T3827" s="1285"/>
      <c r="U3827" s="48"/>
      <c r="V3827" s="48"/>
    </row>
    <row r="3828" spans="7:22">
      <c r="G3828" s="48"/>
      <c r="H3828" s="48"/>
      <c r="I3828" s="48"/>
      <c r="J3828" s="954">
        <f>SUM(J3812:J3820)</f>
        <v>92910000</v>
      </c>
      <c r="K3828" s="954"/>
      <c r="L3828" s="954">
        <f>SUM(L3812:L3827)</f>
        <v>55000000</v>
      </c>
      <c r="M3828" s="1498"/>
      <c r="N3828" s="954">
        <f>SUM(N3812:N3827)</f>
        <v>416100000</v>
      </c>
      <c r="O3828" s="644"/>
      <c r="P3828" s="969">
        <f>SUM(P3812:P3819)</f>
        <v>10000000</v>
      </c>
      <c r="Q3828" s="969"/>
      <c r="R3828" s="969">
        <f>SUM(R3812:R3827)</f>
        <v>0</v>
      </c>
      <c r="S3828" s="48"/>
      <c r="T3828" s="1178">
        <f>SUM(T3812:T3827)</f>
        <v>0</v>
      </c>
      <c r="U3828" s="48"/>
      <c r="V3828" s="878">
        <f>SUM(V3812:V3827)</f>
        <v>0</v>
      </c>
    </row>
    <row r="3829" spans="7:22">
      <c r="T3829" s="1284"/>
    </row>
    <row r="3830" spans="7:22">
      <c r="T3830" s="1284"/>
    </row>
    <row r="3831" spans="7:22">
      <c r="R3831" s="661"/>
      <c r="T3831" s="1284"/>
    </row>
    <row r="3832" spans="7:22">
      <c r="T3832" s="1284"/>
    </row>
    <row r="3833" spans="7:22">
      <c r="T3833" s="1284"/>
    </row>
    <row r="3834" spans="7:22">
      <c r="I3834" s="946"/>
      <c r="M3834" s="1533" t="s">
        <v>3699</v>
      </c>
      <c r="O3834" s="1535" t="s">
        <v>3741</v>
      </c>
      <c r="P3834" s="1512">
        <f>P3828-R3828</f>
        <v>10000000</v>
      </c>
      <c r="S3834" s="906" t="s">
        <v>4049</v>
      </c>
      <c r="T3834" s="1107">
        <f>T3828-V3828</f>
        <v>0</v>
      </c>
    </row>
    <row r="3835" spans="7:22">
      <c r="G3835" s="1574" t="s">
        <v>3530</v>
      </c>
      <c r="H3835" s="1574"/>
      <c r="I3835" s="1574"/>
      <c r="J3835" s="3">
        <f>J3828+L3828</f>
        <v>147910000</v>
      </c>
      <c r="K3835" s="1009"/>
      <c r="L3835" s="3"/>
      <c r="M3835" s="1533" t="s">
        <v>3664</v>
      </c>
      <c r="N3835" s="1527"/>
      <c r="O3835" s="1535" t="s">
        <v>4066</v>
      </c>
      <c r="P3835" s="1512"/>
      <c r="T3835" s="1284"/>
    </row>
    <row r="3836" spans="7:22">
      <c r="G3836" s="1574" t="s">
        <v>3512</v>
      </c>
      <c r="H3836" s="1574"/>
      <c r="I3836" s="1574"/>
      <c r="J3836" s="3">
        <f>N3828-J3835</f>
        <v>268190000</v>
      </c>
      <c r="K3836" s="1009"/>
      <c r="L3836" s="3"/>
      <c r="M3836" s="1528"/>
      <c r="O3836" s="1529"/>
      <c r="Q3836" s="661"/>
      <c r="T3836" s="1284"/>
    </row>
    <row r="3837" spans="7:22">
      <c r="G3837" s="1574" t="s">
        <v>3531</v>
      </c>
      <c r="H3837" s="1574"/>
      <c r="I3837" s="1574"/>
      <c r="J3837" s="3">
        <f>T3834</f>
        <v>0</v>
      </c>
      <c r="Q3837" s="3"/>
      <c r="T3837" s="1284"/>
    </row>
    <row r="3838" spans="7:22">
      <c r="G3838" s="1564" t="s">
        <v>4455</v>
      </c>
      <c r="H3838" s="1564"/>
      <c r="I3838" s="1564"/>
      <c r="J3838" s="3">
        <f>+P3834</f>
        <v>10000000</v>
      </c>
      <c r="R3838" s="3"/>
      <c r="T3838" s="1284"/>
    </row>
    <row r="3839" spans="7:22">
      <c r="T3839" s="1284"/>
    </row>
    <row r="3840" spans="7:22">
      <c r="T3840" s="1284"/>
    </row>
    <row r="3841" spans="7:22">
      <c r="T3841" s="1284"/>
    </row>
    <row r="3842" spans="7:22">
      <c r="T3842" s="1284"/>
    </row>
    <row r="3843" spans="7:22">
      <c r="T3843" s="1284"/>
    </row>
    <row r="3844" spans="7:22">
      <c r="G3844" s="1008">
        <v>46058</v>
      </c>
      <c r="H3844" s="1169"/>
      <c r="I3844" s="1575" t="s">
        <v>3510</v>
      </c>
      <c r="J3844" s="1576"/>
      <c r="K3844" s="1575" t="s">
        <v>3509</v>
      </c>
      <c r="L3844" s="1576"/>
      <c r="M3844" s="1575" t="s">
        <v>3541</v>
      </c>
      <c r="N3844" s="1576"/>
      <c r="O3844" s="1577" t="s">
        <v>3598</v>
      </c>
      <c r="P3844" s="1578"/>
      <c r="Q3844" s="1579" t="s">
        <v>3599</v>
      </c>
      <c r="R3844" s="1580"/>
      <c r="S3844" s="1583" t="s">
        <v>3953</v>
      </c>
      <c r="T3844" s="1583"/>
      <c r="U3844" s="1583" t="s">
        <v>3954</v>
      </c>
      <c r="V3844" s="1583"/>
    </row>
    <row r="3845" spans="7:22">
      <c r="G3845" s="1097"/>
      <c r="H3845" s="1261"/>
      <c r="I3845" s="1294" t="s">
        <v>4638</v>
      </c>
      <c r="J3845" s="49">
        <v>39525000</v>
      </c>
      <c r="K3845" s="1495" t="s">
        <v>4640</v>
      </c>
      <c r="L3845" s="49">
        <v>3000000</v>
      </c>
      <c r="M3845" s="1495" t="s">
        <v>4613</v>
      </c>
      <c r="N3845" s="1495">
        <v>262300000</v>
      </c>
      <c r="O3845" s="1383"/>
      <c r="P3845" s="644"/>
      <c r="Q3845" s="1279"/>
      <c r="R3845" s="644"/>
      <c r="S3845" s="1223"/>
      <c r="T3845" s="1191"/>
      <c r="U3845" s="1232"/>
      <c r="V3845" s="48"/>
    </row>
    <row r="3846" spans="7:22">
      <c r="G3846" s="1098"/>
      <c r="H3846" s="1172"/>
      <c r="I3846" s="1295" t="s">
        <v>4639</v>
      </c>
      <c r="J3846" s="49">
        <v>30690000</v>
      </c>
      <c r="K3846" s="1495" t="s">
        <v>4423</v>
      </c>
      <c r="L3846" s="49">
        <v>3670000</v>
      </c>
      <c r="M3846" s="1495"/>
      <c r="N3846" s="49"/>
      <c r="O3846" s="1383" t="s">
        <v>4637</v>
      </c>
      <c r="P3846" s="644">
        <v>10000000</v>
      </c>
      <c r="Q3846" s="1290"/>
      <c r="R3846" s="1290"/>
      <c r="S3846" s="1296" t="s">
        <v>4613</v>
      </c>
      <c r="T3846" s="1191">
        <v>1000</v>
      </c>
      <c r="U3846" s="48"/>
      <c r="V3846" s="49"/>
    </row>
    <row r="3847" spans="7:22">
      <c r="G3847" s="48"/>
      <c r="H3847" s="48"/>
      <c r="I3847" s="1297" t="s">
        <v>4641</v>
      </c>
      <c r="J3847" s="49">
        <v>21150000</v>
      </c>
      <c r="K3847" s="1493"/>
      <c r="L3847" s="49"/>
      <c r="M3847" s="1495"/>
      <c r="N3847" s="49"/>
      <c r="O3847" s="1383"/>
      <c r="P3847" s="644"/>
      <c r="Q3847" s="1288"/>
      <c r="R3847" s="644"/>
      <c r="S3847" s="1287"/>
      <c r="T3847" s="1191">
        <v>800</v>
      </c>
      <c r="U3847" s="1287"/>
      <c r="V3847" s="1191"/>
    </row>
    <row r="3848" spans="7:22">
      <c r="G3848" s="48"/>
      <c r="H3848" s="48"/>
      <c r="I3848" s="1295" t="s">
        <v>4642</v>
      </c>
      <c r="J3848" s="49">
        <v>2850000</v>
      </c>
      <c r="K3848" s="1493"/>
      <c r="L3848" s="49"/>
      <c r="M3848" s="1493"/>
      <c r="N3848" s="49"/>
      <c r="O3848" s="1383"/>
      <c r="P3848" s="644"/>
      <c r="Q3848" s="1288"/>
      <c r="R3848" s="644"/>
      <c r="S3848" s="1289"/>
      <c r="T3848" s="1285">
        <v>300</v>
      </c>
      <c r="U3848" s="1289"/>
      <c r="V3848" s="1285"/>
    </row>
    <row r="3849" spans="7:22">
      <c r="G3849" s="48"/>
      <c r="H3849" s="48"/>
      <c r="I3849" s="1289"/>
      <c r="J3849" s="49"/>
      <c r="K3849" s="1495"/>
      <c r="L3849" s="49"/>
      <c r="M3849" s="1493"/>
      <c r="N3849" s="49"/>
      <c r="O3849" s="1383"/>
      <c r="P3849" s="644"/>
      <c r="Q3849" s="1288"/>
      <c r="R3849" s="644"/>
      <c r="S3849" s="48"/>
      <c r="T3849" s="1285"/>
      <c r="U3849" s="48"/>
      <c r="V3849" s="49"/>
    </row>
    <row r="3850" spans="7:22">
      <c r="G3850" s="48"/>
      <c r="H3850" s="48"/>
      <c r="I3850" s="1289"/>
      <c r="J3850" s="49"/>
      <c r="K3850" s="1495"/>
      <c r="L3850" s="49"/>
      <c r="M3850" s="1495"/>
      <c r="N3850" s="49"/>
      <c r="O3850" s="1383"/>
      <c r="P3850" s="644"/>
      <c r="Q3850" s="1288"/>
      <c r="R3850" s="644"/>
      <c r="S3850" s="48"/>
      <c r="T3850" s="1285"/>
      <c r="U3850" s="48"/>
      <c r="V3850" s="49"/>
    </row>
    <row r="3851" spans="7:22">
      <c r="G3851" s="48"/>
      <c r="H3851" s="48"/>
      <c r="I3851" s="1282"/>
      <c r="J3851" s="49"/>
      <c r="K3851" s="1493"/>
      <c r="L3851" s="49"/>
      <c r="M3851" s="1495"/>
      <c r="N3851" s="49"/>
      <c r="O3851" s="1383"/>
      <c r="P3851" s="644"/>
      <c r="Q3851" s="1290"/>
      <c r="R3851" s="644"/>
      <c r="S3851" s="48"/>
      <c r="T3851" s="1285"/>
      <c r="U3851" s="48"/>
      <c r="V3851" s="49"/>
    </row>
    <row r="3852" spans="7:22">
      <c r="G3852" s="48"/>
      <c r="H3852" s="48"/>
      <c r="I3852" s="1184"/>
      <c r="J3852" s="49"/>
      <c r="K3852" s="1532"/>
      <c r="L3852" s="49"/>
      <c r="M3852" s="1498"/>
      <c r="N3852" s="49"/>
      <c r="O3852" s="1383"/>
      <c r="P3852" s="644"/>
      <c r="Q3852" s="1291"/>
      <c r="R3852" s="644"/>
      <c r="S3852" s="48"/>
      <c r="T3852" s="1285"/>
      <c r="U3852" s="48"/>
      <c r="V3852" s="49"/>
    </row>
    <row r="3853" spans="7:22">
      <c r="G3853" s="48"/>
      <c r="H3853" s="48"/>
      <c r="I3853" s="48"/>
      <c r="J3853" s="49"/>
      <c r="K3853" s="1495"/>
      <c r="L3853" s="49"/>
      <c r="M3853" s="1498"/>
      <c r="N3853" s="49"/>
      <c r="O3853" s="644"/>
      <c r="P3853" s="644"/>
      <c r="Q3853" s="1290"/>
      <c r="R3853" s="644"/>
      <c r="S3853" s="48"/>
      <c r="T3853" s="1285"/>
      <c r="U3853" s="48"/>
      <c r="V3853" s="49"/>
    </row>
    <row r="3854" spans="7:22">
      <c r="G3854" s="48"/>
      <c r="H3854" s="48"/>
      <c r="I3854" s="48"/>
      <c r="J3854" s="49"/>
      <c r="K3854" s="1495"/>
      <c r="L3854" s="49"/>
      <c r="M3854" s="1498"/>
      <c r="N3854" s="49"/>
      <c r="O3854" s="644"/>
      <c r="P3854" s="644"/>
      <c r="Q3854" s="1290"/>
      <c r="R3854" s="644"/>
      <c r="S3854" s="48"/>
      <c r="T3854" s="1285"/>
      <c r="U3854" s="48"/>
      <c r="V3854" s="49"/>
    </row>
    <row r="3855" spans="7:22">
      <c r="G3855" s="48"/>
      <c r="H3855" s="48"/>
      <c r="I3855" s="48"/>
      <c r="J3855" s="49"/>
      <c r="K3855" s="1495"/>
      <c r="L3855" s="49"/>
      <c r="M3855" s="1498"/>
      <c r="N3855" s="49"/>
      <c r="O3855" s="644"/>
      <c r="P3855" s="644"/>
      <c r="Q3855" s="1290"/>
      <c r="R3855" s="644"/>
      <c r="S3855" s="48"/>
      <c r="T3855" s="1285"/>
      <c r="U3855" s="48"/>
      <c r="V3855" s="48"/>
    </row>
    <row r="3856" spans="7:22">
      <c r="G3856" s="48"/>
      <c r="H3856" s="48"/>
      <c r="I3856" s="48"/>
      <c r="J3856" s="49"/>
      <c r="K3856" s="1498"/>
      <c r="L3856" s="49"/>
      <c r="M3856" s="1498"/>
      <c r="N3856" s="49"/>
      <c r="O3856" s="644"/>
      <c r="P3856" s="644"/>
      <c r="Q3856" s="1290"/>
      <c r="R3856" s="644"/>
      <c r="S3856" s="48"/>
      <c r="T3856" s="1285"/>
      <c r="U3856" s="48"/>
      <c r="V3856" s="48"/>
    </row>
    <row r="3857" spans="7:22">
      <c r="G3857" s="48"/>
      <c r="H3857" s="48"/>
      <c r="I3857" s="48"/>
      <c r="J3857" s="49"/>
      <c r="K3857" s="1498"/>
      <c r="L3857" s="49"/>
      <c r="M3857" s="1498"/>
      <c r="N3857" s="49"/>
      <c r="O3857" s="644"/>
      <c r="P3857" s="644"/>
      <c r="Q3857" s="1290"/>
      <c r="R3857" s="644"/>
      <c r="S3857" s="48"/>
      <c r="T3857" s="1285"/>
      <c r="U3857" s="48"/>
      <c r="V3857" s="48"/>
    </row>
    <row r="3858" spans="7:22">
      <c r="G3858" s="48"/>
      <c r="H3858" s="48"/>
      <c r="I3858" s="48"/>
      <c r="J3858" s="49"/>
      <c r="K3858" s="1498"/>
      <c r="L3858" s="49"/>
      <c r="M3858" s="1498"/>
      <c r="N3858" s="49"/>
      <c r="O3858" s="644"/>
      <c r="P3858" s="644"/>
      <c r="Q3858" s="1290"/>
      <c r="R3858" s="644"/>
      <c r="S3858" s="48"/>
      <c r="T3858" s="1285"/>
      <c r="U3858" s="48"/>
      <c r="V3858" s="48"/>
    </row>
    <row r="3859" spans="7:22">
      <c r="G3859" s="48"/>
      <c r="H3859" s="48"/>
      <c r="I3859" s="48"/>
      <c r="J3859" s="49"/>
      <c r="K3859" s="1498"/>
      <c r="L3859" s="49"/>
      <c r="M3859" s="1498"/>
      <c r="N3859" s="49"/>
      <c r="O3859" s="644"/>
      <c r="P3859" s="644"/>
      <c r="Q3859" s="1290"/>
      <c r="R3859" s="644"/>
      <c r="S3859" s="48"/>
      <c r="T3859" s="1285"/>
      <c r="U3859" s="48"/>
      <c r="V3859" s="48"/>
    </row>
    <row r="3860" spans="7:22">
      <c r="G3860" s="48"/>
      <c r="H3860" s="48"/>
      <c r="I3860" s="48"/>
      <c r="J3860" s="49"/>
      <c r="K3860" s="49"/>
      <c r="L3860" s="49"/>
      <c r="M3860" s="1498"/>
      <c r="N3860" s="49"/>
      <c r="O3860" s="644"/>
      <c r="P3860" s="644"/>
      <c r="Q3860" s="1290"/>
      <c r="R3860" s="644"/>
      <c r="S3860" s="48"/>
      <c r="T3860" s="1285"/>
      <c r="U3860" s="48"/>
      <c r="V3860" s="48"/>
    </row>
    <row r="3861" spans="7:22">
      <c r="G3861" s="48"/>
      <c r="H3861" s="48"/>
      <c r="I3861" s="48"/>
      <c r="J3861" s="954">
        <f>SUM(J3845:J3853)</f>
        <v>94215000</v>
      </c>
      <c r="K3861" s="954"/>
      <c r="L3861" s="954">
        <f>SUM(L3845:L3860)</f>
        <v>6670000</v>
      </c>
      <c r="M3861" s="1498"/>
      <c r="N3861" s="954">
        <f>SUM(N3845:N3860)</f>
        <v>262300000</v>
      </c>
      <c r="O3861" s="644"/>
      <c r="P3861" s="969">
        <f>SUM(P3845:P3852)</f>
        <v>10000000</v>
      </c>
      <c r="Q3861" s="969"/>
      <c r="R3861" s="969">
        <f>SUM(R3845:R3860)</f>
        <v>0</v>
      </c>
      <c r="S3861" s="48"/>
      <c r="T3861" s="1178">
        <f>SUM(T3845:T3860)</f>
        <v>2100</v>
      </c>
      <c r="U3861" s="48"/>
      <c r="V3861" s="878">
        <f>SUM(V3845:V3860)</f>
        <v>0</v>
      </c>
    </row>
    <row r="3862" spans="7:22">
      <c r="T3862" s="1284"/>
    </row>
    <row r="3863" spans="7:22">
      <c r="T3863" s="1284"/>
    </row>
    <row r="3864" spans="7:22">
      <c r="R3864" s="661"/>
      <c r="T3864" s="1284"/>
    </row>
    <row r="3865" spans="7:22">
      <c r="T3865" s="1284"/>
    </row>
    <row r="3866" spans="7:22">
      <c r="T3866" s="1284"/>
    </row>
    <row r="3867" spans="7:22">
      <c r="I3867" s="946"/>
      <c r="M3867" s="1533" t="s">
        <v>3699</v>
      </c>
      <c r="O3867" s="1535" t="s">
        <v>3741</v>
      </c>
      <c r="P3867" s="1512">
        <f>P3861-R3861</f>
        <v>10000000</v>
      </c>
      <c r="S3867" s="906" t="s">
        <v>4049</v>
      </c>
      <c r="T3867" s="1107">
        <f>T3861-V3861</f>
        <v>2100</v>
      </c>
    </row>
    <row r="3868" spans="7:22">
      <c r="G3868" s="1574" t="s">
        <v>3530</v>
      </c>
      <c r="H3868" s="1574"/>
      <c r="I3868" s="1574"/>
      <c r="J3868" s="3">
        <f>J3861+L3861</f>
        <v>100885000</v>
      </c>
      <c r="K3868" s="1009"/>
      <c r="L3868" s="3"/>
      <c r="M3868" s="1533" t="s">
        <v>3664</v>
      </c>
      <c r="N3868" s="1527"/>
      <c r="O3868" s="1535" t="s">
        <v>4066</v>
      </c>
      <c r="P3868" s="1512"/>
      <c r="T3868" s="1284"/>
    </row>
    <row r="3869" spans="7:22">
      <c r="G3869" s="1574" t="s">
        <v>3512</v>
      </c>
      <c r="H3869" s="1574"/>
      <c r="I3869" s="1574"/>
      <c r="J3869" s="3">
        <f>N3861-J3868</f>
        <v>161415000</v>
      </c>
      <c r="K3869" s="1009"/>
      <c r="L3869" s="3"/>
      <c r="M3869" s="1528"/>
      <c r="O3869" s="1529"/>
      <c r="Q3869" s="661"/>
      <c r="T3869" s="1284"/>
    </row>
    <row r="3870" spans="7:22">
      <c r="G3870" s="1574" t="s">
        <v>3531</v>
      </c>
      <c r="H3870" s="1574"/>
      <c r="I3870" s="1574"/>
      <c r="J3870" s="3">
        <f>T3867</f>
        <v>2100</v>
      </c>
      <c r="Q3870" s="3"/>
      <c r="T3870" s="1284"/>
    </row>
    <row r="3871" spans="7:22">
      <c r="G3871" s="1564" t="s">
        <v>4455</v>
      </c>
      <c r="H3871" s="1564"/>
      <c r="I3871" s="1564"/>
      <c r="J3871" s="3">
        <f>+P3867</f>
        <v>10000000</v>
      </c>
      <c r="R3871" s="3"/>
      <c r="T3871" s="1284"/>
    </row>
    <row r="3872" spans="7:22">
      <c r="T3872" s="1284"/>
    </row>
    <row r="3874" spans="7:22">
      <c r="T3874" s="1284"/>
    </row>
    <row r="3875" spans="7:22">
      <c r="T3875" s="1284"/>
    </row>
    <row r="3876" spans="7:22">
      <c r="G3876" s="1008">
        <v>46059</v>
      </c>
      <c r="H3876" s="1169"/>
      <c r="I3876" s="1575" t="s">
        <v>3510</v>
      </c>
      <c r="J3876" s="1576"/>
      <c r="K3876" s="1575" t="s">
        <v>3509</v>
      </c>
      <c r="L3876" s="1576"/>
      <c r="M3876" s="1575" t="s">
        <v>3541</v>
      </c>
      <c r="N3876" s="1576"/>
      <c r="O3876" s="1577" t="s">
        <v>3598</v>
      </c>
      <c r="P3876" s="1578"/>
      <c r="Q3876" s="1579" t="s">
        <v>3599</v>
      </c>
      <c r="R3876" s="1580"/>
      <c r="S3876" s="1583" t="s">
        <v>3953</v>
      </c>
      <c r="T3876" s="1583"/>
      <c r="U3876" s="1583" t="s">
        <v>3954</v>
      </c>
      <c r="V3876" s="1583"/>
    </row>
    <row r="3877" spans="7:22">
      <c r="G3877" s="1097"/>
      <c r="H3877" s="1261"/>
      <c r="I3877" s="1300" t="s">
        <v>4643</v>
      </c>
      <c r="J3877" s="49">
        <v>93000000</v>
      </c>
      <c r="K3877" s="1495" t="s">
        <v>4645</v>
      </c>
      <c r="L3877" s="49">
        <v>1360000</v>
      </c>
      <c r="M3877" s="1495" t="s">
        <v>4613</v>
      </c>
      <c r="N3877" s="1495">
        <v>260000000</v>
      </c>
      <c r="O3877" s="1383"/>
      <c r="P3877" s="644"/>
      <c r="Q3877" s="1279"/>
      <c r="R3877" s="644"/>
      <c r="S3877" s="1223"/>
      <c r="T3877" s="1191"/>
      <c r="U3877" s="1232"/>
      <c r="V3877" s="48"/>
    </row>
    <row r="3878" spans="7:22">
      <c r="G3878" s="1098"/>
      <c r="H3878" s="1172"/>
      <c r="I3878" s="1301" t="s">
        <v>4648</v>
      </c>
      <c r="J3878" s="49">
        <f>23000000*0.92</f>
        <v>21160000</v>
      </c>
      <c r="K3878" s="1495" t="s">
        <v>4646</v>
      </c>
      <c r="L3878" s="49">
        <v>4000000</v>
      </c>
      <c r="M3878" s="1495" t="s">
        <v>4644</v>
      </c>
      <c r="N3878" s="49">
        <v>30000000</v>
      </c>
      <c r="O3878" s="1383" t="s">
        <v>4637</v>
      </c>
      <c r="P3878" s="644">
        <v>2131000</v>
      </c>
      <c r="Q3878" s="1290"/>
      <c r="R3878" s="1290"/>
      <c r="S3878" s="1296" t="s">
        <v>4613</v>
      </c>
      <c r="T3878" s="1191">
        <v>2100</v>
      </c>
      <c r="U3878" s="48"/>
      <c r="V3878" s="49"/>
    </row>
    <row r="3879" spans="7:22">
      <c r="G3879" s="48"/>
      <c r="H3879" s="48"/>
      <c r="I3879" s="1302" t="s">
        <v>4649</v>
      </c>
      <c r="J3879" s="49">
        <f>23000000*0.92</f>
        <v>21160000</v>
      </c>
      <c r="K3879" s="1493" t="s">
        <v>4616</v>
      </c>
      <c r="L3879" s="49">
        <v>500000</v>
      </c>
      <c r="M3879" s="1495" t="s">
        <v>4650</v>
      </c>
      <c r="N3879" s="49">
        <v>21000000</v>
      </c>
      <c r="O3879" s="1383"/>
      <c r="P3879" s="644"/>
      <c r="Q3879" s="1288"/>
      <c r="R3879" s="644"/>
      <c r="S3879" s="1287"/>
      <c r="T3879" s="1191"/>
      <c r="U3879" s="1287"/>
      <c r="V3879" s="1191"/>
    </row>
    <row r="3880" spans="7:22">
      <c r="G3880" s="48"/>
      <c r="H3880" s="48"/>
      <c r="I3880" s="1295"/>
      <c r="J3880" s="49"/>
      <c r="K3880" s="1493" t="s">
        <v>4647</v>
      </c>
      <c r="L3880" s="49">
        <v>2000000</v>
      </c>
      <c r="M3880" s="1493"/>
      <c r="N3880" s="49"/>
      <c r="O3880" s="1383"/>
      <c r="P3880" s="644"/>
      <c r="Q3880" s="1288"/>
      <c r="R3880" s="644"/>
      <c r="S3880" s="1289"/>
      <c r="T3880" s="1285"/>
      <c r="U3880" s="1289"/>
      <c r="V3880" s="1285"/>
    </row>
    <row r="3881" spans="7:22">
      <c r="G3881" s="48"/>
      <c r="H3881" s="48"/>
      <c r="I3881" s="1289"/>
      <c r="J3881" s="49"/>
      <c r="K3881" s="1493" t="s">
        <v>4647</v>
      </c>
      <c r="L3881" s="49">
        <v>6000000</v>
      </c>
      <c r="M3881" s="1493"/>
      <c r="N3881" s="49"/>
      <c r="O3881" s="1383"/>
      <c r="P3881" s="644"/>
      <c r="Q3881" s="1288"/>
      <c r="R3881" s="644"/>
      <c r="S3881" s="48"/>
      <c r="T3881" s="1285"/>
      <c r="U3881" s="48"/>
      <c r="V3881" s="49"/>
    </row>
    <row r="3882" spans="7:22">
      <c r="G3882" s="48"/>
      <c r="H3882" s="48"/>
      <c r="I3882" s="1289"/>
      <c r="J3882" s="49"/>
      <c r="K3882" s="1495" t="s">
        <v>3537</v>
      </c>
      <c r="L3882" s="49">
        <v>500000</v>
      </c>
      <c r="M3882" s="1495"/>
      <c r="N3882" s="49"/>
      <c r="O3882" s="1383"/>
      <c r="P3882" s="644"/>
      <c r="Q3882" s="1288"/>
      <c r="R3882" s="644"/>
      <c r="S3882" s="48"/>
      <c r="T3882" s="1285"/>
      <c r="U3882" s="48"/>
      <c r="V3882" s="49"/>
    </row>
    <row r="3883" spans="7:22">
      <c r="G3883" s="48"/>
      <c r="H3883" s="48"/>
      <c r="I3883" s="1282"/>
      <c r="J3883" s="49"/>
      <c r="K3883" s="1493" t="s">
        <v>4541</v>
      </c>
      <c r="L3883" s="49">
        <v>200000</v>
      </c>
      <c r="M3883" s="1495"/>
      <c r="N3883" s="49"/>
      <c r="O3883" s="1383"/>
      <c r="P3883" s="644"/>
      <c r="Q3883" s="1290"/>
      <c r="R3883" s="644"/>
      <c r="S3883" s="48"/>
      <c r="T3883" s="1285"/>
      <c r="U3883" s="48"/>
      <c r="V3883" s="49"/>
    </row>
    <row r="3884" spans="7:22">
      <c r="G3884" s="48"/>
      <c r="H3884" s="48"/>
      <c r="I3884" s="1184"/>
      <c r="J3884" s="49"/>
      <c r="K3884" s="1532" t="s">
        <v>4474</v>
      </c>
      <c r="L3884" s="49">
        <v>2000000</v>
      </c>
      <c r="M3884" s="1498"/>
      <c r="N3884" s="49"/>
      <c r="O3884" s="1383"/>
      <c r="P3884" s="644"/>
      <c r="Q3884" s="1291"/>
      <c r="R3884" s="644"/>
      <c r="S3884" s="48"/>
      <c r="T3884" s="1285"/>
      <c r="U3884" s="48"/>
      <c r="V3884" s="49"/>
    </row>
    <row r="3885" spans="7:22">
      <c r="G3885" s="48"/>
      <c r="H3885" s="48"/>
      <c r="I3885" s="48"/>
      <c r="J3885" s="49"/>
      <c r="K3885" s="1495"/>
      <c r="L3885" s="49"/>
      <c r="M3885" s="1498"/>
      <c r="N3885" s="49"/>
      <c r="O3885" s="644"/>
      <c r="P3885" s="644"/>
      <c r="Q3885" s="1290"/>
      <c r="R3885" s="644"/>
      <c r="S3885" s="48"/>
      <c r="T3885" s="1285"/>
      <c r="U3885" s="48"/>
      <c r="V3885" s="49"/>
    </row>
    <row r="3886" spans="7:22">
      <c r="G3886" s="48"/>
      <c r="H3886" s="48"/>
      <c r="I3886" s="48"/>
      <c r="J3886" s="49"/>
      <c r="K3886" s="1495"/>
      <c r="L3886" s="49"/>
      <c r="M3886" s="1498"/>
      <c r="N3886" s="49"/>
      <c r="O3886" s="644"/>
      <c r="P3886" s="644"/>
      <c r="Q3886" s="1290"/>
      <c r="R3886" s="644"/>
      <c r="S3886" s="48"/>
      <c r="T3886" s="1285"/>
      <c r="U3886" s="48"/>
      <c r="V3886" s="49"/>
    </row>
    <row r="3887" spans="7:22">
      <c r="G3887" s="48"/>
      <c r="H3887" s="48"/>
      <c r="I3887" s="48"/>
      <c r="J3887" s="49"/>
      <c r="K3887" s="1495"/>
      <c r="L3887" s="49"/>
      <c r="M3887" s="1498"/>
      <c r="N3887" s="49"/>
      <c r="O3887" s="644"/>
      <c r="P3887" s="644"/>
      <c r="Q3887" s="1290"/>
      <c r="R3887" s="644"/>
      <c r="S3887" s="48"/>
      <c r="T3887" s="1285"/>
      <c r="U3887" s="48"/>
      <c r="V3887" s="48"/>
    </row>
    <row r="3888" spans="7:22">
      <c r="G3888" s="48"/>
      <c r="H3888" s="48"/>
      <c r="I3888" s="48"/>
      <c r="J3888" s="49"/>
      <c r="K3888" s="1498"/>
      <c r="L3888" s="49"/>
      <c r="M3888" s="1498"/>
      <c r="N3888" s="49"/>
      <c r="O3888" s="644"/>
      <c r="P3888" s="644"/>
      <c r="Q3888" s="1290"/>
      <c r="R3888" s="644"/>
      <c r="S3888" s="48"/>
      <c r="T3888" s="1285"/>
      <c r="U3888" s="48"/>
      <c r="V3888" s="48"/>
    </row>
    <row r="3889" spans="7:22">
      <c r="G3889" s="48"/>
      <c r="H3889" s="48"/>
      <c r="I3889" s="48"/>
      <c r="J3889" s="49"/>
      <c r="K3889" s="1498"/>
      <c r="L3889" s="49"/>
      <c r="M3889" s="1498"/>
      <c r="N3889" s="49"/>
      <c r="O3889" s="644"/>
      <c r="P3889" s="644"/>
      <c r="Q3889" s="1290"/>
      <c r="R3889" s="644"/>
      <c r="S3889" s="48"/>
      <c r="T3889" s="1285"/>
      <c r="U3889" s="48"/>
      <c r="V3889" s="48"/>
    </row>
    <row r="3890" spans="7:22">
      <c r="G3890" s="48"/>
      <c r="H3890" s="48"/>
      <c r="I3890" s="48"/>
      <c r="J3890" s="49"/>
      <c r="K3890" s="1498"/>
      <c r="L3890" s="49"/>
      <c r="M3890" s="1498"/>
      <c r="N3890" s="49"/>
      <c r="O3890" s="644"/>
      <c r="P3890" s="644"/>
      <c r="Q3890" s="1290"/>
      <c r="R3890" s="644"/>
      <c r="S3890" s="48"/>
      <c r="T3890" s="1285"/>
      <c r="U3890" s="48"/>
      <c r="V3890" s="48"/>
    </row>
    <row r="3891" spans="7:22">
      <c r="G3891" s="48"/>
      <c r="H3891" s="48"/>
      <c r="I3891" s="48"/>
      <c r="J3891" s="49"/>
      <c r="K3891" s="1498"/>
      <c r="L3891" s="49"/>
      <c r="M3891" s="1498"/>
      <c r="N3891" s="49"/>
      <c r="O3891" s="644"/>
      <c r="P3891" s="644"/>
      <c r="Q3891" s="1290"/>
      <c r="R3891" s="644"/>
      <c r="S3891" s="48"/>
      <c r="T3891" s="1285"/>
      <c r="U3891" s="48"/>
      <c r="V3891" s="48"/>
    </row>
    <row r="3892" spans="7:22">
      <c r="G3892" s="48"/>
      <c r="H3892" s="48"/>
      <c r="I3892" s="48"/>
      <c r="J3892" s="49"/>
      <c r="K3892" s="49"/>
      <c r="L3892" s="49"/>
      <c r="M3892" s="1498"/>
      <c r="N3892" s="49"/>
      <c r="O3892" s="644"/>
      <c r="P3892" s="644"/>
      <c r="Q3892" s="1290"/>
      <c r="R3892" s="644"/>
      <c r="S3892" s="48"/>
      <c r="T3892" s="1285"/>
      <c r="U3892" s="48"/>
      <c r="V3892" s="48"/>
    </row>
    <row r="3893" spans="7:22">
      <c r="G3893" s="48"/>
      <c r="H3893" s="48"/>
      <c r="I3893" s="48"/>
      <c r="J3893" s="954">
        <f>SUM(J3877:J3885)</f>
        <v>135320000</v>
      </c>
      <c r="K3893" s="954"/>
      <c r="L3893" s="954">
        <f>SUM(L3877:L3892)</f>
        <v>16560000</v>
      </c>
      <c r="M3893" s="1498"/>
      <c r="N3893" s="954">
        <f>SUM(N3877:N3892)</f>
        <v>311000000</v>
      </c>
      <c r="O3893" s="644"/>
      <c r="P3893" s="969">
        <f>SUM(P3877:P3884)</f>
        <v>2131000</v>
      </c>
      <c r="Q3893" s="969"/>
      <c r="R3893" s="969">
        <f>SUM(R3877:R3892)</f>
        <v>0</v>
      </c>
      <c r="S3893" s="48"/>
      <c r="T3893" s="1178">
        <f>SUM(T3877:T3892)</f>
        <v>2100</v>
      </c>
      <c r="U3893" s="48"/>
      <c r="V3893" s="878">
        <f>SUM(V3877:V3892)</f>
        <v>0</v>
      </c>
    </row>
    <row r="3894" spans="7:22">
      <c r="T3894" s="1284"/>
    </row>
    <row r="3895" spans="7:22">
      <c r="T3895" s="1284"/>
    </row>
    <row r="3896" spans="7:22">
      <c r="R3896" s="661"/>
      <c r="T3896" s="1284"/>
    </row>
    <row r="3897" spans="7:22">
      <c r="T3897" s="1284"/>
    </row>
    <row r="3898" spans="7:22">
      <c r="T3898" s="1284"/>
    </row>
    <row r="3899" spans="7:22">
      <c r="I3899" s="946"/>
      <c r="M3899" s="1533" t="s">
        <v>3699</v>
      </c>
      <c r="O3899" s="1535" t="s">
        <v>3741</v>
      </c>
      <c r="P3899" s="1512">
        <f>P3893-R3893</f>
        <v>2131000</v>
      </c>
      <c r="S3899" s="906" t="s">
        <v>4049</v>
      </c>
      <c r="T3899" s="1107">
        <f>T3893-V3893</f>
        <v>2100</v>
      </c>
    </row>
    <row r="3900" spans="7:22">
      <c r="G3900" s="1574" t="s">
        <v>3530</v>
      </c>
      <c r="H3900" s="1574"/>
      <c r="I3900" s="1574"/>
      <c r="J3900" s="3">
        <f>J3893+L3893</f>
        <v>151880000</v>
      </c>
      <c r="K3900" s="1009"/>
      <c r="L3900" s="3"/>
      <c r="M3900" s="1533" t="s">
        <v>3664</v>
      </c>
      <c r="N3900" s="1527"/>
      <c r="O3900" s="1535" t="s">
        <v>4066</v>
      </c>
      <c r="P3900" s="1512"/>
      <c r="T3900" s="1284"/>
    </row>
    <row r="3901" spans="7:22">
      <c r="G3901" s="1574" t="s">
        <v>3512</v>
      </c>
      <c r="H3901" s="1574"/>
      <c r="I3901" s="1574"/>
      <c r="J3901" s="3">
        <f>N3893-J3900</f>
        <v>159120000</v>
      </c>
      <c r="K3901" s="1009"/>
      <c r="L3901" s="3"/>
      <c r="M3901" s="1528"/>
      <c r="O3901" s="1529"/>
      <c r="Q3901" s="661"/>
      <c r="T3901" s="1284"/>
    </row>
    <row r="3902" spans="7:22">
      <c r="G3902" s="1574" t="s">
        <v>3531</v>
      </c>
      <c r="H3902" s="1574"/>
      <c r="I3902" s="1574"/>
      <c r="J3902" s="3">
        <f>T3899</f>
        <v>2100</v>
      </c>
      <c r="Q3902" s="3"/>
      <c r="T3902" s="1284"/>
    </row>
    <row r="3903" spans="7:22">
      <c r="G3903" s="1564" t="s">
        <v>4455</v>
      </c>
      <c r="H3903" s="1564"/>
      <c r="I3903" s="1564"/>
      <c r="J3903" s="3">
        <f>+P3899</f>
        <v>2131000</v>
      </c>
      <c r="R3903" s="3"/>
      <c r="T3903" s="1284"/>
    </row>
    <row r="3904" spans="7:22">
      <c r="T3904" s="1284"/>
    </row>
    <row r="3908" spans="7:22">
      <c r="T3908" s="1292"/>
    </row>
    <row r="3909" spans="7:22">
      <c r="T3909" s="1292"/>
    </row>
    <row r="3910" spans="7:22">
      <c r="G3910" s="1008">
        <v>46059</v>
      </c>
      <c r="H3910" s="1169"/>
      <c r="I3910" s="1575" t="s">
        <v>3510</v>
      </c>
      <c r="J3910" s="1576"/>
      <c r="K3910" s="1575" t="s">
        <v>3509</v>
      </c>
      <c r="L3910" s="1576"/>
      <c r="M3910" s="1575" t="s">
        <v>3541</v>
      </c>
      <c r="N3910" s="1576"/>
      <c r="O3910" s="1577" t="s">
        <v>3598</v>
      </c>
      <c r="P3910" s="1578"/>
      <c r="Q3910" s="1579" t="s">
        <v>3599</v>
      </c>
      <c r="R3910" s="1580"/>
      <c r="S3910" s="1583" t="s">
        <v>3953</v>
      </c>
      <c r="T3910" s="1583"/>
      <c r="U3910" s="1583" t="s">
        <v>3954</v>
      </c>
      <c r="V3910" s="1583"/>
    </row>
    <row r="3911" spans="7:22">
      <c r="G3911" s="1097"/>
      <c r="H3911" s="1261"/>
      <c r="I3911" s="1300" t="s">
        <v>4651</v>
      </c>
      <c r="J3911" s="49">
        <v>93000000</v>
      </c>
      <c r="K3911" s="1495" t="s">
        <v>4652</v>
      </c>
      <c r="L3911" s="49">
        <v>9200000</v>
      </c>
      <c r="M3911" s="1495" t="s">
        <v>4613</v>
      </c>
      <c r="N3911" s="1495">
        <v>160000000</v>
      </c>
      <c r="O3911" s="1383"/>
      <c r="P3911" s="644"/>
      <c r="Q3911" s="1279"/>
      <c r="R3911" s="644"/>
      <c r="S3911" s="1223"/>
      <c r="T3911" s="1191"/>
      <c r="U3911" s="1232"/>
      <c r="V3911" s="48"/>
    </row>
    <row r="3912" spans="7:22">
      <c r="G3912" s="1098"/>
      <c r="H3912" s="1172"/>
      <c r="I3912" s="1301" t="s">
        <v>4653</v>
      </c>
      <c r="J3912" s="49">
        <f>32000000*0.9</f>
        <v>28800000</v>
      </c>
      <c r="K3912" s="1495" t="s">
        <v>4541</v>
      </c>
      <c r="L3912" s="49">
        <v>250000</v>
      </c>
      <c r="M3912" s="1495"/>
      <c r="N3912" s="49">
        <v>10000000</v>
      </c>
      <c r="O3912" s="1383" t="s">
        <v>4637</v>
      </c>
      <c r="P3912" s="644">
        <v>2131000</v>
      </c>
      <c r="Q3912" s="1290"/>
      <c r="R3912" s="1290"/>
      <c r="S3912" s="1296" t="s">
        <v>4613</v>
      </c>
      <c r="T3912" s="1191">
        <v>2100</v>
      </c>
      <c r="U3912" s="48"/>
      <c r="V3912" s="49"/>
    </row>
    <row r="3913" spans="7:22">
      <c r="G3913" s="48"/>
      <c r="H3913" s="48"/>
      <c r="I3913" s="1302"/>
      <c r="J3913" s="49"/>
      <c r="K3913" s="1493" t="s">
        <v>4555</v>
      </c>
      <c r="L3913" s="49">
        <v>4000000</v>
      </c>
      <c r="M3913" s="1495" t="s">
        <v>4654</v>
      </c>
      <c r="N3913" s="49">
        <v>1000000</v>
      </c>
      <c r="O3913" s="1383"/>
      <c r="P3913" s="644"/>
      <c r="Q3913" s="1288"/>
      <c r="R3913" s="644"/>
      <c r="S3913" s="1287"/>
      <c r="T3913" s="1191"/>
      <c r="U3913" s="1287"/>
      <c r="V3913" s="1191"/>
    </row>
    <row r="3914" spans="7:22">
      <c r="G3914" s="48"/>
      <c r="H3914" s="48"/>
      <c r="I3914" s="1295"/>
      <c r="J3914" s="49"/>
      <c r="K3914" s="1493" t="s">
        <v>4474</v>
      </c>
      <c r="L3914" s="49">
        <v>2000000</v>
      </c>
      <c r="M3914" s="1493" t="s">
        <v>4655</v>
      </c>
      <c r="N3914" s="49">
        <v>51700000</v>
      </c>
      <c r="O3914" s="1383"/>
      <c r="P3914" s="644"/>
      <c r="Q3914" s="1288"/>
      <c r="R3914" s="644"/>
      <c r="S3914" s="1289"/>
      <c r="T3914" s="1293"/>
      <c r="U3914" s="1289"/>
      <c r="V3914" s="1293"/>
    </row>
    <row r="3915" spans="7:22">
      <c r="G3915" s="48"/>
      <c r="H3915" s="48"/>
      <c r="I3915" s="1289"/>
      <c r="J3915" s="49"/>
      <c r="K3915" s="1493"/>
      <c r="L3915" s="49"/>
      <c r="M3915" s="1493"/>
      <c r="N3915" s="49"/>
      <c r="O3915" s="1383"/>
      <c r="P3915" s="644"/>
      <c r="Q3915" s="1288"/>
      <c r="R3915" s="644"/>
      <c r="S3915" s="48"/>
      <c r="T3915" s="1293"/>
      <c r="U3915" s="48"/>
      <c r="V3915" s="49"/>
    </row>
    <row r="3916" spans="7:22">
      <c r="G3916" s="48"/>
      <c r="H3916" s="48"/>
      <c r="I3916" s="1289"/>
      <c r="J3916" s="49"/>
      <c r="K3916" s="1495"/>
      <c r="L3916" s="49"/>
      <c r="M3916" s="1495"/>
      <c r="N3916" s="49"/>
      <c r="O3916" s="1383"/>
      <c r="P3916" s="644"/>
      <c r="Q3916" s="1288"/>
      <c r="R3916" s="644"/>
      <c r="S3916" s="48"/>
      <c r="T3916" s="1293"/>
      <c r="U3916" s="48"/>
      <c r="V3916" s="49"/>
    </row>
    <row r="3917" spans="7:22">
      <c r="G3917" s="48"/>
      <c r="H3917" s="48"/>
      <c r="I3917" s="1282"/>
      <c r="J3917" s="49"/>
      <c r="K3917" s="1493"/>
      <c r="L3917" s="49"/>
      <c r="M3917" s="1495"/>
      <c r="N3917" s="49"/>
      <c r="O3917" s="1383"/>
      <c r="P3917" s="644"/>
      <c r="Q3917" s="1290"/>
      <c r="R3917" s="644"/>
      <c r="S3917" s="48"/>
      <c r="T3917" s="1293"/>
      <c r="U3917" s="48"/>
      <c r="V3917" s="49"/>
    </row>
    <row r="3918" spans="7:22">
      <c r="G3918" s="48"/>
      <c r="H3918" s="48"/>
      <c r="I3918" s="1184"/>
      <c r="J3918" s="49"/>
      <c r="K3918" s="1532"/>
      <c r="L3918" s="49"/>
      <c r="M3918" s="1498"/>
      <c r="N3918" s="49"/>
      <c r="O3918" s="1383"/>
      <c r="P3918" s="644"/>
      <c r="Q3918" s="1291"/>
      <c r="R3918" s="644"/>
      <c r="S3918" s="48"/>
      <c r="T3918" s="1293"/>
      <c r="U3918" s="48"/>
      <c r="V3918" s="49"/>
    </row>
    <row r="3919" spans="7:22">
      <c r="G3919" s="48"/>
      <c r="H3919" s="48"/>
      <c r="I3919" s="48"/>
      <c r="J3919" s="49"/>
      <c r="K3919" s="1495"/>
      <c r="L3919" s="49"/>
      <c r="M3919" s="1498"/>
      <c r="N3919" s="49"/>
      <c r="O3919" s="644"/>
      <c r="P3919" s="644"/>
      <c r="Q3919" s="1290"/>
      <c r="R3919" s="644"/>
      <c r="S3919" s="48"/>
      <c r="T3919" s="1293"/>
      <c r="U3919" s="48"/>
      <c r="V3919" s="49"/>
    </row>
    <row r="3920" spans="7:22">
      <c r="G3920" s="48"/>
      <c r="H3920" s="48"/>
      <c r="I3920" s="48"/>
      <c r="J3920" s="49"/>
      <c r="K3920" s="1495"/>
      <c r="L3920" s="49"/>
      <c r="M3920" s="1498"/>
      <c r="N3920" s="49"/>
      <c r="O3920" s="644"/>
      <c r="P3920" s="644"/>
      <c r="Q3920" s="1290"/>
      <c r="R3920" s="644"/>
      <c r="S3920" s="48"/>
      <c r="T3920" s="1293"/>
      <c r="U3920" s="48"/>
      <c r="V3920" s="49"/>
    </row>
    <row r="3921" spans="7:22">
      <c r="G3921" s="48"/>
      <c r="H3921" s="48"/>
      <c r="I3921" s="48"/>
      <c r="J3921" s="49"/>
      <c r="K3921" s="1495"/>
      <c r="L3921" s="49"/>
      <c r="M3921" s="1498"/>
      <c r="N3921" s="49"/>
      <c r="O3921" s="644"/>
      <c r="P3921" s="644"/>
      <c r="Q3921" s="1290"/>
      <c r="R3921" s="644"/>
      <c r="S3921" s="48"/>
      <c r="T3921" s="1293"/>
      <c r="U3921" s="48"/>
      <c r="V3921" s="48"/>
    </row>
    <row r="3922" spans="7:22">
      <c r="G3922" s="48"/>
      <c r="H3922" s="48"/>
      <c r="I3922" s="48"/>
      <c r="J3922" s="49"/>
      <c r="K3922" s="1498"/>
      <c r="L3922" s="49"/>
      <c r="M3922" s="1498"/>
      <c r="N3922" s="49"/>
      <c r="O3922" s="644"/>
      <c r="P3922" s="644"/>
      <c r="Q3922" s="1290"/>
      <c r="R3922" s="644"/>
      <c r="S3922" s="48"/>
      <c r="T3922" s="1293"/>
      <c r="U3922" s="48"/>
      <c r="V3922" s="48"/>
    </row>
    <row r="3923" spans="7:22">
      <c r="G3923" s="48"/>
      <c r="H3923" s="48"/>
      <c r="I3923" s="48"/>
      <c r="J3923" s="49"/>
      <c r="K3923" s="1498"/>
      <c r="L3923" s="49"/>
      <c r="M3923" s="1498"/>
      <c r="N3923" s="49"/>
      <c r="O3923" s="644"/>
      <c r="P3923" s="644"/>
      <c r="Q3923" s="1290"/>
      <c r="R3923" s="644"/>
      <c r="S3923" s="48"/>
      <c r="T3923" s="1293"/>
      <c r="U3923" s="48"/>
      <c r="V3923" s="48"/>
    </row>
    <row r="3924" spans="7:22">
      <c r="G3924" s="48"/>
      <c r="H3924" s="48"/>
      <c r="I3924" s="48"/>
      <c r="J3924" s="49"/>
      <c r="K3924" s="1498"/>
      <c r="L3924" s="49"/>
      <c r="M3924" s="1498"/>
      <c r="N3924" s="49"/>
      <c r="O3924" s="644"/>
      <c r="P3924" s="644"/>
      <c r="Q3924" s="1290"/>
      <c r="R3924" s="644"/>
      <c r="S3924" s="48"/>
      <c r="T3924" s="1293"/>
      <c r="U3924" s="48"/>
      <c r="V3924" s="48"/>
    </row>
    <row r="3925" spans="7:22">
      <c r="G3925" s="48"/>
      <c r="H3925" s="48"/>
      <c r="I3925" s="48"/>
      <c r="J3925" s="49"/>
      <c r="K3925" s="1498"/>
      <c r="L3925" s="49"/>
      <c r="M3925" s="1498"/>
      <c r="N3925" s="49"/>
      <c r="O3925" s="644"/>
      <c r="P3925" s="644"/>
      <c r="Q3925" s="1290"/>
      <c r="R3925" s="644"/>
      <c r="S3925" s="48"/>
      <c r="T3925" s="1293"/>
      <c r="U3925" s="48"/>
      <c r="V3925" s="48"/>
    </row>
    <row r="3926" spans="7:22">
      <c r="G3926" s="48"/>
      <c r="H3926" s="48"/>
      <c r="I3926" s="48"/>
      <c r="J3926" s="49"/>
      <c r="K3926" s="49"/>
      <c r="L3926" s="49"/>
      <c r="M3926" s="1498"/>
      <c r="N3926" s="49"/>
      <c r="O3926" s="644"/>
      <c r="P3926" s="644"/>
      <c r="Q3926" s="1290"/>
      <c r="R3926" s="644"/>
      <c r="S3926" s="48"/>
      <c r="T3926" s="1293"/>
      <c r="U3926" s="48"/>
      <c r="V3926" s="48"/>
    </row>
    <row r="3927" spans="7:22">
      <c r="G3927" s="48"/>
      <c r="H3927" s="48"/>
      <c r="I3927" s="48"/>
      <c r="J3927" s="954">
        <f>SUM(J3911:J3919)</f>
        <v>121800000</v>
      </c>
      <c r="K3927" s="954"/>
      <c r="L3927" s="954">
        <f>SUM(L3911:L3926)</f>
        <v>15450000</v>
      </c>
      <c r="M3927" s="1498"/>
      <c r="N3927" s="954">
        <f>SUM(N3911:N3926)</f>
        <v>222700000</v>
      </c>
      <c r="O3927" s="644"/>
      <c r="P3927" s="969">
        <f>SUM(P3911:P3918)</f>
        <v>2131000</v>
      </c>
      <c r="Q3927" s="969"/>
      <c r="R3927" s="969">
        <f>SUM(R3911:R3926)</f>
        <v>0</v>
      </c>
      <c r="S3927" s="48"/>
      <c r="T3927" s="1178">
        <f>SUM(T3911:T3926)</f>
        <v>2100</v>
      </c>
      <c r="U3927" s="48"/>
      <c r="V3927" s="878">
        <f>SUM(V3911:V3926)</f>
        <v>0</v>
      </c>
    </row>
    <row r="3928" spans="7:22">
      <c r="T3928" s="1292"/>
    </row>
    <row r="3929" spans="7:22">
      <c r="T3929" s="1292"/>
    </row>
    <row r="3930" spans="7:22">
      <c r="R3930" s="661"/>
      <c r="T3930" s="1292"/>
    </row>
    <row r="3931" spans="7:22">
      <c r="T3931" s="1292"/>
    </row>
    <row r="3932" spans="7:22">
      <c r="T3932" s="1292"/>
    </row>
    <row r="3933" spans="7:22">
      <c r="I3933" s="946"/>
      <c r="M3933" s="1533" t="s">
        <v>3699</v>
      </c>
      <c r="O3933" s="1535" t="s">
        <v>3741</v>
      </c>
      <c r="P3933" s="1512">
        <f>P3927-R3927</f>
        <v>2131000</v>
      </c>
      <c r="S3933" s="906" t="s">
        <v>4049</v>
      </c>
      <c r="T3933" s="1107">
        <f>T3927-V3927</f>
        <v>2100</v>
      </c>
    </row>
    <row r="3934" spans="7:22">
      <c r="G3934" s="1574" t="s">
        <v>3530</v>
      </c>
      <c r="H3934" s="1574"/>
      <c r="I3934" s="1574"/>
      <c r="J3934" s="3">
        <f>J3927+L3927</f>
        <v>137250000</v>
      </c>
      <c r="K3934" s="1009"/>
      <c r="L3934" s="3"/>
      <c r="M3934" s="1533" t="s">
        <v>3664</v>
      </c>
      <c r="N3934" s="1527"/>
      <c r="O3934" s="1535" t="s">
        <v>4066</v>
      </c>
      <c r="P3934" s="1512"/>
      <c r="T3934" s="1292"/>
    </row>
    <row r="3935" spans="7:22">
      <c r="G3935" s="1574" t="s">
        <v>3512</v>
      </c>
      <c r="H3935" s="1574"/>
      <c r="I3935" s="1574"/>
      <c r="J3935" s="3">
        <f>N3927-J3934</f>
        <v>85450000</v>
      </c>
      <c r="K3935" s="1009"/>
      <c r="L3935" s="3"/>
      <c r="M3935" s="1528"/>
      <c r="O3935" s="1529"/>
      <c r="Q3935" s="661"/>
      <c r="T3935" s="1292"/>
    </row>
    <row r="3936" spans="7:22">
      <c r="G3936" s="1574" t="s">
        <v>3531</v>
      </c>
      <c r="H3936" s="1574"/>
      <c r="I3936" s="1574"/>
      <c r="J3936" s="3">
        <f>T3933</f>
        <v>2100</v>
      </c>
      <c r="Q3936" s="3"/>
      <c r="T3936" s="1292"/>
    </row>
    <row r="3937" spans="7:22">
      <c r="G3937" s="1564" t="s">
        <v>4455</v>
      </c>
      <c r="H3937" s="1564"/>
      <c r="I3937" s="1564"/>
      <c r="J3937" s="3">
        <f>+P3933</f>
        <v>2131000</v>
      </c>
      <c r="R3937" s="3"/>
      <c r="T3937" s="1292"/>
    </row>
    <row r="3938" spans="7:22">
      <c r="T3938" s="1292"/>
    </row>
    <row r="3941" spans="7:22">
      <c r="T3941" s="1292"/>
    </row>
    <row r="3942" spans="7:22">
      <c r="T3942" s="1292"/>
    </row>
    <row r="3943" spans="7:22">
      <c r="T3943" s="1292"/>
    </row>
    <row r="3944" spans="7:22">
      <c r="G3944" s="1008">
        <v>46062</v>
      </c>
      <c r="H3944" s="1169"/>
      <c r="I3944" s="1575" t="s">
        <v>3510</v>
      </c>
      <c r="J3944" s="1576"/>
      <c r="K3944" s="1575" t="s">
        <v>3509</v>
      </c>
      <c r="L3944" s="1576"/>
      <c r="M3944" s="1575" t="s">
        <v>3541</v>
      </c>
      <c r="N3944" s="1576"/>
      <c r="O3944" s="1577" t="s">
        <v>3598</v>
      </c>
      <c r="P3944" s="1578"/>
      <c r="Q3944" s="1579" t="s">
        <v>3599</v>
      </c>
      <c r="R3944" s="1580"/>
      <c r="S3944" s="1583" t="s">
        <v>3953</v>
      </c>
      <c r="T3944" s="1583"/>
      <c r="U3944" s="1583" t="s">
        <v>3954</v>
      </c>
      <c r="V3944" s="1583"/>
    </row>
    <row r="3945" spans="7:22">
      <c r="G3945" s="1097"/>
      <c r="H3945" s="1261"/>
      <c r="I3945" s="1300" t="s">
        <v>4661</v>
      </c>
      <c r="J3945" s="49">
        <v>29040000</v>
      </c>
      <c r="K3945" s="1495" t="s">
        <v>4463</v>
      </c>
      <c r="L3945" s="49">
        <v>11000000</v>
      </c>
      <c r="M3945" s="1495" t="s">
        <v>4613</v>
      </c>
      <c r="N3945" s="1495">
        <v>81000000</v>
      </c>
      <c r="O3945" s="1383"/>
      <c r="P3945" s="644"/>
      <c r="Q3945" s="1279"/>
      <c r="R3945" s="644"/>
      <c r="S3945" s="1223"/>
      <c r="T3945" s="1191"/>
      <c r="U3945" s="1232"/>
      <c r="V3945" s="48"/>
    </row>
    <row r="3946" spans="7:22">
      <c r="G3946" s="1098"/>
      <c r="H3946" s="1172"/>
      <c r="I3946" s="1301" t="s">
        <v>4662</v>
      </c>
      <c r="J3946" s="49">
        <v>30360000</v>
      </c>
      <c r="K3946" s="1495" t="s">
        <v>4573</v>
      </c>
      <c r="L3946" s="49">
        <v>400000</v>
      </c>
      <c r="M3946" s="1495" t="s">
        <v>4656</v>
      </c>
      <c r="N3946" s="49">
        <v>61600000</v>
      </c>
      <c r="O3946" s="1383" t="s">
        <v>4656</v>
      </c>
      <c r="P3946" s="644">
        <v>46400000</v>
      </c>
      <c r="Q3946" s="1290"/>
      <c r="R3946" s="1290"/>
      <c r="S3946" s="1296" t="s">
        <v>4613</v>
      </c>
      <c r="T3946" s="1191">
        <v>2100</v>
      </c>
      <c r="U3946" s="48"/>
      <c r="V3946" s="49"/>
    </row>
    <row r="3947" spans="7:22">
      <c r="G3947" s="48"/>
      <c r="H3947" s="48"/>
      <c r="I3947" s="1302" t="s">
        <v>4663</v>
      </c>
      <c r="J3947" s="49">
        <v>30360000</v>
      </c>
      <c r="K3947" s="1493" t="s">
        <v>4541</v>
      </c>
      <c r="L3947" s="49">
        <v>200000</v>
      </c>
      <c r="M3947" s="1495" t="s">
        <v>1962</v>
      </c>
      <c r="N3947" s="49">
        <v>8400000</v>
      </c>
      <c r="O3947" s="1383"/>
      <c r="P3947" s="644"/>
      <c r="Q3947" s="1303" t="s">
        <v>4665</v>
      </c>
      <c r="R3947" s="644">
        <v>2450000</v>
      </c>
      <c r="S3947" s="1287"/>
      <c r="T3947" s="1191">
        <v>1200</v>
      </c>
      <c r="U3947" s="1287"/>
      <c r="V3947" s="1191"/>
    </row>
    <row r="3948" spans="7:22">
      <c r="G3948" s="48"/>
      <c r="H3948" s="48"/>
      <c r="I3948" s="1301" t="s">
        <v>4664</v>
      </c>
      <c r="J3948" s="49">
        <v>30360000</v>
      </c>
      <c r="K3948" s="1493" t="s">
        <v>4657</v>
      </c>
      <c r="L3948" s="49">
        <v>6000000</v>
      </c>
      <c r="M3948" s="1493" t="s">
        <v>4658</v>
      </c>
      <c r="N3948" s="49">
        <v>249000000</v>
      </c>
      <c r="O3948" s="1383"/>
      <c r="P3948" s="644"/>
      <c r="Q3948" s="1288"/>
      <c r="R3948" s="644"/>
      <c r="S3948" s="1289"/>
      <c r="T3948" s="1293">
        <v>200</v>
      </c>
      <c r="U3948" s="1289"/>
      <c r="V3948" s="1293"/>
    </row>
    <row r="3949" spans="7:22">
      <c r="G3949" s="48"/>
      <c r="H3949" s="48"/>
      <c r="I3949" s="1289"/>
      <c r="J3949" s="49"/>
      <c r="K3949" s="1493" t="s">
        <v>4660</v>
      </c>
      <c r="L3949" s="49">
        <v>231800000</v>
      </c>
      <c r="M3949" s="1493" t="s">
        <v>4659</v>
      </c>
      <c r="N3949" s="49">
        <v>231800000</v>
      </c>
      <c r="O3949" s="1383"/>
      <c r="P3949" s="644"/>
      <c r="Q3949" s="1288"/>
      <c r="R3949" s="644"/>
      <c r="S3949" s="48"/>
      <c r="T3949" s="1293"/>
      <c r="U3949" s="48"/>
      <c r="V3949" s="49"/>
    </row>
    <row r="3950" spans="7:22">
      <c r="G3950" s="48"/>
      <c r="H3950" s="48"/>
      <c r="I3950" s="1289"/>
      <c r="J3950" s="49"/>
      <c r="K3950" s="1495"/>
      <c r="L3950" s="49"/>
      <c r="M3950" s="1495"/>
      <c r="N3950" s="49"/>
      <c r="O3950" s="1383"/>
      <c r="P3950" s="644"/>
      <c r="Q3950" s="1288"/>
      <c r="R3950" s="644"/>
      <c r="S3950" s="48"/>
      <c r="T3950" s="1293"/>
      <c r="U3950" s="48"/>
      <c r="V3950" s="49"/>
    </row>
    <row r="3951" spans="7:22">
      <c r="G3951" s="48"/>
      <c r="H3951" s="48"/>
      <c r="I3951" s="1282"/>
      <c r="J3951" s="49"/>
      <c r="K3951" s="1493"/>
      <c r="L3951" s="49"/>
      <c r="M3951" s="1495"/>
      <c r="N3951" s="49"/>
      <c r="O3951" s="1383"/>
      <c r="P3951" s="644"/>
      <c r="Q3951" s="1290"/>
      <c r="R3951" s="644"/>
      <c r="S3951" s="48"/>
      <c r="T3951" s="1293"/>
      <c r="U3951" s="48"/>
      <c r="V3951" s="49"/>
    </row>
    <row r="3952" spans="7:22">
      <c r="G3952" s="48"/>
      <c r="H3952" s="48"/>
      <c r="I3952" s="1184"/>
      <c r="J3952" s="49"/>
      <c r="K3952" s="1532"/>
      <c r="L3952" s="49"/>
      <c r="M3952" s="1498"/>
      <c r="N3952" s="49"/>
      <c r="O3952" s="1383"/>
      <c r="P3952" s="644"/>
      <c r="Q3952" s="1291"/>
      <c r="R3952" s="644"/>
      <c r="S3952" s="48"/>
      <c r="T3952" s="1293"/>
      <c r="U3952" s="48"/>
      <c r="V3952" s="49"/>
    </row>
    <row r="3953" spans="7:22">
      <c r="G3953" s="48"/>
      <c r="H3953" s="48"/>
      <c r="I3953" s="48"/>
      <c r="J3953" s="49"/>
      <c r="K3953" s="1495"/>
      <c r="L3953" s="49"/>
      <c r="M3953" s="1498"/>
      <c r="N3953" s="49"/>
      <c r="O3953" s="644"/>
      <c r="P3953" s="644"/>
      <c r="Q3953" s="1290"/>
      <c r="R3953" s="644"/>
      <c r="S3953" s="48"/>
      <c r="T3953" s="1293"/>
      <c r="U3953" s="48"/>
      <c r="V3953" s="49"/>
    </row>
    <row r="3954" spans="7:22">
      <c r="G3954" s="48"/>
      <c r="H3954" s="48"/>
      <c r="I3954" s="48"/>
      <c r="J3954" s="49"/>
      <c r="K3954" s="1495"/>
      <c r="L3954" s="49"/>
      <c r="M3954" s="1498"/>
      <c r="N3954" s="49"/>
      <c r="O3954" s="644"/>
      <c r="P3954" s="644"/>
      <c r="Q3954" s="1290"/>
      <c r="R3954" s="644"/>
      <c r="S3954" s="48"/>
      <c r="T3954" s="1293"/>
      <c r="U3954" s="48"/>
      <c r="V3954" s="49"/>
    </row>
    <row r="3955" spans="7:22">
      <c r="G3955" s="48"/>
      <c r="H3955" s="48"/>
      <c r="I3955" s="48"/>
      <c r="J3955" s="49"/>
      <c r="K3955" s="1495"/>
      <c r="L3955" s="49"/>
      <c r="M3955" s="1498"/>
      <c r="N3955" s="49"/>
      <c r="O3955" s="644"/>
      <c r="P3955" s="644"/>
      <c r="Q3955" s="1290"/>
      <c r="R3955" s="644"/>
      <c r="S3955" s="48"/>
      <c r="T3955" s="1293"/>
      <c r="U3955" s="48"/>
      <c r="V3955" s="48"/>
    </row>
    <row r="3956" spans="7:22">
      <c r="G3956" s="48"/>
      <c r="H3956" s="48"/>
      <c r="I3956" s="48"/>
      <c r="J3956" s="49"/>
      <c r="K3956" s="1498"/>
      <c r="L3956" s="49"/>
      <c r="M3956" s="1498"/>
      <c r="N3956" s="49"/>
      <c r="O3956" s="644"/>
      <c r="P3956" s="644"/>
      <c r="Q3956" s="1290"/>
      <c r="R3956" s="644"/>
      <c r="S3956" s="48"/>
      <c r="T3956" s="1293"/>
      <c r="U3956" s="48"/>
      <c r="V3956" s="48"/>
    </row>
    <row r="3957" spans="7:22">
      <c r="G3957" s="48"/>
      <c r="H3957" s="48"/>
      <c r="I3957" s="48"/>
      <c r="J3957" s="49"/>
      <c r="K3957" s="1498"/>
      <c r="L3957" s="49"/>
      <c r="M3957" s="1498"/>
      <c r="N3957" s="49"/>
      <c r="O3957" s="644"/>
      <c r="P3957" s="644"/>
      <c r="Q3957" s="1290"/>
      <c r="R3957" s="644"/>
      <c r="S3957" s="48"/>
      <c r="T3957" s="1293"/>
      <c r="U3957" s="48"/>
      <c r="V3957" s="48"/>
    </row>
    <row r="3958" spans="7:22">
      <c r="G3958" s="48"/>
      <c r="H3958" s="48"/>
      <c r="I3958" s="48"/>
      <c r="J3958" s="49"/>
      <c r="K3958" s="1498"/>
      <c r="L3958" s="49"/>
      <c r="M3958" s="1498"/>
      <c r="N3958" s="49"/>
      <c r="O3958" s="644"/>
      <c r="P3958" s="644"/>
      <c r="Q3958" s="1290"/>
      <c r="R3958" s="644"/>
      <c r="S3958" s="48"/>
      <c r="T3958" s="1293"/>
      <c r="U3958" s="48"/>
      <c r="V3958" s="48"/>
    </row>
    <row r="3959" spans="7:22">
      <c r="G3959" s="48"/>
      <c r="H3959" s="48"/>
      <c r="I3959" s="48"/>
      <c r="J3959" s="49"/>
      <c r="K3959" s="1498"/>
      <c r="L3959" s="49"/>
      <c r="M3959" s="1498"/>
      <c r="N3959" s="49"/>
      <c r="O3959" s="644"/>
      <c r="P3959" s="644"/>
      <c r="Q3959" s="1290"/>
      <c r="R3959" s="644"/>
      <c r="S3959" s="48"/>
      <c r="T3959" s="1293"/>
      <c r="U3959" s="48"/>
      <c r="V3959" s="48"/>
    </row>
    <row r="3960" spans="7:22">
      <c r="G3960" s="48"/>
      <c r="H3960" s="48"/>
      <c r="I3960" s="48"/>
      <c r="J3960" s="49"/>
      <c r="K3960" s="49"/>
      <c r="L3960" s="49"/>
      <c r="M3960" s="1498"/>
      <c r="N3960" s="49"/>
      <c r="O3960" s="644"/>
      <c r="P3960" s="644"/>
      <c r="Q3960" s="1290"/>
      <c r="R3960" s="644"/>
      <c r="S3960" s="48"/>
      <c r="T3960" s="1293"/>
      <c r="U3960" s="48"/>
      <c r="V3960" s="48"/>
    </row>
    <row r="3961" spans="7:22">
      <c r="G3961" s="48"/>
      <c r="H3961" s="48"/>
      <c r="I3961" s="48"/>
      <c r="J3961" s="954">
        <f>SUM(J3945:J3953)</f>
        <v>120120000</v>
      </c>
      <c r="K3961" s="954"/>
      <c r="L3961" s="954">
        <f>SUM(L3945:L3960)</f>
        <v>249400000</v>
      </c>
      <c r="M3961" s="1498"/>
      <c r="N3961" s="954">
        <f>SUM(N3945:N3960)</f>
        <v>631800000</v>
      </c>
      <c r="O3961" s="644"/>
      <c r="P3961" s="969">
        <f>SUM(P3945:P3952)</f>
        <v>46400000</v>
      </c>
      <c r="Q3961" s="969"/>
      <c r="R3961" s="969">
        <f>SUM(R3945:R3960)</f>
        <v>2450000</v>
      </c>
      <c r="S3961" s="48"/>
      <c r="T3961" s="1178">
        <f>SUM(T3945:T3960)</f>
        <v>3500</v>
      </c>
      <c r="U3961" s="48"/>
      <c r="V3961" s="878">
        <f>SUM(V3945:V3960)</f>
        <v>0</v>
      </c>
    </row>
    <row r="3962" spans="7:22">
      <c r="T3962" s="1292"/>
    </row>
    <row r="3963" spans="7:22">
      <c r="T3963" s="1292"/>
    </row>
    <row r="3964" spans="7:22">
      <c r="R3964" s="661"/>
      <c r="T3964" s="1292"/>
    </row>
    <row r="3965" spans="7:22">
      <c r="T3965" s="1292"/>
    </row>
    <row r="3966" spans="7:22">
      <c r="T3966" s="1292"/>
    </row>
    <row r="3967" spans="7:22">
      <c r="I3967" s="946"/>
      <c r="M3967" s="1533" t="s">
        <v>3699</v>
      </c>
      <c r="O3967" s="1535" t="s">
        <v>3741</v>
      </c>
      <c r="P3967" s="1512">
        <f>P3961-R3961</f>
        <v>43950000</v>
      </c>
      <c r="S3967" s="906" t="s">
        <v>4049</v>
      </c>
      <c r="T3967" s="1107">
        <f>T3961-V3961</f>
        <v>3500</v>
      </c>
    </row>
    <row r="3968" spans="7:22">
      <c r="G3968" s="1574" t="s">
        <v>3530</v>
      </c>
      <c r="H3968" s="1574"/>
      <c r="I3968" s="1574"/>
      <c r="J3968" s="3">
        <f>J3961+L3961</f>
        <v>369520000</v>
      </c>
      <c r="K3968" s="1009"/>
      <c r="L3968" s="3"/>
      <c r="M3968" s="1533" t="s">
        <v>3664</v>
      </c>
      <c r="N3968" s="1527"/>
      <c r="O3968" s="1535" t="s">
        <v>4066</v>
      </c>
      <c r="P3968" s="1512"/>
      <c r="T3968" s="1292"/>
    </row>
    <row r="3969" spans="7:22">
      <c r="G3969" s="1574" t="s">
        <v>3512</v>
      </c>
      <c r="H3969" s="1574"/>
      <c r="I3969" s="1574"/>
      <c r="J3969" s="3">
        <f>N3961-J3968</f>
        <v>262280000</v>
      </c>
      <c r="K3969" s="1009"/>
      <c r="L3969" s="3"/>
      <c r="M3969" s="1528"/>
      <c r="O3969" s="1529"/>
      <c r="Q3969" s="661"/>
      <c r="T3969" s="1292"/>
    </row>
    <row r="3970" spans="7:22">
      <c r="G3970" s="1574" t="s">
        <v>3531</v>
      </c>
      <c r="H3970" s="1574"/>
      <c r="I3970" s="1574"/>
      <c r="J3970" s="3">
        <f>T3967</f>
        <v>3500</v>
      </c>
      <c r="Q3970" s="3"/>
      <c r="T3970" s="1292"/>
    </row>
    <row r="3971" spans="7:22">
      <c r="G3971" s="1564" t="s">
        <v>4455</v>
      </c>
      <c r="H3971" s="1564"/>
      <c r="I3971" s="1564"/>
      <c r="J3971" s="3">
        <f>+P3967</f>
        <v>43950000</v>
      </c>
      <c r="R3971" s="3"/>
      <c r="T3971" s="1292"/>
    </row>
    <row r="3972" spans="7:22">
      <c r="T3972" s="1292"/>
    </row>
    <row r="3973" spans="7:22">
      <c r="T3973" s="1292"/>
    </row>
    <row r="3976" spans="7:22">
      <c r="T3976" s="1292"/>
    </row>
    <row r="3977" spans="7:22">
      <c r="T3977" s="1292"/>
    </row>
    <row r="3978" spans="7:22">
      <c r="T3978" s="1292"/>
    </row>
    <row r="3979" spans="7:22">
      <c r="G3979" s="1008">
        <v>46063</v>
      </c>
      <c r="H3979" s="1169"/>
      <c r="I3979" s="1575" t="s">
        <v>3510</v>
      </c>
      <c r="J3979" s="1576"/>
      <c r="K3979" s="1575" t="s">
        <v>3509</v>
      </c>
      <c r="L3979" s="1576"/>
      <c r="M3979" s="1575" t="s">
        <v>3541</v>
      </c>
      <c r="N3979" s="1576"/>
      <c r="O3979" s="1577" t="s">
        <v>3598</v>
      </c>
      <c r="P3979" s="1578"/>
      <c r="Q3979" s="1579" t="s">
        <v>3599</v>
      </c>
      <c r="R3979" s="1580"/>
      <c r="S3979" s="1583" t="s">
        <v>3953</v>
      </c>
      <c r="T3979" s="1583"/>
      <c r="U3979" s="1583" t="s">
        <v>3954</v>
      </c>
      <c r="V3979" s="1583"/>
    </row>
    <row r="3980" spans="7:22">
      <c r="G3980" s="1097"/>
      <c r="H3980" s="1261"/>
      <c r="I3980" s="1300" t="s">
        <v>4667</v>
      </c>
      <c r="J3980" s="49">
        <v>21200000</v>
      </c>
      <c r="K3980" s="1495" t="s">
        <v>4666</v>
      </c>
      <c r="L3980" s="49">
        <v>2000000</v>
      </c>
      <c r="M3980" s="1495" t="s">
        <v>4613</v>
      </c>
      <c r="N3980" s="1495">
        <v>180300000</v>
      </c>
      <c r="O3980" s="1383"/>
      <c r="P3980" s="644"/>
      <c r="Q3980" s="1279"/>
      <c r="R3980" s="644"/>
      <c r="S3980" s="1223"/>
      <c r="T3980" s="1191"/>
      <c r="U3980" s="1232"/>
      <c r="V3980" s="48"/>
    </row>
    <row r="3981" spans="7:22">
      <c r="G3981" s="1098"/>
      <c r="H3981" s="1172"/>
      <c r="I3981" s="1301" t="s">
        <v>4669</v>
      </c>
      <c r="J3981" s="49">
        <v>23250000</v>
      </c>
      <c r="K3981" s="1495" t="s">
        <v>4671</v>
      </c>
      <c r="L3981" s="49">
        <v>7500000</v>
      </c>
      <c r="M3981" s="1495"/>
      <c r="N3981" s="49"/>
      <c r="O3981" s="1383" t="s">
        <v>4656</v>
      </c>
      <c r="P3981" s="644">
        <v>46400000</v>
      </c>
      <c r="Q3981" s="1290"/>
      <c r="R3981" s="1290"/>
      <c r="S3981" s="1296" t="s">
        <v>4613</v>
      </c>
      <c r="T3981" s="1191">
        <v>0</v>
      </c>
      <c r="U3981" s="48"/>
      <c r="V3981" s="49"/>
    </row>
    <row r="3982" spans="7:22">
      <c r="G3982" s="48"/>
      <c r="H3982" s="48"/>
      <c r="I3982" s="1302" t="s">
        <v>4670</v>
      </c>
      <c r="J3982" s="49">
        <v>26000000</v>
      </c>
      <c r="K3982" s="1493"/>
      <c r="L3982" s="49"/>
      <c r="M3982" s="1495"/>
      <c r="N3982" s="49"/>
      <c r="O3982" s="1383"/>
      <c r="P3982" s="644">
        <v>5500000</v>
      </c>
      <c r="Q3982" s="1303"/>
      <c r="R3982" s="644"/>
      <c r="S3982" s="1287"/>
      <c r="T3982" s="1191"/>
      <c r="U3982" s="1287"/>
      <c r="V3982" s="1191"/>
    </row>
    <row r="3983" spans="7:22">
      <c r="G3983" s="48"/>
      <c r="H3983" s="48"/>
      <c r="I3983" s="1301" t="s">
        <v>4672</v>
      </c>
      <c r="J3983" s="49">
        <v>17600000</v>
      </c>
      <c r="K3983" s="1493"/>
      <c r="L3983" s="49"/>
      <c r="M3983" s="1493"/>
      <c r="N3983" s="49"/>
      <c r="O3983" s="1383"/>
      <c r="P3983" s="644"/>
      <c r="Q3983" s="1303" t="s">
        <v>4668</v>
      </c>
      <c r="R3983" s="644">
        <v>30030000</v>
      </c>
      <c r="S3983" s="1289"/>
      <c r="T3983" s="1293"/>
      <c r="U3983" s="1289"/>
      <c r="V3983" s="1293"/>
    </row>
    <row r="3984" spans="7:22">
      <c r="G3984" s="48"/>
      <c r="H3984" s="48"/>
      <c r="I3984" s="1302" t="s">
        <v>4673</v>
      </c>
      <c r="J3984" s="49">
        <v>30360000</v>
      </c>
      <c r="K3984" s="1493"/>
      <c r="L3984" s="49"/>
      <c r="M3984" s="1493"/>
      <c r="N3984" s="49"/>
      <c r="O3984" s="1383"/>
      <c r="P3984" s="644"/>
      <c r="Q3984" s="1288"/>
      <c r="R3984" s="644">
        <v>3700000</v>
      </c>
      <c r="S3984" s="48"/>
      <c r="T3984" s="1293"/>
      <c r="U3984" s="48"/>
      <c r="V3984" s="49"/>
    </row>
    <row r="3985" spans="7:22">
      <c r="G3985" s="48"/>
      <c r="H3985" s="48"/>
      <c r="I3985" s="1302" t="s">
        <v>4674</v>
      </c>
      <c r="J3985" s="49">
        <v>23000000</v>
      </c>
      <c r="K3985" s="1495"/>
      <c r="L3985" s="49"/>
      <c r="M3985" s="1495"/>
      <c r="N3985" s="49"/>
      <c r="O3985" s="1383"/>
      <c r="P3985" s="644"/>
      <c r="Q3985" s="1302" t="s">
        <v>4675</v>
      </c>
      <c r="R3985" s="644">
        <v>15640000</v>
      </c>
      <c r="S3985" s="48"/>
      <c r="T3985" s="1293"/>
      <c r="U3985" s="48"/>
      <c r="V3985" s="49"/>
    </row>
    <row r="3986" spans="7:22">
      <c r="G3986" s="48"/>
      <c r="H3986" s="48"/>
      <c r="I3986" s="1302" t="s">
        <v>4675</v>
      </c>
      <c r="J3986" s="49">
        <v>1100000</v>
      </c>
      <c r="K3986" s="1493"/>
      <c r="L3986" s="49"/>
      <c r="M3986" s="1495"/>
      <c r="N3986" s="49"/>
      <c r="O3986" s="1383"/>
      <c r="P3986" s="644"/>
      <c r="Q3986" s="1290"/>
      <c r="R3986" s="644"/>
      <c r="S3986" s="48"/>
      <c r="T3986" s="1293"/>
      <c r="U3986" s="48"/>
      <c r="V3986" s="49"/>
    </row>
    <row r="3987" spans="7:22">
      <c r="G3987" s="48"/>
      <c r="H3987" s="48"/>
      <c r="I3987" s="1184"/>
      <c r="J3987" s="49"/>
      <c r="K3987" s="1532"/>
      <c r="L3987" s="49"/>
      <c r="M3987" s="1498"/>
      <c r="N3987" s="49"/>
      <c r="O3987" s="1383"/>
      <c r="P3987" s="644"/>
      <c r="Q3987" s="1291"/>
      <c r="R3987" s="644"/>
      <c r="S3987" s="48"/>
      <c r="T3987" s="1293"/>
      <c r="U3987" s="48"/>
      <c r="V3987" s="49"/>
    </row>
    <row r="3988" spans="7:22">
      <c r="G3988" s="48"/>
      <c r="H3988" s="48"/>
      <c r="I3988" s="48"/>
      <c r="J3988" s="49"/>
      <c r="K3988" s="1495"/>
      <c r="L3988" s="49"/>
      <c r="M3988" s="1498"/>
      <c r="N3988" s="49"/>
      <c r="O3988" s="644"/>
      <c r="P3988" s="644"/>
      <c r="Q3988" s="1290"/>
      <c r="R3988" s="644"/>
      <c r="S3988" s="48"/>
      <c r="T3988" s="1293"/>
      <c r="U3988" s="48"/>
      <c r="V3988" s="49"/>
    </row>
    <row r="3989" spans="7:22">
      <c r="G3989" s="48"/>
      <c r="H3989" s="48"/>
      <c r="I3989" s="48"/>
      <c r="J3989" s="49"/>
      <c r="K3989" s="1495"/>
      <c r="L3989" s="49"/>
      <c r="M3989" s="1498"/>
      <c r="N3989" s="49"/>
      <c r="O3989" s="644"/>
      <c r="P3989" s="644"/>
      <c r="Q3989" s="1290"/>
      <c r="R3989" s="644"/>
      <c r="S3989" s="48"/>
      <c r="T3989" s="1293"/>
      <c r="U3989" s="48"/>
      <c r="V3989" s="49"/>
    </row>
    <row r="3990" spans="7:22">
      <c r="G3990" s="48"/>
      <c r="H3990" s="48"/>
      <c r="I3990" s="48"/>
      <c r="J3990" s="49"/>
      <c r="K3990" s="1495"/>
      <c r="L3990" s="49"/>
      <c r="M3990" s="1498"/>
      <c r="N3990" s="49"/>
      <c r="O3990" s="644"/>
      <c r="P3990" s="644"/>
      <c r="Q3990" s="1290"/>
      <c r="R3990" s="644"/>
      <c r="S3990" s="48"/>
      <c r="T3990" s="1293"/>
      <c r="U3990" s="48"/>
      <c r="V3990" s="48"/>
    </row>
    <row r="3991" spans="7:22">
      <c r="G3991" s="48"/>
      <c r="H3991" s="48"/>
      <c r="I3991" s="48"/>
      <c r="J3991" s="49"/>
      <c r="K3991" s="1498"/>
      <c r="L3991" s="49"/>
      <c r="M3991" s="1498"/>
      <c r="N3991" s="49"/>
      <c r="O3991" s="644"/>
      <c r="P3991" s="644"/>
      <c r="Q3991" s="1290"/>
      <c r="R3991" s="644"/>
      <c r="S3991" s="48"/>
      <c r="T3991" s="1293"/>
      <c r="U3991" s="48"/>
      <c r="V3991" s="48"/>
    </row>
    <row r="3992" spans="7:22">
      <c r="G3992" s="48"/>
      <c r="H3992" s="48"/>
      <c r="I3992" s="48"/>
      <c r="J3992" s="49"/>
      <c r="K3992" s="1498"/>
      <c r="L3992" s="49"/>
      <c r="M3992" s="1498"/>
      <c r="N3992" s="49"/>
      <c r="O3992" s="644"/>
      <c r="P3992" s="644"/>
      <c r="Q3992" s="1290"/>
      <c r="R3992" s="644"/>
      <c r="S3992" s="48"/>
      <c r="T3992" s="1293"/>
      <c r="U3992" s="48"/>
      <c r="V3992" s="48"/>
    </row>
    <row r="3993" spans="7:22">
      <c r="G3993" s="48"/>
      <c r="H3993" s="48"/>
      <c r="I3993" s="48"/>
      <c r="J3993" s="49"/>
      <c r="K3993" s="1498"/>
      <c r="L3993" s="49"/>
      <c r="M3993" s="1498"/>
      <c r="N3993" s="49"/>
      <c r="O3993" s="644"/>
      <c r="P3993" s="644"/>
      <c r="Q3993" s="1290"/>
      <c r="R3993" s="644"/>
      <c r="S3993" s="48"/>
      <c r="T3993" s="1293"/>
      <c r="U3993" s="48"/>
      <c r="V3993" s="48"/>
    </row>
    <row r="3994" spans="7:22">
      <c r="G3994" s="48"/>
      <c r="H3994" s="48"/>
      <c r="I3994" s="48"/>
      <c r="J3994" s="49"/>
      <c r="K3994" s="1498"/>
      <c r="L3994" s="49"/>
      <c r="M3994" s="1498"/>
      <c r="N3994" s="49"/>
      <c r="O3994" s="644"/>
      <c r="P3994" s="644"/>
      <c r="Q3994" s="1290"/>
      <c r="R3994" s="644"/>
      <c r="S3994" s="48"/>
      <c r="T3994" s="1293"/>
      <c r="U3994" s="48"/>
      <c r="V3994" s="48"/>
    </row>
    <row r="3995" spans="7:22">
      <c r="G3995" s="48"/>
      <c r="H3995" s="48"/>
      <c r="I3995" s="48"/>
      <c r="J3995" s="49"/>
      <c r="K3995" s="49"/>
      <c r="L3995" s="49"/>
      <c r="M3995" s="1498"/>
      <c r="N3995" s="49"/>
      <c r="O3995" s="644"/>
      <c r="P3995" s="644"/>
      <c r="Q3995" s="1290"/>
      <c r="R3995" s="644"/>
      <c r="S3995" s="48"/>
      <c r="T3995" s="1293"/>
      <c r="U3995" s="48"/>
      <c r="V3995" s="48"/>
    </row>
    <row r="3996" spans="7:22">
      <c r="G3996" s="48"/>
      <c r="H3996" s="48"/>
      <c r="I3996" s="48"/>
      <c r="J3996" s="954">
        <f>SUM(J3980:J3988)</f>
        <v>142510000</v>
      </c>
      <c r="K3996" s="954"/>
      <c r="L3996" s="954">
        <f>SUM(L3980:L3995)</f>
        <v>9500000</v>
      </c>
      <c r="M3996" s="1498"/>
      <c r="N3996" s="954">
        <f>SUM(N3980:N3995)</f>
        <v>180300000</v>
      </c>
      <c r="O3996" s="644"/>
      <c r="P3996" s="969">
        <f>SUM(P3980:P3987)</f>
        <v>51900000</v>
      </c>
      <c r="Q3996" s="969"/>
      <c r="R3996" s="969">
        <f>SUM(R3980:R3995)</f>
        <v>49370000</v>
      </c>
      <c r="S3996" s="48"/>
      <c r="T3996" s="1178">
        <f>SUM(T3980:T3995)</f>
        <v>0</v>
      </c>
      <c r="U3996" s="48"/>
      <c r="V3996" s="878">
        <f>SUM(V3980:V3995)</f>
        <v>0</v>
      </c>
    </row>
    <row r="3997" spans="7:22">
      <c r="T3997" s="1292"/>
    </row>
    <row r="3998" spans="7:22">
      <c r="T3998" s="1292"/>
    </row>
    <row r="3999" spans="7:22">
      <c r="R3999" s="661"/>
      <c r="T3999" s="1292"/>
    </row>
    <row r="4000" spans="7:22">
      <c r="T4000" s="1292"/>
    </row>
    <row r="4001" spans="7:22">
      <c r="T4001" s="1292"/>
    </row>
    <row r="4002" spans="7:22">
      <c r="I4002" s="946"/>
      <c r="M4002" s="1533" t="s">
        <v>3699</v>
      </c>
      <c r="O4002" s="1535" t="s">
        <v>3741</v>
      </c>
      <c r="P4002" s="1512">
        <f>P3996-R3996</f>
        <v>2530000</v>
      </c>
      <c r="S4002" s="906" t="s">
        <v>4049</v>
      </c>
      <c r="T4002" s="1107">
        <f>T3996-V3996</f>
        <v>0</v>
      </c>
    </row>
    <row r="4003" spans="7:22">
      <c r="G4003" s="1574" t="s">
        <v>3530</v>
      </c>
      <c r="H4003" s="1574"/>
      <c r="I4003" s="1574"/>
      <c r="J4003" s="3">
        <f>J3996+L3996</f>
        <v>152010000</v>
      </c>
      <c r="K4003" s="1009"/>
      <c r="L4003" s="3"/>
      <c r="M4003" s="1533" t="s">
        <v>3664</v>
      </c>
      <c r="N4003" s="1527"/>
      <c r="O4003" s="1535" t="s">
        <v>4066</v>
      </c>
      <c r="P4003" s="1512"/>
      <c r="T4003" s="1292"/>
    </row>
    <row r="4004" spans="7:22">
      <c r="G4004" s="1574" t="s">
        <v>3512</v>
      </c>
      <c r="H4004" s="1574"/>
      <c r="I4004" s="1574"/>
      <c r="J4004" s="3">
        <f>N3996-J4003</f>
        <v>28290000</v>
      </c>
      <c r="K4004" s="1009"/>
      <c r="L4004" s="3"/>
      <c r="M4004" s="1528"/>
      <c r="O4004" s="1529"/>
      <c r="Q4004" s="661"/>
      <c r="T4004" s="1292"/>
    </row>
    <row r="4005" spans="7:22">
      <c r="G4005" s="1574" t="s">
        <v>3531</v>
      </c>
      <c r="H4005" s="1574"/>
      <c r="I4005" s="1574"/>
      <c r="J4005" s="3">
        <f>T4002</f>
        <v>0</v>
      </c>
      <c r="Q4005" s="3"/>
      <c r="T4005" s="1292"/>
    </row>
    <row r="4006" spans="7:22">
      <c r="G4006" s="1564" t="s">
        <v>4455</v>
      </c>
      <c r="H4006" s="1564"/>
      <c r="I4006" s="1564"/>
      <c r="J4006" s="3">
        <f>+P4002</f>
        <v>2530000</v>
      </c>
      <c r="R4006" s="3"/>
      <c r="T4006" s="1292"/>
    </row>
    <row r="4007" spans="7:22">
      <c r="T4007" s="1292"/>
    </row>
    <row r="4010" spans="7:22">
      <c r="T4010" s="1292"/>
    </row>
    <row r="4011" spans="7:22">
      <c r="T4011" s="1292"/>
    </row>
    <row r="4012" spans="7:22">
      <c r="G4012" s="1008">
        <v>46064</v>
      </c>
      <c r="H4012" s="1169"/>
      <c r="I4012" s="1575" t="s">
        <v>3510</v>
      </c>
      <c r="J4012" s="1576"/>
      <c r="K4012" s="1575" t="s">
        <v>3509</v>
      </c>
      <c r="L4012" s="1576"/>
      <c r="M4012" s="1575" t="s">
        <v>3541</v>
      </c>
      <c r="N4012" s="1576"/>
      <c r="O4012" s="1577" t="s">
        <v>3598</v>
      </c>
      <c r="P4012" s="1578"/>
      <c r="Q4012" s="1579" t="s">
        <v>3599</v>
      </c>
      <c r="R4012" s="1580"/>
      <c r="S4012" s="1583" t="s">
        <v>3953</v>
      </c>
      <c r="T4012" s="1583"/>
      <c r="U4012" s="1583" t="s">
        <v>3954</v>
      </c>
      <c r="V4012" s="1583"/>
    </row>
    <row r="4013" spans="7:22">
      <c r="G4013" s="1097"/>
      <c r="H4013" s="1261"/>
      <c r="I4013" s="1300" t="s">
        <v>4678</v>
      </c>
      <c r="J4013" s="49">
        <f>30000000*0.92</f>
        <v>27600000</v>
      </c>
      <c r="K4013" s="1495" t="s">
        <v>4680</v>
      </c>
      <c r="L4013" s="49">
        <v>5000000</v>
      </c>
      <c r="M4013" s="1495" t="s">
        <v>4613</v>
      </c>
      <c r="N4013" s="1495">
        <v>177600000</v>
      </c>
      <c r="O4013" s="1383"/>
      <c r="P4013" s="644"/>
      <c r="Q4013" s="1279"/>
      <c r="R4013" s="644"/>
      <c r="S4013" s="1223"/>
      <c r="T4013" s="1191"/>
      <c r="U4013" s="1232"/>
      <c r="V4013" s="48"/>
    </row>
    <row r="4014" spans="7:22">
      <c r="G4014" s="1098"/>
      <c r="H4014" s="1172"/>
      <c r="I4014" s="1301" t="s">
        <v>4679</v>
      </c>
      <c r="J4014" s="49">
        <v>27600000</v>
      </c>
      <c r="K4014" s="1495" t="s">
        <v>4681</v>
      </c>
      <c r="L4014" s="49">
        <v>9000000</v>
      </c>
      <c r="M4014" s="1495" t="s">
        <v>4684</v>
      </c>
      <c r="N4014" s="49">
        <v>4000000</v>
      </c>
      <c r="O4014" s="1383" t="s">
        <v>4676</v>
      </c>
      <c r="P4014" s="644">
        <v>6000000</v>
      </c>
      <c r="Q4014" s="1290"/>
      <c r="R4014" s="1290"/>
      <c r="S4014" s="1296" t="s">
        <v>4613</v>
      </c>
      <c r="T4014" s="1191">
        <v>0</v>
      </c>
      <c r="U4014" s="48"/>
      <c r="V4014" s="49"/>
    </row>
    <row r="4015" spans="7:22">
      <c r="G4015" s="48"/>
      <c r="H4015" s="48"/>
      <c r="I4015" s="1306" t="s">
        <v>4683</v>
      </c>
      <c r="J4015" s="49">
        <v>20240000</v>
      </c>
      <c r="K4015" s="1493" t="s">
        <v>4682</v>
      </c>
      <c r="L4015" s="49">
        <v>1000000</v>
      </c>
      <c r="M4015" s="1495" t="s">
        <v>4686</v>
      </c>
      <c r="N4015" s="49">
        <v>20000000</v>
      </c>
      <c r="O4015" s="1383" t="s">
        <v>4677</v>
      </c>
      <c r="P4015" s="644">
        <v>20000000</v>
      </c>
      <c r="Q4015" s="1303"/>
      <c r="R4015" s="644"/>
      <c r="S4015" s="1287"/>
      <c r="T4015" s="1191"/>
      <c r="U4015" s="1287"/>
      <c r="V4015" s="1191"/>
    </row>
    <row r="4016" spans="7:22">
      <c r="G4016" s="48"/>
      <c r="H4016" s="48"/>
      <c r="I4016" s="1308" t="s">
        <v>4685</v>
      </c>
      <c r="J4016" s="49">
        <v>30000000</v>
      </c>
      <c r="K4016" s="1493"/>
      <c r="L4016" s="49"/>
      <c r="M4016" s="1493"/>
      <c r="N4016" s="49"/>
      <c r="O4016" s="1383"/>
      <c r="P4016" s="644"/>
      <c r="Q4016" s="1303"/>
      <c r="R4016" s="644"/>
      <c r="S4016" s="1289"/>
      <c r="T4016" s="1293"/>
      <c r="U4016" s="1289"/>
      <c r="V4016" s="1293"/>
    </row>
    <row r="4017" spans="7:22">
      <c r="G4017" s="48"/>
      <c r="H4017" s="48"/>
      <c r="I4017" s="1306" t="s">
        <v>4687</v>
      </c>
      <c r="J4017" s="49">
        <v>30360000</v>
      </c>
      <c r="K4017" s="1493"/>
      <c r="L4017" s="49"/>
      <c r="M4017" s="1493"/>
      <c r="N4017" s="49"/>
      <c r="O4017" s="1383"/>
      <c r="P4017" s="644"/>
      <c r="Q4017" s="1288"/>
      <c r="R4017" s="644"/>
      <c r="S4017" s="48"/>
      <c r="T4017" s="1293"/>
      <c r="U4017" s="48"/>
      <c r="V4017" s="49"/>
    </row>
    <row r="4018" spans="7:22">
      <c r="G4018" s="48"/>
      <c r="H4018" s="48"/>
      <c r="I4018" s="1302"/>
      <c r="J4018" s="49"/>
      <c r="K4018" s="1495"/>
      <c r="L4018" s="49"/>
      <c r="M4018" s="1495"/>
      <c r="N4018" s="49"/>
      <c r="O4018" s="1383"/>
      <c r="P4018" s="644"/>
      <c r="Q4018" s="1302"/>
      <c r="R4018" s="644"/>
      <c r="S4018" s="48"/>
      <c r="T4018" s="1293"/>
      <c r="U4018" s="48"/>
      <c r="V4018" s="49"/>
    </row>
    <row r="4019" spans="7:22">
      <c r="G4019" s="48"/>
      <c r="H4019" s="48"/>
      <c r="I4019" s="1302"/>
      <c r="J4019" s="49"/>
      <c r="K4019" s="1493"/>
      <c r="L4019" s="49"/>
      <c r="M4019" s="1495"/>
      <c r="N4019" s="49"/>
      <c r="O4019" s="1383"/>
      <c r="P4019" s="644"/>
      <c r="Q4019" s="1290"/>
      <c r="R4019" s="644"/>
      <c r="S4019" s="48"/>
      <c r="T4019" s="1293"/>
      <c r="U4019" s="48"/>
      <c r="V4019" s="49"/>
    </row>
    <row r="4020" spans="7:22">
      <c r="G4020" s="48"/>
      <c r="H4020" s="48"/>
      <c r="I4020" s="1184"/>
      <c r="J4020" s="49"/>
      <c r="K4020" s="1532"/>
      <c r="L4020" s="49"/>
      <c r="M4020" s="1498"/>
      <c r="N4020" s="49"/>
      <c r="O4020" s="1383"/>
      <c r="P4020" s="644"/>
      <c r="Q4020" s="1291"/>
      <c r="R4020" s="644"/>
      <c r="S4020" s="48"/>
      <c r="T4020" s="1293"/>
      <c r="U4020" s="48"/>
      <c r="V4020" s="49"/>
    </row>
    <row r="4021" spans="7:22">
      <c r="G4021" s="48"/>
      <c r="H4021" s="48"/>
      <c r="I4021" s="48"/>
      <c r="J4021" s="49"/>
      <c r="K4021" s="1495"/>
      <c r="L4021" s="49"/>
      <c r="M4021" s="1498"/>
      <c r="N4021" s="49"/>
      <c r="O4021" s="644"/>
      <c r="P4021" s="644"/>
      <c r="Q4021" s="1290"/>
      <c r="R4021" s="644"/>
      <c r="S4021" s="48"/>
      <c r="T4021" s="1293"/>
      <c r="U4021" s="48"/>
      <c r="V4021" s="49"/>
    </row>
    <row r="4022" spans="7:22">
      <c r="G4022" s="48"/>
      <c r="H4022" s="48"/>
      <c r="I4022" s="48"/>
      <c r="J4022" s="49"/>
      <c r="K4022" s="1495"/>
      <c r="L4022" s="49"/>
      <c r="M4022" s="1498"/>
      <c r="N4022" s="49"/>
      <c r="O4022" s="644"/>
      <c r="P4022" s="644"/>
      <c r="Q4022" s="1290"/>
      <c r="R4022" s="644"/>
      <c r="S4022" s="48"/>
      <c r="T4022" s="1293"/>
      <c r="U4022" s="48"/>
      <c r="V4022" s="49"/>
    </row>
    <row r="4023" spans="7:22">
      <c r="G4023" s="48"/>
      <c r="H4023" s="48"/>
      <c r="I4023" s="48"/>
      <c r="J4023" s="49"/>
      <c r="K4023" s="1495"/>
      <c r="L4023" s="49"/>
      <c r="M4023" s="1498"/>
      <c r="N4023" s="49"/>
      <c r="O4023" s="644"/>
      <c r="P4023" s="644"/>
      <c r="Q4023" s="1290"/>
      <c r="R4023" s="644"/>
      <c r="S4023" s="48"/>
      <c r="T4023" s="1293"/>
      <c r="U4023" s="48"/>
      <c r="V4023" s="48"/>
    </row>
    <row r="4024" spans="7:22">
      <c r="G4024" s="48"/>
      <c r="H4024" s="48"/>
      <c r="I4024" s="48"/>
      <c r="J4024" s="49"/>
      <c r="K4024" s="1498"/>
      <c r="L4024" s="49"/>
      <c r="M4024" s="1498"/>
      <c r="N4024" s="49"/>
      <c r="O4024" s="644"/>
      <c r="P4024" s="644"/>
      <c r="Q4024" s="1290"/>
      <c r="R4024" s="644"/>
      <c r="S4024" s="48"/>
      <c r="T4024" s="1293"/>
      <c r="U4024" s="48"/>
      <c r="V4024" s="48"/>
    </row>
    <row r="4025" spans="7:22">
      <c r="G4025" s="48"/>
      <c r="H4025" s="48"/>
      <c r="I4025" s="48"/>
      <c r="J4025" s="49"/>
      <c r="K4025" s="1498"/>
      <c r="L4025" s="49"/>
      <c r="M4025" s="1498"/>
      <c r="N4025" s="49"/>
      <c r="O4025" s="644"/>
      <c r="P4025" s="644"/>
      <c r="Q4025" s="1290"/>
      <c r="R4025" s="644"/>
      <c r="S4025" s="48"/>
      <c r="T4025" s="1293"/>
      <c r="U4025" s="48"/>
      <c r="V4025" s="48"/>
    </row>
    <row r="4026" spans="7:22">
      <c r="G4026" s="48"/>
      <c r="H4026" s="48"/>
      <c r="I4026" s="48"/>
      <c r="J4026" s="49"/>
      <c r="K4026" s="1498"/>
      <c r="L4026" s="49"/>
      <c r="M4026" s="1498"/>
      <c r="N4026" s="49"/>
      <c r="O4026" s="644"/>
      <c r="P4026" s="644"/>
      <c r="Q4026" s="1290"/>
      <c r="R4026" s="644"/>
      <c r="S4026" s="48"/>
      <c r="T4026" s="1293"/>
      <c r="U4026" s="48"/>
      <c r="V4026" s="48"/>
    </row>
    <row r="4027" spans="7:22">
      <c r="G4027" s="48"/>
      <c r="H4027" s="48"/>
      <c r="I4027" s="48"/>
      <c r="J4027" s="49"/>
      <c r="K4027" s="1498"/>
      <c r="L4027" s="49"/>
      <c r="M4027" s="1498"/>
      <c r="N4027" s="49"/>
      <c r="O4027" s="644"/>
      <c r="P4027" s="644"/>
      <c r="Q4027" s="1290"/>
      <c r="R4027" s="644"/>
      <c r="S4027" s="48"/>
      <c r="T4027" s="1293"/>
      <c r="U4027" s="48"/>
      <c r="V4027" s="48"/>
    </row>
    <row r="4028" spans="7:22">
      <c r="G4028" s="48"/>
      <c r="H4028" s="48"/>
      <c r="I4028" s="48"/>
      <c r="J4028" s="49"/>
      <c r="K4028" s="49"/>
      <c r="L4028" s="49"/>
      <c r="M4028" s="1498"/>
      <c r="N4028" s="49"/>
      <c r="O4028" s="644"/>
      <c r="P4028" s="644"/>
      <c r="Q4028" s="1290"/>
      <c r="R4028" s="644"/>
      <c r="S4028" s="48"/>
      <c r="T4028" s="1293"/>
      <c r="U4028" s="48"/>
      <c r="V4028" s="48"/>
    </row>
    <row r="4029" spans="7:22">
      <c r="G4029" s="48"/>
      <c r="H4029" s="48"/>
      <c r="I4029" s="48"/>
      <c r="J4029" s="954">
        <f>SUM(J4013:J4021)</f>
        <v>135800000</v>
      </c>
      <c r="K4029" s="954"/>
      <c r="L4029" s="954">
        <f>SUM(L4013:L4028)</f>
        <v>15000000</v>
      </c>
      <c r="M4029" s="1498"/>
      <c r="N4029" s="954">
        <f>SUM(N4013:N4028)</f>
        <v>201600000</v>
      </c>
      <c r="O4029" s="644"/>
      <c r="P4029" s="969">
        <f>SUM(P4013:P4020)</f>
        <v>26000000</v>
      </c>
      <c r="Q4029" s="969"/>
      <c r="R4029" s="969">
        <f>SUM(R4013:R4028)</f>
        <v>0</v>
      </c>
      <c r="S4029" s="48"/>
      <c r="T4029" s="1178">
        <f>SUM(T4013:T4028)</f>
        <v>0</v>
      </c>
      <c r="U4029" s="48"/>
      <c r="V4029" s="878">
        <f>SUM(V4013:V4028)</f>
        <v>0</v>
      </c>
    </row>
    <row r="4030" spans="7:22">
      <c r="T4030" s="1292"/>
    </row>
    <row r="4031" spans="7:22">
      <c r="T4031" s="1292"/>
    </row>
    <row r="4032" spans="7:22">
      <c r="R4032" s="661"/>
      <c r="T4032" s="1292"/>
    </row>
    <row r="4033" spans="7:22">
      <c r="T4033" s="1292"/>
    </row>
    <row r="4034" spans="7:22">
      <c r="T4034" s="1292"/>
    </row>
    <row r="4035" spans="7:22">
      <c r="I4035" s="946"/>
      <c r="M4035" s="1533" t="s">
        <v>3699</v>
      </c>
      <c r="O4035" s="1535" t="s">
        <v>3741</v>
      </c>
      <c r="P4035" s="1512">
        <f>P4029-R4029</f>
        <v>26000000</v>
      </c>
      <c r="S4035" s="906" t="s">
        <v>4049</v>
      </c>
      <c r="T4035" s="1107">
        <f>T4029-V4029</f>
        <v>0</v>
      </c>
    </row>
    <row r="4036" spans="7:22">
      <c r="G4036" s="1574" t="s">
        <v>3530</v>
      </c>
      <c r="H4036" s="1574"/>
      <c r="I4036" s="1574"/>
      <c r="J4036" s="3">
        <f>J4029+L4029</f>
        <v>150800000</v>
      </c>
      <c r="K4036" s="1009"/>
      <c r="L4036" s="3"/>
      <c r="M4036" s="1533" t="s">
        <v>3664</v>
      </c>
      <c r="N4036" s="1527"/>
      <c r="O4036" s="1535" t="s">
        <v>4066</v>
      </c>
      <c r="P4036" s="1512"/>
      <c r="T4036" s="1292"/>
    </row>
    <row r="4037" spans="7:22">
      <c r="G4037" s="1574" t="s">
        <v>3512</v>
      </c>
      <c r="H4037" s="1574"/>
      <c r="I4037" s="1574"/>
      <c r="J4037" s="3">
        <f>N4029-J4036</f>
        <v>50800000</v>
      </c>
      <c r="K4037" s="1009"/>
      <c r="L4037" s="3"/>
      <c r="M4037" s="1528"/>
      <c r="O4037" s="1529"/>
      <c r="Q4037" s="661"/>
      <c r="T4037" s="1292"/>
    </row>
    <row r="4038" spans="7:22">
      <c r="G4038" s="1574" t="s">
        <v>3531</v>
      </c>
      <c r="H4038" s="1574"/>
      <c r="I4038" s="1574"/>
      <c r="J4038" s="3">
        <f>T4035</f>
        <v>0</v>
      </c>
      <c r="Q4038" s="3"/>
      <c r="T4038" s="1292"/>
    </row>
    <row r="4039" spans="7:22">
      <c r="G4039" s="1564" t="s">
        <v>4455</v>
      </c>
      <c r="H4039" s="1564"/>
      <c r="I4039" s="1564"/>
      <c r="J4039" s="3">
        <f>+P4035</f>
        <v>26000000</v>
      </c>
      <c r="R4039" s="3"/>
      <c r="T4039" s="1292"/>
    </row>
    <row r="4040" spans="7:22">
      <c r="T4040" s="1292"/>
    </row>
    <row r="4043" spans="7:22">
      <c r="T4043" s="1298"/>
    </row>
    <row r="4044" spans="7:22">
      <c r="T4044" s="1298"/>
    </row>
    <row r="4045" spans="7:22">
      <c r="T4045" s="1298"/>
    </row>
    <row r="4046" spans="7:22">
      <c r="G4046" s="1008">
        <v>46065</v>
      </c>
      <c r="H4046" s="1169"/>
      <c r="I4046" s="1575" t="s">
        <v>3510</v>
      </c>
      <c r="J4046" s="1576"/>
      <c r="K4046" s="1575" t="s">
        <v>3509</v>
      </c>
      <c r="L4046" s="1576"/>
      <c r="M4046" s="1575" t="s">
        <v>3541</v>
      </c>
      <c r="N4046" s="1576"/>
      <c r="O4046" s="1577" t="s">
        <v>3598</v>
      </c>
      <c r="P4046" s="1578"/>
      <c r="Q4046" s="1579" t="s">
        <v>3599</v>
      </c>
      <c r="R4046" s="1580"/>
      <c r="S4046" s="1583" t="s">
        <v>3953</v>
      </c>
      <c r="T4046" s="1583"/>
      <c r="U4046" s="1583" t="s">
        <v>3954</v>
      </c>
      <c r="V4046" s="1583"/>
    </row>
    <row r="4047" spans="7:22">
      <c r="G4047" s="1097"/>
      <c r="H4047" s="1261"/>
      <c r="I4047" s="1307" t="s">
        <v>4688</v>
      </c>
      <c r="J4047" s="49">
        <v>9400000</v>
      </c>
      <c r="K4047" s="1495" t="s">
        <v>4689</v>
      </c>
      <c r="L4047" s="49">
        <v>9800000</v>
      </c>
      <c r="M4047" s="1495" t="s">
        <v>4613</v>
      </c>
      <c r="N4047" s="1495">
        <v>200000000</v>
      </c>
      <c r="O4047" s="1383"/>
      <c r="P4047" s="644"/>
      <c r="Q4047" s="1279"/>
      <c r="R4047" s="644"/>
      <c r="S4047" s="1223"/>
      <c r="T4047" s="1191"/>
      <c r="U4047" s="1232"/>
      <c r="V4047" s="48"/>
    </row>
    <row r="4048" spans="7:22">
      <c r="G4048" s="1098"/>
      <c r="H4048" s="1172"/>
      <c r="I4048" s="1308" t="s">
        <v>4690</v>
      </c>
      <c r="J4048" s="49">
        <v>13800000</v>
      </c>
      <c r="K4048" s="1495" t="s">
        <v>4630</v>
      </c>
      <c r="L4048" s="49">
        <v>1800000</v>
      </c>
      <c r="M4048" s="1495" t="s">
        <v>4613</v>
      </c>
      <c r="N4048" s="49">
        <v>150000000</v>
      </c>
      <c r="O4048" s="1383"/>
      <c r="P4048" s="644"/>
      <c r="Q4048" s="1290"/>
      <c r="R4048" s="1290"/>
      <c r="S4048" s="1296" t="s">
        <v>4613</v>
      </c>
      <c r="T4048" s="1191">
        <v>0</v>
      </c>
      <c r="U4048" s="48"/>
      <c r="V4048" s="49"/>
    </row>
    <row r="4049" spans="7:22">
      <c r="G4049" s="48"/>
      <c r="H4049" s="48"/>
      <c r="I4049" s="1306" t="s">
        <v>4692</v>
      </c>
      <c r="J4049" s="49">
        <v>10230000</v>
      </c>
      <c r="K4049" s="1493" t="s">
        <v>4699</v>
      </c>
      <c r="L4049" s="49">
        <v>2000000</v>
      </c>
      <c r="M4049" s="1495" t="s">
        <v>4691</v>
      </c>
      <c r="N4049" s="49">
        <v>4600000</v>
      </c>
      <c r="O4049" s="1383"/>
      <c r="P4049" s="644"/>
      <c r="Q4049" s="1303"/>
      <c r="R4049" s="644"/>
      <c r="S4049" s="1287"/>
      <c r="T4049" s="1191"/>
      <c r="U4049" s="1287"/>
      <c r="V4049" s="1191"/>
    </row>
    <row r="4050" spans="7:22">
      <c r="G4050" s="48"/>
      <c r="H4050" s="48"/>
      <c r="I4050" s="1308" t="s">
        <v>4693</v>
      </c>
      <c r="J4050" s="49">
        <v>13950000</v>
      </c>
      <c r="K4050" s="1493" t="s">
        <v>4502</v>
      </c>
      <c r="L4050" s="49">
        <v>3000000</v>
      </c>
      <c r="M4050" s="1493"/>
      <c r="N4050" s="49"/>
      <c r="O4050" s="1383"/>
      <c r="P4050" s="644"/>
      <c r="Q4050" s="1303"/>
      <c r="R4050" s="644"/>
      <c r="S4050" s="1289"/>
      <c r="T4050" s="1299"/>
      <c r="U4050" s="1289"/>
      <c r="V4050" s="1299"/>
    </row>
    <row r="4051" spans="7:22">
      <c r="G4051" s="48"/>
      <c r="H4051" s="48"/>
      <c r="I4051" s="1306" t="s">
        <v>4694</v>
      </c>
      <c r="J4051" s="49">
        <v>29040000</v>
      </c>
      <c r="K4051" s="1493" t="s">
        <v>4454</v>
      </c>
      <c r="L4051" s="49">
        <v>2000000</v>
      </c>
      <c r="M4051" s="1493"/>
      <c r="N4051" s="49"/>
      <c r="O4051" s="1383"/>
      <c r="P4051" s="644"/>
      <c r="Q4051" s="1288"/>
      <c r="R4051" s="644"/>
      <c r="S4051" s="48"/>
      <c r="T4051" s="1299"/>
      <c r="U4051" s="48"/>
      <c r="V4051" s="49"/>
    </row>
    <row r="4052" spans="7:22">
      <c r="G4052" s="48"/>
      <c r="H4052" s="48"/>
      <c r="I4052" s="1306" t="s">
        <v>4554</v>
      </c>
      <c r="J4052" s="49">
        <v>1320000</v>
      </c>
      <c r="K4052" s="1495"/>
      <c r="L4052" s="49"/>
      <c r="M4052" s="1495"/>
      <c r="N4052" s="49"/>
      <c r="O4052" s="1383"/>
      <c r="P4052" s="644"/>
      <c r="Q4052" s="1302"/>
      <c r="R4052" s="644"/>
      <c r="S4052" s="48"/>
      <c r="T4052" s="1299"/>
      <c r="U4052" s="48"/>
      <c r="V4052" s="49"/>
    </row>
    <row r="4053" spans="7:22">
      <c r="G4053" s="48"/>
      <c r="H4053" s="48"/>
      <c r="I4053" s="1306" t="s">
        <v>4695</v>
      </c>
      <c r="J4053" s="49">
        <v>90500000</v>
      </c>
      <c r="K4053" s="1493"/>
      <c r="L4053" s="49"/>
      <c r="M4053" s="1495"/>
      <c r="N4053" s="49"/>
      <c r="O4053" s="1383"/>
      <c r="P4053" s="644"/>
      <c r="Q4053" s="1290"/>
      <c r="R4053" s="644"/>
      <c r="S4053" s="48"/>
      <c r="T4053" s="1299"/>
      <c r="U4053" s="48"/>
      <c r="V4053" s="49"/>
    </row>
    <row r="4054" spans="7:22">
      <c r="G4054" s="48"/>
      <c r="H4054" s="48"/>
      <c r="I4054" s="1306" t="s">
        <v>4696</v>
      </c>
      <c r="J4054" s="49">
        <v>29800000</v>
      </c>
      <c r="K4054" s="1532"/>
      <c r="L4054" s="49"/>
      <c r="M4054" s="1498"/>
      <c r="N4054" s="49"/>
      <c r="O4054" s="1383"/>
      <c r="P4054" s="644"/>
      <c r="Q4054" s="1291"/>
      <c r="R4054" s="644"/>
      <c r="S4054" s="48"/>
      <c r="T4054" s="1299"/>
      <c r="U4054" s="48"/>
      <c r="V4054" s="49"/>
    </row>
    <row r="4055" spans="7:22">
      <c r="G4055" s="48"/>
      <c r="H4055" s="48"/>
      <c r="I4055" s="48" t="s">
        <v>4697</v>
      </c>
      <c r="J4055" s="49">
        <v>30030000</v>
      </c>
      <c r="K4055" s="1495"/>
      <c r="L4055" s="49"/>
      <c r="M4055" s="1498"/>
      <c r="N4055" s="49"/>
      <c r="O4055" s="644"/>
      <c r="P4055" s="644"/>
      <c r="Q4055" s="1290"/>
      <c r="R4055" s="644"/>
      <c r="S4055" s="48"/>
      <c r="T4055" s="1299"/>
      <c r="U4055" s="48"/>
      <c r="V4055" s="49"/>
    </row>
    <row r="4056" spans="7:22">
      <c r="G4056" s="48"/>
      <c r="H4056" s="48"/>
      <c r="I4056" s="48" t="s">
        <v>4698</v>
      </c>
      <c r="J4056" s="49">
        <v>23000000</v>
      </c>
      <c r="K4056" s="1495"/>
      <c r="L4056" s="49"/>
      <c r="M4056" s="1498"/>
      <c r="N4056" s="49"/>
      <c r="O4056" s="644"/>
      <c r="P4056" s="644"/>
      <c r="Q4056" s="1290"/>
      <c r="R4056" s="644"/>
      <c r="S4056" s="48"/>
      <c r="T4056" s="1299"/>
      <c r="U4056" s="48"/>
      <c r="V4056" s="49"/>
    </row>
    <row r="4057" spans="7:22">
      <c r="G4057" s="48"/>
      <c r="H4057" s="48"/>
      <c r="I4057" s="48"/>
      <c r="J4057" s="49"/>
      <c r="K4057" s="1495"/>
      <c r="L4057" s="49"/>
      <c r="M4057" s="1498"/>
      <c r="N4057" s="49"/>
      <c r="O4057" s="644"/>
      <c r="P4057" s="644"/>
      <c r="Q4057" s="1290"/>
      <c r="R4057" s="644"/>
      <c r="S4057" s="48"/>
      <c r="T4057" s="1299"/>
      <c r="U4057" s="48"/>
      <c r="V4057" s="48"/>
    </row>
    <row r="4058" spans="7:22">
      <c r="G4058" s="48"/>
      <c r="H4058" s="48"/>
      <c r="I4058" s="48"/>
      <c r="J4058" s="49"/>
      <c r="K4058" s="1498"/>
      <c r="L4058" s="49"/>
      <c r="M4058" s="1498"/>
      <c r="N4058" s="49"/>
      <c r="O4058" s="644"/>
      <c r="P4058" s="644"/>
      <c r="Q4058" s="1290"/>
      <c r="R4058" s="644"/>
      <c r="S4058" s="48"/>
      <c r="T4058" s="1299"/>
      <c r="U4058" s="48"/>
      <c r="V4058" s="48"/>
    </row>
    <row r="4059" spans="7:22">
      <c r="G4059" s="48"/>
      <c r="H4059" s="48"/>
      <c r="I4059" s="48"/>
      <c r="J4059" s="49"/>
      <c r="K4059" s="1498"/>
      <c r="L4059" s="49"/>
      <c r="M4059" s="1498"/>
      <c r="N4059" s="49"/>
      <c r="O4059" s="644"/>
      <c r="P4059" s="644"/>
      <c r="Q4059" s="1290"/>
      <c r="R4059" s="644"/>
      <c r="S4059" s="48"/>
      <c r="T4059" s="1299"/>
      <c r="U4059" s="48"/>
      <c r="V4059" s="48"/>
    </row>
    <row r="4060" spans="7:22">
      <c r="G4060" s="48"/>
      <c r="H4060" s="48"/>
      <c r="I4060" s="48"/>
      <c r="J4060" s="49"/>
      <c r="K4060" s="1498"/>
      <c r="L4060" s="49"/>
      <c r="M4060" s="1498"/>
      <c r="N4060" s="49"/>
      <c r="O4060" s="644"/>
      <c r="P4060" s="644"/>
      <c r="Q4060" s="1290"/>
      <c r="R4060" s="644"/>
      <c r="S4060" s="48"/>
      <c r="T4060" s="1299"/>
      <c r="U4060" s="48"/>
      <c r="V4060" s="48"/>
    </row>
    <row r="4061" spans="7:22">
      <c r="G4061" s="48"/>
      <c r="H4061" s="48"/>
      <c r="I4061" s="48"/>
      <c r="J4061" s="49"/>
      <c r="K4061" s="1498"/>
      <c r="L4061" s="49"/>
      <c r="M4061" s="1498"/>
      <c r="N4061" s="49"/>
      <c r="O4061" s="644"/>
      <c r="P4061" s="644"/>
      <c r="Q4061" s="1290"/>
      <c r="R4061" s="644"/>
      <c r="S4061" s="48"/>
      <c r="T4061" s="1299"/>
      <c r="U4061" s="48"/>
      <c r="V4061" s="48"/>
    </row>
    <row r="4062" spans="7:22">
      <c r="G4062" s="48"/>
      <c r="H4062" s="48"/>
      <c r="I4062" s="48"/>
      <c r="J4062" s="49"/>
      <c r="K4062" s="49"/>
      <c r="L4062" s="49"/>
      <c r="M4062" s="1498"/>
      <c r="N4062" s="49"/>
      <c r="O4062" s="644"/>
      <c r="P4062" s="644"/>
      <c r="Q4062" s="1290"/>
      <c r="R4062" s="644"/>
      <c r="S4062" s="48"/>
      <c r="T4062" s="1299"/>
      <c r="U4062" s="48"/>
      <c r="V4062" s="48"/>
    </row>
    <row r="4063" spans="7:22">
      <c r="G4063" s="48"/>
      <c r="H4063" s="48"/>
      <c r="I4063" s="48"/>
      <c r="J4063" s="954">
        <f>SUM(J4047:J4056)</f>
        <v>251070000</v>
      </c>
      <c r="K4063" s="954"/>
      <c r="L4063" s="954">
        <f>SUM(L4047:L4062)</f>
        <v>18600000</v>
      </c>
      <c r="M4063" s="1498"/>
      <c r="N4063" s="954">
        <f>SUM(N4047:N4062)</f>
        <v>354600000</v>
      </c>
      <c r="O4063" s="644"/>
      <c r="P4063" s="969">
        <f>SUM(P4047:P4054)</f>
        <v>0</v>
      </c>
      <c r="Q4063" s="969"/>
      <c r="R4063" s="969">
        <f>SUM(R4047:R4062)</f>
        <v>0</v>
      </c>
      <c r="S4063" s="48"/>
      <c r="T4063" s="1178">
        <f>SUM(T4047:T4062)</f>
        <v>0</v>
      </c>
      <c r="U4063" s="48"/>
      <c r="V4063" s="878">
        <f>SUM(V4047:V4062)</f>
        <v>0</v>
      </c>
    </row>
    <row r="4064" spans="7:22">
      <c r="T4064" s="1298"/>
    </row>
    <row r="4065" spans="7:22">
      <c r="T4065" s="1298"/>
    </row>
    <row r="4066" spans="7:22">
      <c r="R4066" s="661"/>
      <c r="T4066" s="1298"/>
    </row>
    <row r="4067" spans="7:22">
      <c r="T4067" s="1298"/>
    </row>
    <row r="4068" spans="7:22">
      <c r="T4068" s="1298"/>
    </row>
    <row r="4069" spans="7:22">
      <c r="I4069" s="946"/>
      <c r="M4069" s="1533" t="s">
        <v>3699</v>
      </c>
      <c r="O4069" s="1535" t="s">
        <v>3741</v>
      </c>
      <c r="P4069" s="1512">
        <f>P4063-R4063</f>
        <v>0</v>
      </c>
      <c r="S4069" s="906" t="s">
        <v>4049</v>
      </c>
      <c r="T4069" s="1107">
        <f>T4063-V4063</f>
        <v>0</v>
      </c>
    </row>
    <row r="4070" spans="7:22">
      <c r="G4070" s="1574" t="s">
        <v>3530</v>
      </c>
      <c r="H4070" s="1574"/>
      <c r="I4070" s="1574"/>
      <c r="J4070" s="3">
        <f>J4063+L4063</f>
        <v>269670000</v>
      </c>
      <c r="K4070" s="1009"/>
      <c r="L4070" s="3"/>
      <c r="M4070" s="1533" t="s">
        <v>3664</v>
      </c>
      <c r="N4070" s="1527"/>
      <c r="O4070" s="1535" t="s">
        <v>4066</v>
      </c>
      <c r="P4070" s="1512"/>
      <c r="T4070" s="1298"/>
    </row>
    <row r="4071" spans="7:22">
      <c r="G4071" s="1574" t="s">
        <v>3512</v>
      </c>
      <c r="H4071" s="1574"/>
      <c r="I4071" s="1574"/>
      <c r="J4071" s="3">
        <f>N4063-J4070</f>
        <v>84930000</v>
      </c>
      <c r="K4071" s="1009"/>
      <c r="L4071" s="3"/>
      <c r="M4071" s="1528"/>
      <c r="O4071" s="1529"/>
      <c r="Q4071" s="661"/>
      <c r="T4071" s="1298"/>
    </row>
    <row r="4072" spans="7:22">
      <c r="G4072" s="1574" t="s">
        <v>3531</v>
      </c>
      <c r="H4072" s="1574"/>
      <c r="I4072" s="1574"/>
      <c r="J4072" s="3">
        <f>T4069</f>
        <v>0</v>
      </c>
      <c r="Q4072" s="3"/>
      <c r="T4072" s="1298"/>
    </row>
    <row r="4073" spans="7:22">
      <c r="G4073" s="1564" t="s">
        <v>4455</v>
      </c>
      <c r="H4073" s="1564"/>
      <c r="I4073" s="1564"/>
      <c r="J4073" s="3">
        <f>+P4069</f>
        <v>0</v>
      </c>
      <c r="R4073" s="3"/>
      <c r="T4073" s="1298"/>
    </row>
    <row r="4074" spans="7:22">
      <c r="T4074" s="1298"/>
    </row>
    <row r="4077" spans="7:22">
      <c r="T4077" s="1298"/>
    </row>
    <row r="4078" spans="7:22">
      <c r="T4078" s="1298"/>
    </row>
    <row r="4079" spans="7:22">
      <c r="G4079" s="1008">
        <v>46066</v>
      </c>
      <c r="H4079" s="1169"/>
      <c r="I4079" s="1575" t="s">
        <v>3510</v>
      </c>
      <c r="J4079" s="1576"/>
      <c r="K4079" s="1575" t="s">
        <v>3509</v>
      </c>
      <c r="L4079" s="1576"/>
      <c r="M4079" s="1575" t="s">
        <v>3541</v>
      </c>
      <c r="N4079" s="1576"/>
      <c r="O4079" s="1577" t="s">
        <v>3598</v>
      </c>
      <c r="P4079" s="1578"/>
      <c r="Q4079" s="1579" t="s">
        <v>3599</v>
      </c>
      <c r="R4079" s="1580"/>
      <c r="S4079" s="1583" t="s">
        <v>3953</v>
      </c>
      <c r="T4079" s="1583"/>
      <c r="U4079" s="1583" t="s">
        <v>3954</v>
      </c>
      <c r="V4079" s="1583"/>
    </row>
    <row r="4080" spans="7:22">
      <c r="G4080" s="1097"/>
      <c r="H4080" s="1261"/>
      <c r="I4080" s="1307" t="s">
        <v>4701</v>
      </c>
      <c r="J4080" s="49">
        <v>92000000</v>
      </c>
      <c r="K4080" s="1495" t="s">
        <v>4702</v>
      </c>
      <c r="L4080" s="49">
        <v>2000000</v>
      </c>
      <c r="M4080" s="1495" t="s">
        <v>4613</v>
      </c>
      <c r="N4080" s="1495">
        <v>235000000</v>
      </c>
      <c r="O4080" s="1383"/>
      <c r="P4080" s="644"/>
      <c r="Q4080" s="1279"/>
      <c r="R4080" s="644"/>
      <c r="S4080" s="1223"/>
      <c r="T4080" s="1191"/>
      <c r="U4080" s="1232"/>
      <c r="V4080" s="48"/>
    </row>
    <row r="4081" spans="7:22">
      <c r="G4081" s="1098"/>
      <c r="H4081" s="1172"/>
      <c r="I4081" s="1308" t="s">
        <v>4705</v>
      </c>
      <c r="J4081" s="49">
        <v>29040000</v>
      </c>
      <c r="K4081" s="1495" t="s">
        <v>4703</v>
      </c>
      <c r="L4081" s="49">
        <v>2000000</v>
      </c>
      <c r="M4081" s="1495" t="s">
        <v>4700</v>
      </c>
      <c r="N4081" s="49">
        <v>4000000</v>
      </c>
      <c r="O4081" s="1383" t="s">
        <v>4712</v>
      </c>
      <c r="P4081" s="644">
        <v>37600000</v>
      </c>
      <c r="Q4081" s="1290"/>
      <c r="R4081" s="1290"/>
      <c r="S4081" s="1296" t="s">
        <v>4613</v>
      </c>
      <c r="T4081" s="1191">
        <v>800</v>
      </c>
      <c r="U4081" s="48"/>
      <c r="V4081" s="49"/>
    </row>
    <row r="4082" spans="7:22">
      <c r="G4082" s="48"/>
      <c r="H4082" s="48"/>
      <c r="I4082" s="1306" t="s">
        <v>4707</v>
      </c>
      <c r="J4082" s="49">
        <v>21390000</v>
      </c>
      <c r="K4082" s="1493" t="s">
        <v>4555</v>
      </c>
      <c r="L4082" s="49">
        <v>1000000</v>
      </c>
      <c r="M4082" s="1495" t="s">
        <v>4710</v>
      </c>
      <c r="N4082" s="49">
        <v>6090000</v>
      </c>
      <c r="O4082" s="1383"/>
      <c r="P4082" s="644"/>
      <c r="Q4082" s="1303"/>
      <c r="R4082" s="644"/>
      <c r="S4082" s="1287"/>
      <c r="T4082" s="1191">
        <v>1700</v>
      </c>
      <c r="U4082" s="1287"/>
      <c r="V4082" s="1191"/>
    </row>
    <row r="4083" spans="7:22">
      <c r="G4083" s="48"/>
      <c r="H4083" s="48"/>
      <c r="I4083" s="1308" t="s">
        <v>4708</v>
      </c>
      <c r="J4083" s="49">
        <v>30690000</v>
      </c>
      <c r="K4083" s="1493" t="s">
        <v>4704</v>
      </c>
      <c r="L4083" s="49">
        <v>1665000</v>
      </c>
      <c r="M4083" s="1493"/>
      <c r="N4083" s="49"/>
      <c r="O4083" s="1383"/>
      <c r="P4083" s="644"/>
      <c r="Q4083" s="1303"/>
      <c r="R4083" s="644"/>
      <c r="S4083" s="1289"/>
      <c r="T4083" s="1299">
        <v>2600</v>
      </c>
      <c r="U4083" s="1289"/>
      <c r="V4083" s="1299"/>
    </row>
    <row r="4084" spans="7:22">
      <c r="G4084" s="48"/>
      <c r="H4084" s="48"/>
      <c r="I4084" s="1306" t="s">
        <v>4709</v>
      </c>
      <c r="J4084" s="49">
        <v>30690000</v>
      </c>
      <c r="K4084" s="1493" t="s">
        <v>4706</v>
      </c>
      <c r="L4084" s="49">
        <v>1300000</v>
      </c>
      <c r="M4084" s="1493"/>
      <c r="N4084" s="49"/>
      <c r="O4084" s="1383"/>
      <c r="P4084" s="644"/>
      <c r="Q4084" s="1288"/>
      <c r="R4084" s="644"/>
      <c r="S4084" s="48"/>
      <c r="T4084" s="1299"/>
      <c r="U4084" s="48"/>
      <c r="V4084" s="49"/>
    </row>
    <row r="4085" spans="7:22">
      <c r="G4085" s="48"/>
      <c r="H4085" s="48"/>
      <c r="I4085" s="1306"/>
      <c r="J4085" s="49"/>
      <c r="K4085" s="1493" t="s">
        <v>4711</v>
      </c>
      <c r="L4085" s="49">
        <v>400000</v>
      </c>
      <c r="M4085" s="1495"/>
      <c r="N4085" s="49"/>
      <c r="O4085" s="1383"/>
      <c r="P4085" s="644"/>
      <c r="Q4085" s="1302"/>
      <c r="R4085" s="644"/>
      <c r="S4085" s="48"/>
      <c r="T4085" s="1299"/>
      <c r="U4085" s="48"/>
      <c r="V4085" s="49"/>
    </row>
    <row r="4086" spans="7:22">
      <c r="G4086" s="48"/>
      <c r="H4086" s="48"/>
      <c r="I4086" s="1306"/>
      <c r="J4086" s="49"/>
      <c r="K4086" s="1493"/>
      <c r="L4086" s="49"/>
      <c r="M4086" s="1495"/>
      <c r="N4086" s="49"/>
      <c r="O4086" s="1383"/>
      <c r="P4086" s="644"/>
      <c r="Q4086" s="1290"/>
      <c r="R4086" s="644"/>
      <c r="S4086" s="48"/>
      <c r="T4086" s="1299"/>
      <c r="U4086" s="48"/>
      <c r="V4086" s="49"/>
    </row>
    <row r="4087" spans="7:22">
      <c r="G4087" s="48"/>
      <c r="H4087" s="48"/>
      <c r="I4087" s="1306"/>
      <c r="J4087" s="49"/>
      <c r="K4087" s="1532"/>
      <c r="L4087" s="49"/>
      <c r="M4087" s="1498"/>
      <c r="N4087" s="49"/>
      <c r="O4087" s="1383"/>
      <c r="P4087" s="644"/>
      <c r="Q4087" s="1291"/>
      <c r="R4087" s="644"/>
      <c r="S4087" s="48"/>
      <c r="T4087" s="1299"/>
      <c r="U4087" s="48"/>
      <c r="V4087" s="49"/>
    </row>
    <row r="4088" spans="7:22">
      <c r="G4088" s="48"/>
      <c r="H4088" s="48"/>
      <c r="I4088" s="48"/>
      <c r="J4088" s="49"/>
      <c r="K4088" s="1495"/>
      <c r="L4088" s="49"/>
      <c r="M4088" s="1498"/>
      <c r="N4088" s="49"/>
      <c r="O4088" s="644"/>
      <c r="P4088" s="644"/>
      <c r="Q4088" s="1290"/>
      <c r="R4088" s="644"/>
      <c r="S4088" s="48"/>
      <c r="T4088" s="1299"/>
      <c r="U4088" s="48"/>
      <c r="V4088" s="49"/>
    </row>
    <row r="4089" spans="7:22">
      <c r="G4089" s="48"/>
      <c r="H4089" s="48"/>
      <c r="I4089" s="48"/>
      <c r="J4089" s="49"/>
      <c r="K4089" s="1495"/>
      <c r="L4089" s="49"/>
      <c r="M4089" s="1498"/>
      <c r="N4089" s="49"/>
      <c r="O4089" s="644"/>
      <c r="P4089" s="644"/>
      <c r="Q4089" s="1290"/>
      <c r="R4089" s="644"/>
      <c r="S4089" s="48"/>
      <c r="T4089" s="1299"/>
      <c r="U4089" s="48"/>
      <c r="V4089" s="49"/>
    </row>
    <row r="4090" spans="7:22">
      <c r="G4090" s="48"/>
      <c r="H4090" s="48"/>
      <c r="I4090" s="48"/>
      <c r="J4090" s="49"/>
      <c r="K4090" s="1495"/>
      <c r="L4090" s="49"/>
      <c r="M4090" s="1498"/>
      <c r="N4090" s="49"/>
      <c r="O4090" s="644"/>
      <c r="P4090" s="644"/>
      <c r="Q4090" s="1290"/>
      <c r="R4090" s="644"/>
      <c r="S4090" s="48"/>
      <c r="T4090" s="1299"/>
      <c r="U4090" s="48"/>
      <c r="V4090" s="48"/>
    </row>
    <row r="4091" spans="7:22">
      <c r="G4091" s="48"/>
      <c r="H4091" s="48"/>
      <c r="I4091" s="48"/>
      <c r="J4091" s="49"/>
      <c r="K4091" s="1498"/>
      <c r="L4091" s="49"/>
      <c r="M4091" s="1498"/>
      <c r="N4091" s="49"/>
      <c r="O4091" s="644"/>
      <c r="P4091" s="644"/>
      <c r="Q4091" s="1290"/>
      <c r="R4091" s="644"/>
      <c r="S4091" s="48"/>
      <c r="T4091" s="1299"/>
      <c r="U4091" s="48"/>
      <c r="V4091" s="48"/>
    </row>
    <row r="4092" spans="7:22">
      <c r="G4092" s="48"/>
      <c r="H4092" s="48"/>
      <c r="I4092" s="48"/>
      <c r="J4092" s="49"/>
      <c r="K4092" s="1498"/>
      <c r="L4092" s="49"/>
      <c r="M4092" s="1498"/>
      <c r="N4092" s="49"/>
      <c r="O4092" s="644"/>
      <c r="P4092" s="644"/>
      <c r="Q4092" s="1290"/>
      <c r="R4092" s="644"/>
      <c r="S4092" s="48"/>
      <c r="T4092" s="1299"/>
      <c r="U4092" s="48"/>
      <c r="V4092" s="48"/>
    </row>
    <row r="4093" spans="7:22">
      <c r="G4093" s="48"/>
      <c r="H4093" s="48"/>
      <c r="I4093" s="48"/>
      <c r="J4093" s="49"/>
      <c r="K4093" s="1498"/>
      <c r="L4093" s="49"/>
      <c r="M4093" s="1498"/>
      <c r="N4093" s="49"/>
      <c r="O4093" s="644"/>
      <c r="P4093" s="644"/>
      <c r="Q4093" s="1290"/>
      <c r="R4093" s="644"/>
      <c r="S4093" s="48"/>
      <c r="T4093" s="1299"/>
      <c r="U4093" s="48"/>
      <c r="V4093" s="48"/>
    </row>
    <row r="4094" spans="7:22">
      <c r="G4094" s="48"/>
      <c r="H4094" s="48"/>
      <c r="I4094" s="48"/>
      <c r="J4094" s="49"/>
      <c r="K4094" s="1498"/>
      <c r="L4094" s="49"/>
      <c r="M4094" s="1498"/>
      <c r="N4094" s="49"/>
      <c r="O4094" s="644"/>
      <c r="P4094" s="644"/>
      <c r="Q4094" s="1290"/>
      <c r="R4094" s="644"/>
      <c r="S4094" s="48"/>
      <c r="T4094" s="1299"/>
      <c r="U4094" s="48"/>
      <c r="V4094" s="48"/>
    </row>
    <row r="4095" spans="7:22">
      <c r="G4095" s="48"/>
      <c r="H4095" s="48"/>
      <c r="I4095" s="48"/>
      <c r="J4095" s="49"/>
      <c r="K4095" s="49"/>
      <c r="L4095" s="49"/>
      <c r="M4095" s="1498"/>
      <c r="N4095" s="49"/>
      <c r="O4095" s="644"/>
      <c r="P4095" s="644"/>
      <c r="Q4095" s="1290"/>
      <c r="R4095" s="644"/>
      <c r="S4095" s="48"/>
      <c r="T4095" s="1299"/>
      <c r="U4095" s="48"/>
      <c r="V4095" s="48"/>
    </row>
    <row r="4096" spans="7:22">
      <c r="G4096" s="48"/>
      <c r="H4096" s="48"/>
      <c r="I4096" s="48"/>
      <c r="J4096" s="954">
        <f>SUM(J4080:J4089)</f>
        <v>203810000</v>
      </c>
      <c r="K4096" s="954"/>
      <c r="L4096" s="954">
        <f>SUM(L4080:L4095)</f>
        <v>8365000</v>
      </c>
      <c r="M4096" s="1498"/>
      <c r="N4096" s="954">
        <f>SUM(N4080:N4095)</f>
        <v>245090000</v>
      </c>
      <c r="O4096" s="644"/>
      <c r="P4096" s="969">
        <f>SUM(P4080:P4087)</f>
        <v>37600000</v>
      </c>
      <c r="Q4096" s="969"/>
      <c r="R4096" s="969">
        <f>SUM(R4080:R4095)</f>
        <v>0</v>
      </c>
      <c r="S4096" s="48"/>
      <c r="T4096" s="1178">
        <f>SUM(T4080:T4095)</f>
        <v>5100</v>
      </c>
      <c r="U4096" s="48"/>
      <c r="V4096" s="878">
        <f>SUM(V4080:V4095)</f>
        <v>0</v>
      </c>
    </row>
    <row r="4097" spans="7:20">
      <c r="T4097" s="1298"/>
    </row>
    <row r="4098" spans="7:20">
      <c r="T4098" s="1298"/>
    </row>
    <row r="4099" spans="7:20">
      <c r="R4099" s="661"/>
      <c r="T4099" s="1298"/>
    </row>
    <row r="4100" spans="7:20">
      <c r="T4100" s="1298"/>
    </row>
    <row r="4101" spans="7:20">
      <c r="T4101" s="1298"/>
    </row>
    <row r="4102" spans="7:20">
      <c r="I4102" s="946"/>
      <c r="M4102" s="1533" t="s">
        <v>3699</v>
      </c>
      <c r="O4102" s="1535" t="s">
        <v>3741</v>
      </c>
      <c r="P4102" s="1512">
        <f>P4096-R4096</f>
        <v>37600000</v>
      </c>
      <c r="S4102" s="906" t="s">
        <v>4049</v>
      </c>
      <c r="T4102" s="1107">
        <f>T4096-V4096</f>
        <v>5100</v>
      </c>
    </row>
    <row r="4103" spans="7:20">
      <c r="G4103" s="1574" t="s">
        <v>3530</v>
      </c>
      <c r="H4103" s="1574"/>
      <c r="I4103" s="1574"/>
      <c r="J4103" s="3">
        <f>J4096+L4096</f>
        <v>212175000</v>
      </c>
      <c r="K4103" s="1009"/>
      <c r="L4103" s="3"/>
      <c r="M4103" s="1533" t="s">
        <v>3664</v>
      </c>
      <c r="N4103" s="1527"/>
      <c r="O4103" s="1535" t="s">
        <v>4066</v>
      </c>
      <c r="P4103" s="1512"/>
      <c r="T4103" s="1298"/>
    </row>
    <row r="4104" spans="7:20">
      <c r="G4104" s="1574" t="s">
        <v>3512</v>
      </c>
      <c r="H4104" s="1574"/>
      <c r="I4104" s="1574"/>
      <c r="J4104" s="3">
        <f>N4096-J4103</f>
        <v>32915000</v>
      </c>
      <c r="K4104" s="1009"/>
      <c r="L4104" s="3"/>
      <c r="M4104" s="1528"/>
      <c r="O4104" s="1529"/>
      <c r="Q4104" s="661"/>
      <c r="T4104" s="1298"/>
    </row>
    <row r="4105" spans="7:20">
      <c r="G4105" s="1574" t="s">
        <v>3531</v>
      </c>
      <c r="H4105" s="1574"/>
      <c r="I4105" s="1574"/>
      <c r="J4105" s="3">
        <f>T4102</f>
        <v>5100</v>
      </c>
      <c r="Q4105" s="3"/>
      <c r="T4105" s="1298"/>
    </row>
    <row r="4106" spans="7:20">
      <c r="G4106" s="1564" t="s">
        <v>4455</v>
      </c>
      <c r="H4106" s="1564"/>
      <c r="I4106" s="1564"/>
      <c r="J4106" s="3">
        <f>+P4102</f>
        <v>37600000</v>
      </c>
      <c r="R4106" s="3"/>
      <c r="T4106" s="1298"/>
    </row>
    <row r="4107" spans="7:20">
      <c r="T4107" s="1298"/>
    </row>
    <row r="4108" spans="7:20">
      <c r="T4108" s="1298"/>
    </row>
    <row r="4112" spans="7:20">
      <c r="T4112" s="1304"/>
    </row>
    <row r="4113" spans="7:22">
      <c r="T4113" s="1304"/>
    </row>
    <row r="4114" spans="7:22">
      <c r="G4114" s="1008">
        <v>46069</v>
      </c>
      <c r="H4114" s="1169"/>
      <c r="I4114" s="1575" t="s">
        <v>3510</v>
      </c>
      <c r="J4114" s="1576"/>
      <c r="K4114" s="1575" t="s">
        <v>3509</v>
      </c>
      <c r="L4114" s="1576"/>
      <c r="M4114" s="1575" t="s">
        <v>3541</v>
      </c>
      <c r="N4114" s="1576"/>
      <c r="O4114" s="1577" t="s">
        <v>3598</v>
      </c>
      <c r="P4114" s="1578"/>
      <c r="Q4114" s="1579" t="s">
        <v>3599</v>
      </c>
      <c r="R4114" s="1580"/>
      <c r="S4114" s="1583" t="s">
        <v>3953</v>
      </c>
      <c r="T4114" s="1583"/>
      <c r="U4114" s="1583" t="s">
        <v>3954</v>
      </c>
      <c r="V4114" s="1583"/>
    </row>
    <row r="4115" spans="7:22">
      <c r="G4115" s="1097"/>
      <c r="H4115" s="1261"/>
      <c r="I4115" s="1311" t="s">
        <v>4713</v>
      </c>
      <c r="J4115" s="49">
        <v>23000000</v>
      </c>
      <c r="K4115" s="1495" t="s">
        <v>4717</v>
      </c>
      <c r="L4115" s="49">
        <v>1000000</v>
      </c>
      <c r="M4115" s="1495" t="s">
        <v>4613</v>
      </c>
      <c r="N4115" s="1495">
        <v>346700000</v>
      </c>
      <c r="O4115" s="1383"/>
      <c r="P4115" s="644"/>
      <c r="Q4115" s="1279"/>
      <c r="R4115" s="644"/>
      <c r="S4115" s="1223"/>
      <c r="T4115" s="1191"/>
      <c r="U4115" s="1232"/>
      <c r="V4115" s="48"/>
    </row>
    <row r="4116" spans="7:22">
      <c r="G4116" s="1098"/>
      <c r="H4116" s="1172"/>
      <c r="I4116" s="1312" t="s">
        <v>4714</v>
      </c>
      <c r="J4116" s="49">
        <v>16200000</v>
      </c>
      <c r="K4116" s="1495" t="s">
        <v>4434</v>
      </c>
      <c r="L4116" s="49">
        <v>2000000</v>
      </c>
      <c r="M4116" s="1495" t="s">
        <v>4718</v>
      </c>
      <c r="N4116" s="49">
        <v>27000000</v>
      </c>
      <c r="O4116" s="1383" t="s">
        <v>4712</v>
      </c>
      <c r="P4116" s="644">
        <v>22900000</v>
      </c>
      <c r="Q4116" s="1290"/>
      <c r="R4116" s="1290"/>
      <c r="S4116" s="1296" t="s">
        <v>4613</v>
      </c>
      <c r="T4116" s="1191">
        <v>9900</v>
      </c>
      <c r="U4116" s="48"/>
      <c r="V4116" s="49"/>
    </row>
    <row r="4117" spans="7:22">
      <c r="G4117" s="48"/>
      <c r="H4117" s="48"/>
      <c r="I4117" s="1313" t="s">
        <v>4715</v>
      </c>
      <c r="J4117" s="49">
        <v>18400000</v>
      </c>
      <c r="K4117" s="1493"/>
      <c r="L4117" s="49"/>
      <c r="M4117" s="1495" t="s">
        <v>4719</v>
      </c>
      <c r="N4117" s="49">
        <v>4500000</v>
      </c>
      <c r="O4117" s="1383"/>
      <c r="P4117" s="644"/>
      <c r="Q4117" s="1303"/>
      <c r="R4117" s="644"/>
      <c r="S4117" s="1287"/>
      <c r="T4117" s="1191"/>
      <c r="U4117" s="1287"/>
      <c r="V4117" s="1191"/>
    </row>
    <row r="4118" spans="7:22">
      <c r="G4118" s="48"/>
      <c r="H4118" s="48"/>
      <c r="I4118" s="1312" t="s">
        <v>4716</v>
      </c>
      <c r="J4118" s="49">
        <v>30360000</v>
      </c>
      <c r="K4118" s="1493"/>
      <c r="L4118" s="49"/>
      <c r="M4118" s="1493"/>
      <c r="N4118" s="49"/>
      <c r="O4118" s="1383"/>
      <c r="P4118" s="644"/>
      <c r="Q4118" s="1303"/>
      <c r="R4118" s="644"/>
      <c r="S4118" s="1289"/>
      <c r="T4118" s="1305"/>
      <c r="U4118" s="1289"/>
      <c r="V4118" s="1305"/>
    </row>
    <row r="4119" spans="7:22">
      <c r="G4119" s="48"/>
      <c r="H4119" s="48"/>
      <c r="I4119" s="1313" t="s">
        <v>4720</v>
      </c>
      <c r="J4119" s="49">
        <v>30690000</v>
      </c>
      <c r="K4119" s="1493"/>
      <c r="L4119" s="49"/>
      <c r="M4119" s="1493"/>
      <c r="N4119" s="49"/>
      <c r="O4119" s="1383"/>
      <c r="P4119" s="644"/>
      <c r="Q4119" s="1288"/>
      <c r="R4119" s="644"/>
      <c r="S4119" s="48"/>
      <c r="T4119" s="1305"/>
      <c r="U4119" s="48"/>
      <c r="V4119" s="49"/>
    </row>
    <row r="4120" spans="7:22">
      <c r="G4120" s="48"/>
      <c r="H4120" s="48"/>
      <c r="I4120" s="1313" t="s">
        <v>4721</v>
      </c>
      <c r="J4120" s="49">
        <v>30690000</v>
      </c>
      <c r="K4120" s="1493"/>
      <c r="L4120" s="49"/>
      <c r="M4120" s="1495"/>
      <c r="N4120" s="49"/>
      <c r="O4120" s="1383"/>
      <c r="P4120" s="644"/>
      <c r="Q4120" s="1302"/>
      <c r="R4120" s="644"/>
      <c r="S4120" s="48"/>
      <c r="T4120" s="1305"/>
      <c r="U4120" s="48"/>
      <c r="V4120" s="49"/>
    </row>
    <row r="4121" spans="7:22">
      <c r="G4121" s="48"/>
      <c r="H4121" s="48"/>
      <c r="I4121" s="1313" t="s">
        <v>4722</v>
      </c>
      <c r="J4121" s="49">
        <v>30500000</v>
      </c>
      <c r="K4121" s="1493"/>
      <c r="L4121" s="49"/>
      <c r="M4121" s="1495"/>
      <c r="N4121" s="49"/>
      <c r="O4121" s="1383"/>
      <c r="P4121" s="644"/>
      <c r="Q4121" s="1290"/>
      <c r="R4121" s="644"/>
      <c r="S4121" s="48"/>
      <c r="T4121" s="1305"/>
      <c r="U4121" s="48"/>
      <c r="V4121" s="49"/>
    </row>
    <row r="4122" spans="7:22">
      <c r="G4122" s="48"/>
      <c r="H4122" s="48"/>
      <c r="I4122" s="1313" t="s">
        <v>4723</v>
      </c>
      <c r="J4122" s="49">
        <v>72800000</v>
      </c>
      <c r="K4122" s="1532"/>
      <c r="L4122" s="49"/>
      <c r="M4122" s="1498"/>
      <c r="N4122" s="49"/>
      <c r="O4122" s="1383"/>
      <c r="P4122" s="644"/>
      <c r="Q4122" s="1291"/>
      <c r="R4122" s="644"/>
      <c r="S4122" s="48"/>
      <c r="T4122" s="1305"/>
      <c r="U4122" s="48"/>
      <c r="V4122" s="49"/>
    </row>
    <row r="4123" spans="7:22">
      <c r="G4123" s="48"/>
      <c r="H4123" s="48"/>
      <c r="I4123" s="48" t="s">
        <v>4724</v>
      </c>
      <c r="J4123" s="49">
        <v>30360000</v>
      </c>
      <c r="K4123" s="1495"/>
      <c r="L4123" s="49"/>
      <c r="M4123" s="1498"/>
      <c r="N4123" s="49"/>
      <c r="O4123" s="644"/>
      <c r="P4123" s="644"/>
      <c r="Q4123" s="1290"/>
      <c r="R4123" s="644"/>
      <c r="S4123" s="48"/>
      <c r="T4123" s="1305"/>
      <c r="U4123" s="48"/>
      <c r="V4123" s="49"/>
    </row>
    <row r="4124" spans="7:22">
      <c r="G4124" s="48"/>
      <c r="H4124" s="48"/>
      <c r="I4124" s="48" t="s">
        <v>4725</v>
      </c>
      <c r="J4124" s="49">
        <v>20930000</v>
      </c>
      <c r="K4124" s="1495"/>
      <c r="L4124" s="49"/>
      <c r="M4124" s="1498"/>
      <c r="N4124" s="49"/>
      <c r="O4124" s="644"/>
      <c r="P4124" s="644"/>
      <c r="Q4124" s="1290"/>
      <c r="R4124" s="644"/>
      <c r="S4124" s="48"/>
      <c r="T4124" s="1305"/>
      <c r="U4124" s="48"/>
      <c r="V4124" s="49"/>
    </row>
    <row r="4125" spans="7:22">
      <c r="G4125" s="48"/>
      <c r="H4125" s="48"/>
      <c r="I4125" s="48" t="s">
        <v>4726</v>
      </c>
      <c r="J4125" s="49">
        <v>19340000</v>
      </c>
      <c r="K4125" s="1495"/>
      <c r="L4125" s="49"/>
      <c r="M4125" s="1498"/>
      <c r="N4125" s="49"/>
      <c r="O4125" s="644"/>
      <c r="P4125" s="644"/>
      <c r="Q4125" s="1290"/>
      <c r="R4125" s="644"/>
      <c r="S4125" s="48"/>
      <c r="T4125" s="1305"/>
      <c r="U4125" s="48"/>
      <c r="V4125" s="48"/>
    </row>
    <row r="4126" spans="7:22">
      <c r="G4126" s="48"/>
      <c r="H4126" s="48"/>
      <c r="I4126" s="48"/>
      <c r="J4126" s="49"/>
      <c r="K4126" s="1498"/>
      <c r="L4126" s="49"/>
      <c r="M4126" s="1498"/>
      <c r="N4126" s="49"/>
      <c r="O4126" s="644"/>
      <c r="P4126" s="644"/>
      <c r="Q4126" s="1290"/>
      <c r="R4126" s="644"/>
      <c r="S4126" s="48"/>
      <c r="T4126" s="1305"/>
      <c r="U4126" s="48"/>
      <c r="V4126" s="48"/>
    </row>
    <row r="4127" spans="7:22">
      <c r="G4127" s="48"/>
      <c r="H4127" s="48"/>
      <c r="I4127" s="48"/>
      <c r="J4127" s="49"/>
      <c r="K4127" s="1498"/>
      <c r="L4127" s="49"/>
      <c r="M4127" s="1498"/>
      <c r="N4127" s="49"/>
      <c r="O4127" s="644"/>
      <c r="P4127" s="644"/>
      <c r="Q4127" s="1290"/>
      <c r="R4127" s="644"/>
      <c r="S4127" s="48"/>
      <c r="T4127" s="1305"/>
      <c r="U4127" s="48"/>
      <c r="V4127" s="48"/>
    </row>
    <row r="4128" spans="7:22">
      <c r="G4128" s="48"/>
      <c r="H4128" s="48"/>
      <c r="I4128" s="48"/>
      <c r="J4128" s="49"/>
      <c r="K4128" s="1498"/>
      <c r="L4128" s="49"/>
      <c r="M4128" s="1498"/>
      <c r="N4128" s="49"/>
      <c r="O4128" s="644"/>
      <c r="P4128" s="644"/>
      <c r="Q4128" s="1290"/>
      <c r="R4128" s="644"/>
      <c r="S4128" s="48"/>
      <c r="T4128" s="1305"/>
      <c r="U4128" s="48"/>
      <c r="V4128" s="48"/>
    </row>
    <row r="4129" spans="7:22">
      <c r="G4129" s="48"/>
      <c r="H4129" s="48"/>
      <c r="I4129" s="48"/>
      <c r="J4129" s="49"/>
      <c r="K4129" s="1498"/>
      <c r="L4129" s="49"/>
      <c r="M4129" s="1498"/>
      <c r="N4129" s="49"/>
      <c r="O4129" s="644"/>
      <c r="P4129" s="644"/>
      <c r="Q4129" s="1290"/>
      <c r="R4129" s="644"/>
      <c r="S4129" s="48"/>
      <c r="T4129" s="1305"/>
      <c r="U4129" s="48"/>
      <c r="V4129" s="48"/>
    </row>
    <row r="4130" spans="7:22">
      <c r="G4130" s="48"/>
      <c r="H4130" s="48"/>
      <c r="I4130" s="48"/>
      <c r="J4130" s="49"/>
      <c r="K4130" s="49"/>
      <c r="L4130" s="49"/>
      <c r="M4130" s="1498"/>
      <c r="N4130" s="49"/>
      <c r="O4130" s="644"/>
      <c r="P4130" s="644"/>
      <c r="Q4130" s="1290"/>
      <c r="R4130" s="644"/>
      <c r="S4130" s="48"/>
      <c r="T4130" s="1305"/>
      <c r="U4130" s="48"/>
      <c r="V4130" s="48"/>
    </row>
    <row r="4131" spans="7:22">
      <c r="G4131" s="48"/>
      <c r="H4131" s="48"/>
      <c r="I4131" s="48"/>
      <c r="J4131" s="954">
        <f>SUM(J4115:J4125)</f>
        <v>323270000</v>
      </c>
      <c r="K4131" s="954"/>
      <c r="L4131" s="954">
        <f>SUM(L4115:L4130)</f>
        <v>3000000</v>
      </c>
      <c r="M4131" s="1498"/>
      <c r="N4131" s="954">
        <f>SUM(N4115:N4130)</f>
        <v>378200000</v>
      </c>
      <c r="O4131" s="644"/>
      <c r="P4131" s="969">
        <f>SUM(P4115:P4122)</f>
        <v>22900000</v>
      </c>
      <c r="Q4131" s="969"/>
      <c r="R4131" s="969">
        <f>SUM(R4115:R4130)</f>
        <v>0</v>
      </c>
      <c r="S4131" s="48"/>
      <c r="T4131" s="1178">
        <f>SUM(T4115:T4130)</f>
        <v>9900</v>
      </c>
      <c r="U4131" s="48"/>
      <c r="V4131" s="878">
        <f>SUM(V4115:V4130)</f>
        <v>0</v>
      </c>
    </row>
    <row r="4132" spans="7:22">
      <c r="T4132" s="1304"/>
    </row>
    <row r="4133" spans="7:22">
      <c r="T4133" s="1304"/>
    </row>
    <row r="4134" spans="7:22">
      <c r="R4134" s="661"/>
      <c r="T4134" s="1304"/>
    </row>
    <row r="4135" spans="7:22">
      <c r="T4135" s="1304"/>
    </row>
    <row r="4136" spans="7:22">
      <c r="T4136" s="1304"/>
    </row>
    <row r="4137" spans="7:22">
      <c r="I4137" s="946"/>
      <c r="M4137" s="1533" t="s">
        <v>3699</v>
      </c>
      <c r="O4137" s="1535" t="s">
        <v>3741</v>
      </c>
      <c r="P4137" s="1512">
        <f>P4131-R4131</f>
        <v>22900000</v>
      </c>
      <c r="S4137" s="906" t="s">
        <v>4049</v>
      </c>
      <c r="T4137" s="1107">
        <f>T4131-V4131</f>
        <v>9900</v>
      </c>
    </row>
    <row r="4138" spans="7:22">
      <c r="G4138" s="1574" t="s">
        <v>3530</v>
      </c>
      <c r="H4138" s="1574"/>
      <c r="I4138" s="1574"/>
      <c r="J4138" s="3">
        <f>J4131+L4131</f>
        <v>326270000</v>
      </c>
      <c r="K4138" s="1009"/>
      <c r="L4138" s="3"/>
      <c r="M4138" s="1533" t="s">
        <v>3664</v>
      </c>
      <c r="N4138" s="1527"/>
      <c r="O4138" s="1535" t="s">
        <v>4066</v>
      </c>
      <c r="P4138" s="1512"/>
      <c r="T4138" s="1304"/>
    </row>
    <row r="4139" spans="7:22">
      <c r="G4139" s="1574" t="s">
        <v>3512</v>
      </c>
      <c r="H4139" s="1574"/>
      <c r="I4139" s="1574"/>
      <c r="J4139" s="3">
        <f>N4131-J4138</f>
        <v>51930000</v>
      </c>
      <c r="K4139" s="1009"/>
      <c r="L4139" s="3"/>
      <c r="M4139" s="1528"/>
      <c r="O4139" s="1529"/>
      <c r="Q4139" s="661"/>
      <c r="T4139" s="1304"/>
    </row>
    <row r="4140" spans="7:22">
      <c r="G4140" s="1574" t="s">
        <v>3531</v>
      </c>
      <c r="H4140" s="1574"/>
      <c r="I4140" s="1574"/>
      <c r="J4140" s="3">
        <f>T4137</f>
        <v>9900</v>
      </c>
      <c r="Q4140" s="3"/>
      <c r="T4140" s="1304"/>
    </row>
    <row r="4141" spans="7:22">
      <c r="G4141" s="1564" t="s">
        <v>4455</v>
      </c>
      <c r="H4141" s="1564"/>
      <c r="I4141" s="1564"/>
      <c r="J4141" s="3">
        <f>+P4137</f>
        <v>22900000</v>
      </c>
      <c r="R4141" s="3"/>
      <c r="T4141" s="1304"/>
    </row>
    <row r="4142" spans="7:22">
      <c r="T4142" s="1304"/>
    </row>
    <row r="4143" spans="7:22">
      <c r="T4143" s="1304"/>
    </row>
    <row r="4144" spans="7:22">
      <c r="T4144" s="1304"/>
    </row>
    <row r="4146" spans="7:22">
      <c r="T4146" s="1304"/>
    </row>
    <row r="4147" spans="7:22">
      <c r="T4147" s="1304"/>
    </row>
    <row r="4148" spans="7:22">
      <c r="T4148" s="1304"/>
    </row>
    <row r="4149" spans="7:22">
      <c r="G4149" s="1008">
        <v>46070</v>
      </c>
      <c r="H4149" s="1169"/>
      <c r="I4149" s="1575" t="s">
        <v>3510</v>
      </c>
      <c r="J4149" s="1576"/>
      <c r="K4149" s="1575" t="s">
        <v>3509</v>
      </c>
      <c r="L4149" s="1576"/>
      <c r="M4149" s="1575" t="s">
        <v>3541</v>
      </c>
      <c r="N4149" s="1576"/>
      <c r="O4149" s="1577" t="s">
        <v>3598</v>
      </c>
      <c r="P4149" s="1578"/>
      <c r="Q4149" s="1579" t="s">
        <v>3599</v>
      </c>
      <c r="R4149" s="1580"/>
      <c r="S4149" s="1583" t="s">
        <v>3953</v>
      </c>
      <c r="T4149" s="1583"/>
      <c r="U4149" s="1583" t="s">
        <v>3954</v>
      </c>
      <c r="V4149" s="1583"/>
    </row>
    <row r="4150" spans="7:22">
      <c r="G4150" s="1097"/>
      <c r="H4150" s="1261"/>
      <c r="I4150" s="1311" t="s">
        <v>4728</v>
      </c>
      <c r="J4150" s="49">
        <v>30190000</v>
      </c>
      <c r="K4150" s="1495" t="s">
        <v>4729</v>
      </c>
      <c r="L4150" s="49">
        <v>1000000</v>
      </c>
      <c r="M4150" s="1495" t="s">
        <v>4613</v>
      </c>
      <c r="N4150" s="1495">
        <v>232400000</v>
      </c>
      <c r="O4150" s="1383"/>
      <c r="P4150" s="644"/>
      <c r="Q4150" s="1279"/>
      <c r="R4150" s="644"/>
      <c r="S4150" s="1223"/>
      <c r="T4150" s="1191"/>
      <c r="U4150" s="1232"/>
      <c r="V4150" s="48"/>
    </row>
    <row r="4151" spans="7:22">
      <c r="G4151" s="1098"/>
      <c r="H4151" s="1172"/>
      <c r="I4151" s="1312" t="s">
        <v>4730</v>
      </c>
      <c r="J4151" s="49">
        <v>26390000</v>
      </c>
      <c r="K4151" s="1495" t="s">
        <v>4513</v>
      </c>
      <c r="L4151" s="49">
        <v>1100000</v>
      </c>
      <c r="M4151" s="1495" t="s">
        <v>4727</v>
      </c>
      <c r="N4151" s="49">
        <v>5250000</v>
      </c>
      <c r="O4151" s="1383" t="s">
        <v>4712</v>
      </c>
      <c r="P4151" s="644">
        <v>2480000</v>
      </c>
      <c r="Q4151" s="1290"/>
      <c r="R4151" s="1290"/>
      <c r="S4151" s="1296" t="s">
        <v>4613</v>
      </c>
      <c r="T4151" s="1191">
        <v>9500</v>
      </c>
      <c r="U4151" s="48"/>
      <c r="V4151" s="49"/>
    </row>
    <row r="4152" spans="7:22">
      <c r="G4152" s="48"/>
      <c r="H4152" s="48"/>
      <c r="I4152" s="1313" t="s">
        <v>4731</v>
      </c>
      <c r="J4152" s="49">
        <v>30360000</v>
      </c>
      <c r="K4152" s="1493" t="s">
        <v>4735</v>
      </c>
      <c r="L4152" s="49">
        <v>3000000</v>
      </c>
      <c r="M4152" s="1495" t="s">
        <v>4455</v>
      </c>
      <c r="N4152" s="49">
        <v>3200000</v>
      </c>
      <c r="O4152" s="1383"/>
      <c r="P4152" s="644"/>
      <c r="Q4152" s="1303"/>
      <c r="R4152" s="644"/>
      <c r="S4152" s="1287"/>
      <c r="T4152" s="1191">
        <v>100</v>
      </c>
      <c r="U4152" s="1287"/>
      <c r="V4152" s="1191"/>
    </row>
    <row r="4153" spans="7:22">
      <c r="G4153" s="48"/>
      <c r="H4153" s="48"/>
      <c r="I4153" s="1312" t="s">
        <v>4732</v>
      </c>
      <c r="J4153" s="49">
        <v>30360000</v>
      </c>
      <c r="K4153" s="1493" t="s">
        <v>4736</v>
      </c>
      <c r="L4153" s="49">
        <v>4000000</v>
      </c>
      <c r="M4153" s="1493" t="s">
        <v>4734</v>
      </c>
      <c r="N4153" s="49">
        <v>418080000</v>
      </c>
      <c r="O4153" s="1383"/>
      <c r="P4153" s="644"/>
      <c r="Q4153" s="1303"/>
      <c r="R4153" s="644"/>
      <c r="S4153" s="1313" t="s">
        <v>4691</v>
      </c>
      <c r="T4153" s="1305">
        <v>400</v>
      </c>
      <c r="U4153" s="1289"/>
      <c r="V4153" s="1305"/>
    </row>
    <row r="4154" spans="7:22">
      <c r="G4154" s="48"/>
      <c r="H4154" s="48"/>
      <c r="I4154" s="1313" t="s">
        <v>4733</v>
      </c>
      <c r="J4154" s="49">
        <v>30360000</v>
      </c>
      <c r="K4154" s="1493"/>
      <c r="L4154" s="49"/>
      <c r="M4154" s="1493" t="s">
        <v>4734</v>
      </c>
      <c r="N4154" s="49">
        <v>113460000</v>
      </c>
      <c r="O4154" s="1383"/>
      <c r="P4154" s="644"/>
      <c r="Q4154" s="1288"/>
      <c r="R4154" s="644"/>
      <c r="S4154" s="48"/>
      <c r="T4154" s="1305"/>
      <c r="U4154" s="48"/>
      <c r="V4154" s="49"/>
    </row>
    <row r="4155" spans="7:22">
      <c r="G4155" s="48"/>
      <c r="H4155" s="48"/>
      <c r="I4155" s="1313" t="s">
        <v>4737</v>
      </c>
      <c r="J4155" s="49">
        <v>113460000</v>
      </c>
      <c r="K4155" s="1493"/>
      <c r="L4155" s="49"/>
      <c r="M4155" s="1495"/>
      <c r="N4155" s="49"/>
      <c r="O4155" s="1383"/>
      <c r="P4155" s="644"/>
      <c r="Q4155" s="1302"/>
      <c r="R4155" s="644"/>
      <c r="S4155" s="48"/>
      <c r="T4155" s="1305"/>
      <c r="U4155" s="48"/>
      <c r="V4155" s="49"/>
    </row>
    <row r="4156" spans="7:22">
      <c r="G4156" s="48"/>
      <c r="H4156" s="48"/>
      <c r="I4156" s="1313"/>
      <c r="J4156" s="49"/>
      <c r="K4156" s="1493"/>
      <c r="L4156" s="49"/>
      <c r="M4156" s="1495"/>
      <c r="N4156" s="49"/>
      <c r="O4156" s="1383"/>
      <c r="P4156" s="644"/>
      <c r="Q4156" s="1290"/>
      <c r="R4156" s="644"/>
      <c r="S4156" s="48"/>
      <c r="T4156" s="1305"/>
      <c r="U4156" s="48"/>
      <c r="V4156" s="49"/>
    </row>
    <row r="4157" spans="7:22">
      <c r="G4157" s="48"/>
      <c r="H4157" s="48"/>
      <c r="I4157" s="1313"/>
      <c r="J4157" s="49"/>
      <c r="K4157" s="1532"/>
      <c r="L4157" s="49"/>
      <c r="M4157" s="1498"/>
      <c r="N4157" s="49"/>
      <c r="O4157" s="1383"/>
      <c r="P4157" s="644"/>
      <c r="Q4157" s="1291"/>
      <c r="R4157" s="644"/>
      <c r="S4157" s="48"/>
      <c r="T4157" s="1305"/>
      <c r="U4157" s="48"/>
      <c r="V4157" s="49"/>
    </row>
    <row r="4158" spans="7:22">
      <c r="G4158" s="48"/>
      <c r="H4158" s="48"/>
      <c r="I4158" s="48"/>
      <c r="J4158" s="49"/>
      <c r="K4158" s="1495"/>
      <c r="L4158" s="49"/>
      <c r="M4158" s="1498"/>
      <c r="N4158" s="49"/>
      <c r="O4158" s="644"/>
      <c r="P4158" s="644"/>
      <c r="Q4158" s="1290"/>
      <c r="R4158" s="644"/>
      <c r="S4158" s="48"/>
      <c r="T4158" s="1305"/>
      <c r="U4158" s="48"/>
      <c r="V4158" s="49"/>
    </row>
    <row r="4159" spans="7:22">
      <c r="G4159" s="48"/>
      <c r="H4159" s="48"/>
      <c r="I4159" s="48"/>
      <c r="J4159" s="49"/>
      <c r="K4159" s="1495"/>
      <c r="L4159" s="49"/>
      <c r="M4159" s="1498"/>
      <c r="N4159" s="49"/>
      <c r="O4159" s="644"/>
      <c r="P4159" s="644"/>
      <c r="Q4159" s="1290"/>
      <c r="R4159" s="644"/>
      <c r="S4159" s="48"/>
      <c r="T4159" s="1305"/>
      <c r="U4159" s="48"/>
      <c r="V4159" s="49"/>
    </row>
    <row r="4160" spans="7:22">
      <c r="G4160" s="48"/>
      <c r="H4160" s="48"/>
      <c r="I4160" s="48"/>
      <c r="J4160" s="49"/>
      <c r="K4160" s="1495"/>
      <c r="L4160" s="49"/>
      <c r="M4160" s="1498"/>
      <c r="N4160" s="49"/>
      <c r="O4160" s="644"/>
      <c r="P4160" s="644"/>
      <c r="Q4160" s="1290"/>
      <c r="R4160" s="644"/>
      <c r="S4160" s="48"/>
      <c r="T4160" s="1305"/>
      <c r="U4160" s="48"/>
      <c r="V4160" s="48"/>
    </row>
    <row r="4161" spans="7:22">
      <c r="G4161" s="48"/>
      <c r="H4161" s="48"/>
      <c r="I4161" s="48"/>
      <c r="J4161" s="49"/>
      <c r="K4161" s="1498"/>
      <c r="L4161" s="49"/>
      <c r="M4161" s="1498"/>
      <c r="N4161" s="49"/>
      <c r="O4161" s="644"/>
      <c r="P4161" s="644"/>
      <c r="Q4161" s="1290"/>
      <c r="R4161" s="644"/>
      <c r="S4161" s="48"/>
      <c r="T4161" s="1305"/>
      <c r="U4161" s="48"/>
      <c r="V4161" s="48"/>
    </row>
    <row r="4162" spans="7:22">
      <c r="G4162" s="48"/>
      <c r="H4162" s="48"/>
      <c r="I4162" s="48"/>
      <c r="J4162" s="49"/>
      <c r="K4162" s="1498"/>
      <c r="L4162" s="49"/>
      <c r="M4162" s="1498"/>
      <c r="N4162" s="49"/>
      <c r="O4162" s="644"/>
      <c r="P4162" s="644"/>
      <c r="Q4162" s="1290"/>
      <c r="R4162" s="644"/>
      <c r="S4162" s="48"/>
      <c r="T4162" s="1305"/>
      <c r="U4162" s="48"/>
      <c r="V4162" s="48"/>
    </row>
    <row r="4163" spans="7:22">
      <c r="G4163" s="48"/>
      <c r="H4163" s="48"/>
      <c r="I4163" s="48"/>
      <c r="J4163" s="49"/>
      <c r="K4163" s="1498"/>
      <c r="L4163" s="49"/>
      <c r="M4163" s="1498"/>
      <c r="N4163" s="49"/>
      <c r="O4163" s="644"/>
      <c r="P4163" s="644"/>
      <c r="Q4163" s="1290"/>
      <c r="R4163" s="644"/>
      <c r="S4163" s="48"/>
      <c r="T4163" s="1305"/>
      <c r="U4163" s="48"/>
      <c r="V4163" s="48"/>
    </row>
    <row r="4164" spans="7:22">
      <c r="G4164" s="48"/>
      <c r="H4164" s="48"/>
      <c r="I4164" s="48"/>
      <c r="J4164" s="49"/>
      <c r="K4164" s="1498"/>
      <c r="L4164" s="49"/>
      <c r="M4164" s="1498"/>
      <c r="N4164" s="49"/>
      <c r="O4164" s="644"/>
      <c r="P4164" s="644"/>
      <c r="Q4164" s="1290"/>
      <c r="R4164" s="644"/>
      <c r="S4164" s="48"/>
      <c r="T4164" s="1305"/>
      <c r="U4164" s="48"/>
      <c r="V4164" s="48"/>
    </row>
    <row r="4165" spans="7:22">
      <c r="G4165" s="48"/>
      <c r="H4165" s="48"/>
      <c r="I4165" s="48"/>
      <c r="J4165" s="49"/>
      <c r="K4165" s="49"/>
      <c r="L4165" s="49"/>
      <c r="M4165" s="1498"/>
      <c r="N4165" s="49"/>
      <c r="O4165" s="644"/>
      <c r="P4165" s="644"/>
      <c r="Q4165" s="1290"/>
      <c r="R4165" s="644"/>
      <c r="S4165" s="48"/>
      <c r="T4165" s="1305"/>
      <c r="U4165" s="48"/>
      <c r="V4165" s="48"/>
    </row>
    <row r="4166" spans="7:22">
      <c r="G4166" s="48"/>
      <c r="H4166" s="48"/>
      <c r="I4166" s="48"/>
      <c r="J4166" s="954">
        <f>SUM(J4150:J4160)</f>
        <v>261120000</v>
      </c>
      <c r="K4166" s="954"/>
      <c r="L4166" s="954">
        <f>SUM(L4150:L4165)</f>
        <v>9100000</v>
      </c>
      <c r="M4166" s="1498"/>
      <c r="N4166" s="954">
        <f>SUM(N4150:N4165)</f>
        <v>772390000</v>
      </c>
      <c r="O4166" s="644"/>
      <c r="P4166" s="969">
        <f>SUM(P4150:P4157)</f>
        <v>2480000</v>
      </c>
      <c r="Q4166" s="969"/>
      <c r="R4166" s="969">
        <f>SUM(R4150:R4165)</f>
        <v>0</v>
      </c>
      <c r="S4166" s="48"/>
      <c r="T4166" s="1178">
        <f>SUM(T4150:T4165)</f>
        <v>10000</v>
      </c>
      <c r="U4166" s="48"/>
      <c r="V4166" s="878">
        <f>SUM(V4150:V4165)</f>
        <v>0</v>
      </c>
    </row>
    <row r="4167" spans="7:22">
      <c r="T4167" s="1304"/>
    </row>
    <row r="4168" spans="7:22">
      <c r="T4168" s="1304"/>
    </row>
    <row r="4169" spans="7:22">
      <c r="R4169" s="661"/>
      <c r="T4169" s="1304"/>
    </row>
    <row r="4170" spans="7:22">
      <c r="T4170" s="1304"/>
    </row>
    <row r="4171" spans="7:22">
      <c r="T4171" s="1304"/>
    </row>
    <row r="4172" spans="7:22">
      <c r="I4172" s="946"/>
      <c r="M4172" s="1533" t="s">
        <v>3699</v>
      </c>
      <c r="O4172" s="1535" t="s">
        <v>3741</v>
      </c>
      <c r="P4172" s="1512">
        <f>P4166-R4166</f>
        <v>2480000</v>
      </c>
      <c r="S4172" s="906" t="s">
        <v>4049</v>
      </c>
      <c r="T4172" s="1107">
        <f>T4166-V4166</f>
        <v>10000</v>
      </c>
    </row>
    <row r="4173" spans="7:22">
      <c r="G4173" s="1574" t="s">
        <v>3530</v>
      </c>
      <c r="H4173" s="1574"/>
      <c r="I4173" s="1574"/>
      <c r="J4173" s="3">
        <f>J4166+L4166</f>
        <v>270220000</v>
      </c>
      <c r="K4173" s="1009"/>
      <c r="L4173" s="3"/>
      <c r="M4173" s="1533" t="s">
        <v>3664</v>
      </c>
      <c r="N4173" s="1527"/>
      <c r="O4173" s="1535" t="s">
        <v>4066</v>
      </c>
      <c r="P4173" s="1512"/>
      <c r="T4173" s="1304"/>
    </row>
    <row r="4174" spans="7:22">
      <c r="G4174" s="1574" t="s">
        <v>3512</v>
      </c>
      <c r="H4174" s="1574"/>
      <c r="I4174" s="1574"/>
      <c r="J4174" s="3">
        <f>N4166-J4173</f>
        <v>502170000</v>
      </c>
      <c r="K4174" s="1009"/>
      <c r="L4174" s="3"/>
      <c r="M4174" s="1528"/>
      <c r="O4174" s="1529"/>
      <c r="Q4174" s="661"/>
      <c r="T4174" s="1304"/>
    </row>
    <row r="4175" spans="7:22">
      <c r="G4175" s="1574" t="s">
        <v>3531</v>
      </c>
      <c r="H4175" s="1574"/>
      <c r="I4175" s="1574"/>
      <c r="J4175" s="3">
        <f>T4172</f>
        <v>10000</v>
      </c>
      <c r="Q4175" s="3"/>
      <c r="T4175" s="1304"/>
    </row>
    <row r="4176" spans="7:22">
      <c r="G4176" s="1564" t="s">
        <v>4455</v>
      </c>
      <c r="H4176" s="1564"/>
      <c r="I4176" s="1564"/>
      <c r="J4176" s="3">
        <f>+P4172</f>
        <v>2480000</v>
      </c>
      <c r="R4176" s="3"/>
      <c r="T4176" s="1304"/>
    </row>
    <row r="4177" spans="7:22">
      <c r="T4177" s="1304"/>
    </row>
    <row r="4178" spans="7:22">
      <c r="T4178" s="1304"/>
    </row>
    <row r="4181" spans="7:22">
      <c r="T4181" s="1304"/>
    </row>
    <row r="4182" spans="7:22">
      <c r="T4182" s="1304"/>
    </row>
    <row r="4183" spans="7:22">
      <c r="G4183" s="1008">
        <v>46071</v>
      </c>
      <c r="H4183" s="1169"/>
      <c r="I4183" s="1575" t="s">
        <v>3510</v>
      </c>
      <c r="J4183" s="1576"/>
      <c r="K4183" s="1575" t="s">
        <v>3509</v>
      </c>
      <c r="L4183" s="1576"/>
      <c r="M4183" s="1575" t="s">
        <v>3541</v>
      </c>
      <c r="N4183" s="1576"/>
      <c r="O4183" s="1577" t="s">
        <v>3598</v>
      </c>
      <c r="P4183" s="1578"/>
      <c r="Q4183" s="1579" t="s">
        <v>3599</v>
      </c>
      <c r="R4183" s="1580"/>
      <c r="S4183" s="1583" t="s">
        <v>3953</v>
      </c>
      <c r="T4183" s="1583"/>
      <c r="U4183" s="1583" t="s">
        <v>3954</v>
      </c>
      <c r="V4183" s="1583"/>
    </row>
    <row r="4184" spans="7:22">
      <c r="G4184" s="1097"/>
      <c r="H4184" s="1261"/>
      <c r="I4184" s="1311" t="s">
        <v>4738</v>
      </c>
      <c r="J4184" s="49">
        <v>22500000</v>
      </c>
      <c r="K4184" s="1495" t="s">
        <v>4646</v>
      </c>
      <c r="L4184" s="49">
        <v>15000000</v>
      </c>
      <c r="M4184" s="1495" t="s">
        <v>4613</v>
      </c>
      <c r="N4184" s="1495">
        <v>400000000</v>
      </c>
      <c r="O4184" s="1383"/>
      <c r="P4184" s="644"/>
      <c r="Q4184" s="1279"/>
      <c r="R4184" s="644"/>
      <c r="S4184" s="1223"/>
      <c r="T4184" s="1191"/>
      <c r="U4184" s="1232"/>
      <c r="V4184" s="48"/>
    </row>
    <row r="4185" spans="7:22">
      <c r="G4185" s="1098"/>
      <c r="H4185" s="1172"/>
      <c r="I4185" s="1312" t="s">
        <v>4741</v>
      </c>
      <c r="J4185" s="49">
        <v>23000000</v>
      </c>
      <c r="K4185" s="1495" t="s">
        <v>4745</v>
      </c>
      <c r="L4185" s="49">
        <v>1500000</v>
      </c>
      <c r="M4185" s="1495" t="s">
        <v>4739</v>
      </c>
      <c r="N4185" s="49">
        <v>4500000</v>
      </c>
      <c r="O4185" s="1383" t="s">
        <v>4712</v>
      </c>
      <c r="P4185" s="644">
        <v>2480000</v>
      </c>
      <c r="Q4185" s="1290"/>
      <c r="R4185" s="1290"/>
      <c r="S4185" s="1296" t="s">
        <v>4613</v>
      </c>
      <c r="T4185" s="1191">
        <v>10000</v>
      </c>
      <c r="U4185" s="48"/>
      <c r="V4185" s="49"/>
    </row>
    <row r="4186" spans="7:22">
      <c r="G4186" s="48"/>
      <c r="H4186" s="48"/>
      <c r="I4186" s="1313" t="s">
        <v>4601</v>
      </c>
      <c r="J4186" s="49">
        <v>91140000</v>
      </c>
      <c r="K4186" s="1493" t="s">
        <v>4747</v>
      </c>
      <c r="L4186" s="49">
        <v>15000000</v>
      </c>
      <c r="M4186" s="1495" t="s">
        <v>4740</v>
      </c>
      <c r="N4186" s="49">
        <v>1400000</v>
      </c>
      <c r="O4186" s="1383"/>
      <c r="P4186" s="644"/>
      <c r="Q4186" s="1303"/>
      <c r="R4186" s="644"/>
      <c r="S4186" s="1287"/>
      <c r="T4186" s="1191">
        <v>7600</v>
      </c>
      <c r="U4186" s="1287"/>
      <c r="V4186" s="1191"/>
    </row>
    <row r="4187" spans="7:22">
      <c r="G4187" s="48"/>
      <c r="H4187" s="48"/>
      <c r="I4187" s="1312" t="s">
        <v>4743</v>
      </c>
      <c r="J4187" s="49">
        <v>29700000</v>
      </c>
      <c r="K4187" s="1493"/>
      <c r="L4187" s="49"/>
      <c r="M4187" s="1493" t="s">
        <v>4742</v>
      </c>
      <c r="N4187" s="49">
        <v>10000000</v>
      </c>
      <c r="O4187" s="1383"/>
      <c r="P4187" s="644"/>
      <c r="Q4187" s="1303"/>
      <c r="R4187" s="644"/>
      <c r="S4187" s="1313"/>
      <c r="T4187" s="1305"/>
      <c r="U4187" s="1289"/>
      <c r="V4187" s="1305"/>
    </row>
    <row r="4188" spans="7:22">
      <c r="G4188" s="48"/>
      <c r="H4188" s="48"/>
      <c r="I4188" s="1313" t="s">
        <v>4744</v>
      </c>
      <c r="J4188" s="49">
        <v>9200000</v>
      </c>
      <c r="K4188" s="1493"/>
      <c r="L4188" s="49"/>
      <c r="M4188" s="1493"/>
      <c r="N4188" s="49"/>
      <c r="O4188" s="1383"/>
      <c r="P4188" s="644"/>
      <c r="Q4188" s="1288"/>
      <c r="R4188" s="644"/>
      <c r="S4188" s="48"/>
      <c r="T4188" s="1305"/>
      <c r="U4188" s="48"/>
      <c r="V4188" s="49"/>
    </row>
    <row r="4189" spans="7:22">
      <c r="G4189" s="48"/>
      <c r="H4189" s="48"/>
      <c r="I4189" s="1313" t="s">
        <v>4746</v>
      </c>
      <c r="J4189" s="49">
        <v>45000000</v>
      </c>
      <c r="K4189" s="1493"/>
      <c r="L4189" s="49"/>
      <c r="M4189" s="1495"/>
      <c r="N4189" s="49"/>
      <c r="O4189" s="1383"/>
      <c r="P4189" s="644"/>
      <c r="Q4189" s="1302"/>
      <c r="R4189" s="644"/>
      <c r="S4189" s="48"/>
      <c r="T4189" s="1305"/>
      <c r="U4189" s="48"/>
      <c r="V4189" s="49"/>
    </row>
    <row r="4190" spans="7:22">
      <c r="G4190" s="48"/>
      <c r="H4190" s="48"/>
      <c r="I4190" s="1313" t="s">
        <v>4748</v>
      </c>
      <c r="J4190" s="49">
        <v>30360000</v>
      </c>
      <c r="K4190" s="1493"/>
      <c r="L4190" s="49"/>
      <c r="M4190" s="1495"/>
      <c r="N4190" s="49"/>
      <c r="O4190" s="1383"/>
      <c r="P4190" s="644"/>
      <c r="Q4190" s="1290"/>
      <c r="R4190" s="644"/>
      <c r="S4190" s="48"/>
      <c r="T4190" s="1305"/>
      <c r="U4190" s="48"/>
      <c r="V4190" s="49"/>
    </row>
    <row r="4191" spans="7:22">
      <c r="G4191" s="48"/>
      <c r="H4191" s="48"/>
      <c r="I4191" s="1313" t="s">
        <v>4749</v>
      </c>
      <c r="J4191" s="49">
        <v>46000000</v>
      </c>
      <c r="K4191" s="1532"/>
      <c r="L4191" s="49"/>
      <c r="M4191" s="1498"/>
      <c r="N4191" s="49"/>
      <c r="O4191" s="1383"/>
      <c r="P4191" s="644"/>
      <c r="Q4191" s="1291"/>
      <c r="R4191" s="644"/>
      <c r="S4191" s="48"/>
      <c r="T4191" s="1305"/>
      <c r="U4191" s="48"/>
      <c r="V4191" s="49"/>
    </row>
    <row r="4192" spans="7:22">
      <c r="G4192" s="48"/>
      <c r="H4192" s="48"/>
      <c r="I4192" s="48" t="s">
        <v>4750</v>
      </c>
      <c r="J4192" s="49">
        <v>19800000</v>
      </c>
      <c r="K4192" s="1495"/>
      <c r="L4192" s="49"/>
      <c r="M4192" s="1498"/>
      <c r="N4192" s="49"/>
      <c r="O4192" s="644"/>
      <c r="P4192" s="644"/>
      <c r="Q4192" s="1290"/>
      <c r="R4192" s="644"/>
      <c r="S4192" s="48"/>
      <c r="T4192" s="1305"/>
      <c r="U4192" s="48"/>
      <c r="V4192" s="49"/>
    </row>
    <row r="4193" spans="7:22">
      <c r="G4193" s="48"/>
      <c r="H4193" s="48"/>
      <c r="I4193" s="48" t="s">
        <v>4751</v>
      </c>
      <c r="J4193" s="49">
        <v>32550000</v>
      </c>
      <c r="K4193" s="1495"/>
      <c r="L4193" s="49"/>
      <c r="M4193" s="1498"/>
      <c r="N4193" s="49"/>
      <c r="O4193" s="644"/>
      <c r="P4193" s="644"/>
      <c r="Q4193" s="1290"/>
      <c r="R4193" s="644"/>
      <c r="S4193" s="48"/>
      <c r="T4193" s="1305"/>
      <c r="U4193" s="48"/>
      <c r="V4193" s="49"/>
    </row>
    <row r="4194" spans="7:22">
      <c r="G4194" s="48"/>
      <c r="H4194" s="48"/>
      <c r="I4194" s="48"/>
      <c r="J4194" s="49"/>
      <c r="K4194" s="1495"/>
      <c r="L4194" s="49"/>
      <c r="M4194" s="1498"/>
      <c r="N4194" s="49"/>
      <c r="O4194" s="644"/>
      <c r="P4194" s="644"/>
      <c r="Q4194" s="1290"/>
      <c r="R4194" s="644"/>
      <c r="S4194" s="48"/>
      <c r="T4194" s="1305"/>
      <c r="U4194" s="48"/>
      <c r="V4194" s="48"/>
    </row>
    <row r="4195" spans="7:22">
      <c r="G4195" s="48"/>
      <c r="H4195" s="48"/>
      <c r="I4195" s="48"/>
      <c r="J4195" s="49"/>
      <c r="K4195" s="1498"/>
      <c r="L4195" s="49"/>
      <c r="M4195" s="1498"/>
      <c r="N4195" s="49"/>
      <c r="O4195" s="644"/>
      <c r="P4195" s="644"/>
      <c r="Q4195" s="1290"/>
      <c r="R4195" s="644"/>
      <c r="S4195" s="48"/>
      <c r="T4195" s="1305"/>
      <c r="U4195" s="48"/>
      <c r="V4195" s="48"/>
    </row>
    <row r="4196" spans="7:22">
      <c r="G4196" s="48"/>
      <c r="H4196" s="48"/>
      <c r="I4196" s="48"/>
      <c r="J4196" s="49"/>
      <c r="K4196" s="1498"/>
      <c r="L4196" s="49"/>
      <c r="M4196" s="1498"/>
      <c r="N4196" s="49"/>
      <c r="O4196" s="644"/>
      <c r="P4196" s="644"/>
      <c r="Q4196" s="1290"/>
      <c r="R4196" s="644"/>
      <c r="S4196" s="48"/>
      <c r="T4196" s="1305"/>
      <c r="U4196" s="48"/>
      <c r="V4196" s="48"/>
    </row>
    <row r="4197" spans="7:22">
      <c r="G4197" s="48"/>
      <c r="H4197" s="48"/>
      <c r="I4197" s="48"/>
      <c r="J4197" s="49"/>
      <c r="K4197" s="1498"/>
      <c r="L4197" s="49"/>
      <c r="M4197" s="1498"/>
      <c r="N4197" s="49"/>
      <c r="O4197" s="644"/>
      <c r="P4197" s="644"/>
      <c r="Q4197" s="1290"/>
      <c r="R4197" s="644"/>
      <c r="S4197" s="48"/>
      <c r="T4197" s="1305"/>
      <c r="U4197" s="48"/>
      <c r="V4197" s="48"/>
    </row>
    <row r="4198" spans="7:22">
      <c r="G4198" s="48"/>
      <c r="H4198" s="48"/>
      <c r="I4198" s="48"/>
      <c r="J4198" s="49"/>
      <c r="K4198" s="1498"/>
      <c r="L4198" s="49"/>
      <c r="M4198" s="1498"/>
      <c r="N4198" s="49"/>
      <c r="O4198" s="644"/>
      <c r="P4198" s="644"/>
      <c r="Q4198" s="1290"/>
      <c r="R4198" s="644"/>
      <c r="S4198" s="48"/>
      <c r="T4198" s="1305"/>
      <c r="U4198" s="48"/>
      <c r="V4198" s="48"/>
    </row>
    <row r="4199" spans="7:22">
      <c r="G4199" s="48"/>
      <c r="H4199" s="48"/>
      <c r="I4199" s="48"/>
      <c r="J4199" s="49"/>
      <c r="K4199" s="49"/>
      <c r="L4199" s="49"/>
      <c r="M4199" s="1498"/>
      <c r="N4199" s="49"/>
      <c r="O4199" s="644"/>
      <c r="P4199" s="644"/>
      <c r="Q4199" s="1290"/>
      <c r="R4199" s="644"/>
      <c r="S4199" s="48"/>
      <c r="T4199" s="1305"/>
      <c r="U4199" s="48"/>
      <c r="V4199" s="48"/>
    </row>
    <row r="4200" spans="7:22">
      <c r="G4200" s="48"/>
      <c r="H4200" s="48"/>
      <c r="I4200" s="48"/>
      <c r="J4200" s="954">
        <f>SUM(J4184:J4194)</f>
        <v>349250000</v>
      </c>
      <c r="K4200" s="954"/>
      <c r="L4200" s="954">
        <f>SUM(L4184:L4199)</f>
        <v>31500000</v>
      </c>
      <c r="M4200" s="1498"/>
      <c r="N4200" s="954">
        <f>SUM(N4184:N4199)</f>
        <v>415900000</v>
      </c>
      <c r="O4200" s="644"/>
      <c r="P4200" s="969">
        <f>SUM(P4184:P4191)</f>
        <v>2480000</v>
      </c>
      <c r="Q4200" s="969"/>
      <c r="R4200" s="969">
        <f>SUM(R4184:R4199)</f>
        <v>0</v>
      </c>
      <c r="S4200" s="48"/>
      <c r="T4200" s="1178">
        <f>SUM(T4184:T4199)</f>
        <v>17600</v>
      </c>
      <c r="U4200" s="48"/>
      <c r="V4200" s="878">
        <f>SUM(V4184:V4199)</f>
        <v>0</v>
      </c>
    </row>
    <row r="4201" spans="7:22">
      <c r="T4201" s="1304"/>
    </row>
    <row r="4202" spans="7:22">
      <c r="T4202" s="1304"/>
    </row>
    <row r="4203" spans="7:22">
      <c r="R4203" s="661"/>
      <c r="T4203" s="1304"/>
    </row>
    <row r="4204" spans="7:22">
      <c r="T4204" s="1304"/>
    </row>
    <row r="4205" spans="7:22">
      <c r="T4205" s="1304"/>
    </row>
    <row r="4206" spans="7:22">
      <c r="I4206" s="946"/>
      <c r="M4206" s="1533" t="s">
        <v>3699</v>
      </c>
      <c r="O4206" s="1535" t="s">
        <v>3741</v>
      </c>
      <c r="P4206" s="1512">
        <f>P4200-R4200</f>
        <v>2480000</v>
      </c>
      <c r="S4206" s="906" t="s">
        <v>4049</v>
      </c>
      <c r="T4206" s="1107">
        <f>T4200-V4200</f>
        <v>17600</v>
      </c>
    </row>
    <row r="4207" spans="7:22">
      <c r="G4207" s="1574" t="s">
        <v>3530</v>
      </c>
      <c r="H4207" s="1574"/>
      <c r="I4207" s="1574"/>
      <c r="J4207" s="3">
        <f>J4200+L4200</f>
        <v>380750000</v>
      </c>
      <c r="K4207" s="1009"/>
      <c r="L4207" s="3"/>
      <c r="M4207" s="1533" t="s">
        <v>3664</v>
      </c>
      <c r="N4207" s="1527"/>
      <c r="O4207" s="1535" t="s">
        <v>4066</v>
      </c>
      <c r="P4207" s="1512"/>
      <c r="T4207" s="1304"/>
    </row>
    <row r="4208" spans="7:22">
      <c r="G4208" s="1574" t="s">
        <v>3512</v>
      </c>
      <c r="H4208" s="1574"/>
      <c r="I4208" s="1574"/>
      <c r="J4208" s="3">
        <f>N4200-J4207</f>
        <v>35150000</v>
      </c>
      <c r="K4208" s="1009"/>
      <c r="L4208" s="3"/>
      <c r="M4208" s="1528"/>
      <c r="O4208" s="1529"/>
      <c r="Q4208" s="661"/>
      <c r="T4208" s="1304"/>
    </row>
    <row r="4209" spans="7:22">
      <c r="G4209" s="1574" t="s">
        <v>3531</v>
      </c>
      <c r="H4209" s="1574"/>
      <c r="I4209" s="1574"/>
      <c r="J4209" s="3">
        <f>T4206</f>
        <v>17600</v>
      </c>
      <c r="Q4209" s="3"/>
      <c r="T4209" s="1304"/>
    </row>
    <row r="4210" spans="7:22">
      <c r="G4210" s="1564" t="s">
        <v>4455</v>
      </c>
      <c r="H4210" s="1564"/>
      <c r="I4210" s="1564"/>
      <c r="J4210" s="3">
        <f>+P4206</f>
        <v>2480000</v>
      </c>
      <c r="R4210" s="3"/>
      <c r="T4210" s="1304"/>
    </row>
    <row r="4211" spans="7:22">
      <c r="T4211" s="1304"/>
    </row>
    <row r="4212" spans="7:22">
      <c r="T4212" s="1304"/>
    </row>
    <row r="4213" spans="7:22">
      <c r="T4213" s="1309"/>
    </row>
    <row r="4214" spans="7:22">
      <c r="T4214" s="1309"/>
    </row>
    <row r="4215" spans="7:22">
      <c r="G4215" s="1008">
        <v>46072</v>
      </c>
      <c r="H4215" s="1169"/>
      <c r="I4215" s="1575" t="s">
        <v>3510</v>
      </c>
      <c r="J4215" s="1576"/>
      <c r="K4215" s="1575" t="s">
        <v>3509</v>
      </c>
      <c r="L4215" s="1576"/>
      <c r="M4215" s="1575" t="s">
        <v>3541</v>
      </c>
      <c r="N4215" s="1576"/>
      <c r="O4215" s="1577" t="s">
        <v>3598</v>
      </c>
      <c r="P4215" s="1578"/>
      <c r="Q4215" s="1579" t="s">
        <v>3599</v>
      </c>
      <c r="R4215" s="1580"/>
      <c r="S4215" s="1583" t="s">
        <v>3953</v>
      </c>
      <c r="T4215" s="1583"/>
      <c r="U4215" s="1583" t="s">
        <v>3954</v>
      </c>
      <c r="V4215" s="1583"/>
    </row>
    <row r="4216" spans="7:22">
      <c r="G4216" s="1097"/>
      <c r="H4216" s="1261"/>
      <c r="I4216" s="1316" t="s">
        <v>4752</v>
      </c>
      <c r="J4216" s="49">
        <v>27600000</v>
      </c>
      <c r="K4216" s="1495" t="s">
        <v>4541</v>
      </c>
      <c r="L4216" s="49">
        <v>1500000</v>
      </c>
      <c r="M4216" s="1495" t="s">
        <v>4613</v>
      </c>
      <c r="N4216" s="1495">
        <v>286000000</v>
      </c>
      <c r="O4216" s="1383"/>
      <c r="P4216" s="644"/>
      <c r="Q4216" s="1279"/>
      <c r="R4216" s="644"/>
      <c r="S4216" s="1223"/>
      <c r="T4216" s="1191"/>
      <c r="U4216" s="1232"/>
      <c r="V4216" s="48"/>
    </row>
    <row r="4217" spans="7:22">
      <c r="G4217" s="1098"/>
      <c r="H4217" s="1172"/>
      <c r="I4217" s="1317" t="s">
        <v>4753</v>
      </c>
      <c r="J4217" s="49">
        <v>27600000</v>
      </c>
      <c r="K4217" s="1495"/>
      <c r="L4217" s="49"/>
      <c r="M4217" s="1495"/>
      <c r="N4217" s="49"/>
      <c r="O4217" s="1383" t="s">
        <v>4712</v>
      </c>
      <c r="P4217" s="644">
        <v>2480000</v>
      </c>
      <c r="Q4217" s="1290"/>
      <c r="R4217" s="1290"/>
      <c r="S4217" s="1296" t="s">
        <v>4613</v>
      </c>
      <c r="T4217" s="1191">
        <v>19400</v>
      </c>
      <c r="U4217" s="48"/>
      <c r="V4217" s="49"/>
    </row>
    <row r="4218" spans="7:22">
      <c r="G4218" s="48"/>
      <c r="H4218" s="48"/>
      <c r="I4218" s="1318" t="s">
        <v>4754</v>
      </c>
      <c r="J4218" s="49">
        <v>32200000</v>
      </c>
      <c r="K4218" s="1493"/>
      <c r="L4218" s="49"/>
      <c r="M4218" s="1495"/>
      <c r="N4218" s="49"/>
      <c r="O4218" s="1383"/>
      <c r="P4218" s="644"/>
      <c r="Q4218" s="1303"/>
      <c r="R4218" s="644"/>
      <c r="S4218" s="1287"/>
      <c r="T4218" s="1191"/>
      <c r="U4218" s="1287"/>
      <c r="V4218" s="1191"/>
    </row>
    <row r="4219" spans="7:22">
      <c r="G4219" s="48"/>
      <c r="H4219" s="48"/>
      <c r="I4219" s="1317" t="s">
        <v>4755</v>
      </c>
      <c r="J4219" s="49">
        <v>30690000</v>
      </c>
      <c r="K4219" s="1493"/>
      <c r="L4219" s="49"/>
      <c r="M4219" s="1493"/>
      <c r="N4219" s="49"/>
      <c r="O4219" s="1383"/>
      <c r="P4219" s="644"/>
      <c r="Q4219" s="1303"/>
      <c r="R4219" s="644"/>
      <c r="S4219" s="1313"/>
      <c r="T4219" s="1310"/>
      <c r="U4219" s="1289"/>
      <c r="V4219" s="1310"/>
    </row>
    <row r="4220" spans="7:22">
      <c r="G4220" s="48"/>
      <c r="H4220" s="48"/>
      <c r="I4220" s="1318" t="s">
        <v>4756</v>
      </c>
      <c r="J4220" s="49">
        <v>29700000</v>
      </c>
      <c r="K4220" s="1493"/>
      <c r="L4220" s="49"/>
      <c r="M4220" s="1493"/>
      <c r="N4220" s="49"/>
      <c r="O4220" s="1383"/>
      <c r="P4220" s="644"/>
      <c r="Q4220" s="1288"/>
      <c r="R4220" s="644"/>
      <c r="S4220" s="48"/>
      <c r="T4220" s="1310"/>
      <c r="U4220" s="48"/>
      <c r="V4220" s="49"/>
    </row>
    <row r="4221" spans="7:22">
      <c r="G4221" s="48"/>
      <c r="H4221" s="48"/>
      <c r="I4221" s="1318" t="s">
        <v>4757</v>
      </c>
      <c r="J4221" s="49">
        <v>37800000</v>
      </c>
      <c r="K4221" s="1493"/>
      <c r="L4221" s="49"/>
      <c r="M4221" s="1495"/>
      <c r="N4221" s="49"/>
      <c r="O4221" s="1383"/>
      <c r="P4221" s="644"/>
      <c r="Q4221" s="1302"/>
      <c r="R4221" s="644"/>
      <c r="S4221" s="48"/>
      <c r="T4221" s="1310"/>
      <c r="U4221" s="48"/>
      <c r="V4221" s="49"/>
    </row>
    <row r="4222" spans="7:22">
      <c r="G4222" s="48"/>
      <c r="H4222" s="48"/>
      <c r="I4222" s="1318" t="s">
        <v>4758</v>
      </c>
      <c r="J4222" s="49">
        <v>30360000</v>
      </c>
      <c r="K4222" s="1493"/>
      <c r="L4222" s="49"/>
      <c r="M4222" s="1495"/>
      <c r="N4222" s="49"/>
      <c r="O4222" s="1383"/>
      <c r="P4222" s="644"/>
      <c r="Q4222" s="1290"/>
      <c r="R4222" s="644"/>
      <c r="S4222" s="48"/>
      <c r="T4222" s="1310"/>
      <c r="U4222" s="48"/>
      <c r="V4222" s="49"/>
    </row>
    <row r="4223" spans="7:22">
      <c r="G4223" s="48"/>
      <c r="H4223" s="48"/>
      <c r="I4223" s="1318" t="s">
        <v>4759</v>
      </c>
      <c r="J4223" s="49">
        <v>10800000</v>
      </c>
      <c r="K4223" s="1532"/>
      <c r="L4223" s="49"/>
      <c r="M4223" s="1498"/>
      <c r="N4223" s="49"/>
      <c r="O4223" s="1383"/>
      <c r="P4223" s="644"/>
      <c r="Q4223" s="1291"/>
      <c r="R4223" s="644"/>
      <c r="S4223" s="48"/>
      <c r="T4223" s="1310"/>
      <c r="U4223" s="48"/>
      <c r="V4223" s="49"/>
    </row>
    <row r="4224" spans="7:22">
      <c r="G4224" s="48"/>
      <c r="H4224" s="48"/>
      <c r="I4224" s="1318" t="s">
        <v>4760</v>
      </c>
      <c r="J4224" s="49">
        <v>30360000</v>
      </c>
      <c r="K4224" s="1495"/>
      <c r="L4224" s="49"/>
      <c r="M4224" s="1498"/>
      <c r="N4224" s="49"/>
      <c r="O4224" s="644"/>
      <c r="P4224" s="644"/>
      <c r="Q4224" s="1290"/>
      <c r="R4224" s="644"/>
      <c r="S4224" s="48"/>
      <c r="T4224" s="1310"/>
      <c r="U4224" s="48"/>
      <c r="V4224" s="49"/>
    </row>
    <row r="4225" spans="7:22">
      <c r="G4225" s="48"/>
      <c r="H4225" s="48"/>
      <c r="I4225" s="48"/>
      <c r="J4225" s="49"/>
      <c r="K4225" s="1495"/>
      <c r="L4225" s="49"/>
      <c r="M4225" s="1498"/>
      <c r="N4225" s="49"/>
      <c r="O4225" s="644"/>
      <c r="P4225" s="644"/>
      <c r="Q4225" s="1290"/>
      <c r="R4225" s="644"/>
      <c r="S4225" s="48"/>
      <c r="T4225" s="1310"/>
      <c r="U4225" s="48"/>
      <c r="V4225" s="49"/>
    </row>
    <row r="4226" spans="7:22">
      <c r="G4226" s="48"/>
      <c r="H4226" s="48"/>
      <c r="I4226" s="48"/>
      <c r="J4226" s="49"/>
      <c r="K4226" s="1495"/>
      <c r="L4226" s="49"/>
      <c r="M4226" s="1498"/>
      <c r="N4226" s="49"/>
      <c r="O4226" s="644"/>
      <c r="P4226" s="644"/>
      <c r="Q4226" s="1290"/>
      <c r="R4226" s="644"/>
      <c r="S4226" s="48"/>
      <c r="T4226" s="1310"/>
      <c r="U4226" s="48"/>
      <c r="V4226" s="48"/>
    </row>
    <row r="4227" spans="7:22">
      <c r="G4227" s="48"/>
      <c r="H4227" s="48"/>
      <c r="I4227" s="48"/>
      <c r="J4227" s="49"/>
      <c r="K4227" s="1498"/>
      <c r="L4227" s="49"/>
      <c r="M4227" s="1498"/>
      <c r="N4227" s="49"/>
      <c r="O4227" s="644"/>
      <c r="P4227" s="644"/>
      <c r="Q4227" s="1290"/>
      <c r="R4227" s="644"/>
      <c r="S4227" s="48"/>
      <c r="T4227" s="1310"/>
      <c r="U4227" s="48"/>
      <c r="V4227" s="48"/>
    </row>
    <row r="4228" spans="7:22">
      <c r="G4228" s="48"/>
      <c r="H4228" s="48"/>
      <c r="I4228" s="48"/>
      <c r="J4228" s="49"/>
      <c r="K4228" s="1498"/>
      <c r="L4228" s="49"/>
      <c r="M4228" s="1498"/>
      <c r="N4228" s="49"/>
      <c r="O4228" s="644"/>
      <c r="P4228" s="644"/>
      <c r="Q4228" s="1290"/>
      <c r="R4228" s="644"/>
      <c r="S4228" s="48"/>
      <c r="T4228" s="1310"/>
      <c r="U4228" s="48"/>
      <c r="V4228" s="48"/>
    </row>
    <row r="4229" spans="7:22">
      <c r="G4229" s="48"/>
      <c r="H4229" s="48"/>
      <c r="I4229" s="48"/>
      <c r="J4229" s="49"/>
      <c r="K4229" s="1498"/>
      <c r="L4229" s="49"/>
      <c r="M4229" s="1498"/>
      <c r="N4229" s="49"/>
      <c r="O4229" s="644"/>
      <c r="P4229" s="644"/>
      <c r="Q4229" s="1290"/>
      <c r="R4229" s="644"/>
      <c r="S4229" s="48"/>
      <c r="T4229" s="1310"/>
      <c r="U4229" s="48"/>
      <c r="V4229" s="48"/>
    </row>
    <row r="4230" spans="7:22">
      <c r="G4230" s="48"/>
      <c r="H4230" s="48"/>
      <c r="I4230" s="48"/>
      <c r="J4230" s="49"/>
      <c r="K4230" s="1498"/>
      <c r="L4230" s="49"/>
      <c r="M4230" s="1498"/>
      <c r="N4230" s="49"/>
      <c r="O4230" s="644"/>
      <c r="P4230" s="644"/>
      <c r="Q4230" s="1290"/>
      <c r="R4230" s="644"/>
      <c r="S4230" s="48"/>
      <c r="T4230" s="1310"/>
      <c r="U4230" s="48"/>
      <c r="V4230" s="48"/>
    </row>
    <row r="4231" spans="7:22">
      <c r="G4231" s="48"/>
      <c r="H4231" s="48"/>
      <c r="I4231" s="48"/>
      <c r="J4231" s="49"/>
      <c r="K4231" s="49"/>
      <c r="L4231" s="49"/>
      <c r="M4231" s="1498"/>
      <c r="N4231" s="49"/>
      <c r="O4231" s="644"/>
      <c r="P4231" s="644"/>
      <c r="Q4231" s="1290"/>
      <c r="R4231" s="644"/>
      <c r="S4231" s="48"/>
      <c r="T4231" s="1310"/>
      <c r="U4231" s="48"/>
      <c r="V4231" s="48"/>
    </row>
    <row r="4232" spans="7:22">
      <c r="G4232" s="48"/>
      <c r="H4232" s="48"/>
      <c r="I4232" s="48"/>
      <c r="J4232" s="954">
        <f>SUM(J4216:J4226)</f>
        <v>257110000</v>
      </c>
      <c r="K4232" s="954"/>
      <c r="L4232" s="954">
        <f>SUM(L4216:L4231)</f>
        <v>1500000</v>
      </c>
      <c r="M4232" s="1498"/>
      <c r="N4232" s="954">
        <f>SUM(N4216:N4231)</f>
        <v>286000000</v>
      </c>
      <c r="O4232" s="644"/>
      <c r="P4232" s="969">
        <f>SUM(P4216:P4223)</f>
        <v>2480000</v>
      </c>
      <c r="Q4232" s="969"/>
      <c r="R4232" s="969">
        <f>SUM(R4216:R4231)</f>
        <v>0</v>
      </c>
      <c r="S4232" s="48"/>
      <c r="T4232" s="1178">
        <f>SUM(T4216:T4231)</f>
        <v>19400</v>
      </c>
      <c r="U4232" s="48"/>
      <c r="V4232" s="878">
        <f>SUM(V4216:V4231)</f>
        <v>0</v>
      </c>
    </row>
    <row r="4233" spans="7:22">
      <c r="T4233" s="1309"/>
    </row>
    <row r="4234" spans="7:22">
      <c r="T4234" s="1309"/>
    </row>
    <row r="4235" spans="7:22">
      <c r="R4235" s="661"/>
      <c r="T4235" s="1309"/>
    </row>
    <row r="4236" spans="7:22">
      <c r="T4236" s="1309"/>
    </row>
    <row r="4237" spans="7:22">
      <c r="T4237" s="1309"/>
    </row>
    <row r="4238" spans="7:22">
      <c r="I4238" s="946"/>
      <c r="M4238" s="1533" t="s">
        <v>3699</v>
      </c>
      <c r="O4238" s="1535" t="s">
        <v>3741</v>
      </c>
      <c r="P4238" s="1512">
        <f>P4232-R4232</f>
        <v>2480000</v>
      </c>
      <c r="S4238" s="906" t="s">
        <v>4049</v>
      </c>
      <c r="T4238" s="1107">
        <f>T4232-V4232</f>
        <v>19400</v>
      </c>
    </row>
    <row r="4239" spans="7:22">
      <c r="G4239" s="1574" t="s">
        <v>3530</v>
      </c>
      <c r="H4239" s="1574"/>
      <c r="I4239" s="1574"/>
      <c r="J4239" s="3">
        <f>J4232+L4232</f>
        <v>258610000</v>
      </c>
      <c r="K4239" s="1009"/>
      <c r="L4239" s="3"/>
      <c r="M4239" s="1533" t="s">
        <v>3664</v>
      </c>
      <c r="N4239" s="1527"/>
      <c r="O4239" s="1535" t="s">
        <v>4066</v>
      </c>
      <c r="P4239" s="1512"/>
      <c r="T4239" s="1309"/>
    </row>
    <row r="4240" spans="7:22">
      <c r="G4240" s="1574" t="s">
        <v>3512</v>
      </c>
      <c r="H4240" s="1574"/>
      <c r="I4240" s="1574"/>
      <c r="J4240" s="3">
        <f>N4232-J4239</f>
        <v>27390000</v>
      </c>
      <c r="K4240" s="1009"/>
      <c r="L4240" s="3"/>
      <c r="M4240" s="1528"/>
      <c r="O4240" s="1529"/>
      <c r="Q4240" s="661"/>
      <c r="T4240" s="1309"/>
    </row>
    <row r="4241" spans="7:22">
      <c r="G4241" s="1574" t="s">
        <v>3531</v>
      </c>
      <c r="H4241" s="1574"/>
      <c r="I4241" s="1574"/>
      <c r="J4241" s="3">
        <f>T4238</f>
        <v>19400</v>
      </c>
      <c r="Q4241" s="3"/>
      <c r="T4241" s="1309"/>
    </row>
    <row r="4242" spans="7:22">
      <c r="G4242" s="1564" t="s">
        <v>4455</v>
      </c>
      <c r="H4242" s="1564"/>
      <c r="I4242" s="1564"/>
      <c r="J4242" s="3">
        <f>+P4238</f>
        <v>2480000</v>
      </c>
      <c r="R4242" s="3"/>
      <c r="T4242" s="1309"/>
    </row>
    <row r="4243" spans="7:22">
      <c r="T4243" s="1309"/>
    </row>
    <row r="4244" spans="7:22">
      <c r="T4244" s="1309"/>
    </row>
    <row r="4247" spans="7:22">
      <c r="T4247" s="1309"/>
    </row>
    <row r="4248" spans="7:22">
      <c r="T4248" s="1309"/>
    </row>
    <row r="4249" spans="7:22">
      <c r="G4249" s="1008">
        <v>46073</v>
      </c>
      <c r="H4249" s="1169"/>
      <c r="I4249" s="1575" t="s">
        <v>3510</v>
      </c>
      <c r="J4249" s="1576"/>
      <c r="K4249" s="1575" t="s">
        <v>3509</v>
      </c>
      <c r="L4249" s="1576"/>
      <c r="M4249" s="1575" t="s">
        <v>3541</v>
      </c>
      <c r="N4249" s="1576"/>
      <c r="O4249" s="1577" t="s">
        <v>3598</v>
      </c>
      <c r="P4249" s="1578"/>
      <c r="Q4249" s="1579" t="s">
        <v>3599</v>
      </c>
      <c r="R4249" s="1580"/>
      <c r="S4249" s="1583" t="s">
        <v>3953</v>
      </c>
      <c r="T4249" s="1583"/>
      <c r="U4249" s="1583" t="s">
        <v>3954</v>
      </c>
      <c r="V4249" s="1583"/>
    </row>
    <row r="4250" spans="7:22">
      <c r="G4250" s="1097"/>
      <c r="H4250" s="1261"/>
      <c r="I4250" s="1316" t="s">
        <v>4761</v>
      </c>
      <c r="J4250" s="49">
        <v>30360000</v>
      </c>
      <c r="K4250" s="1495" t="s">
        <v>4767</v>
      </c>
      <c r="L4250" s="49">
        <v>2380000</v>
      </c>
      <c r="M4250" s="1495" t="s">
        <v>4613</v>
      </c>
      <c r="N4250" s="1495">
        <v>338500000</v>
      </c>
      <c r="O4250" s="1383"/>
      <c r="P4250" s="644"/>
      <c r="Q4250" s="1279"/>
      <c r="R4250" s="644"/>
      <c r="S4250" s="1223"/>
      <c r="T4250" s="1191"/>
      <c r="U4250" s="1232"/>
      <c r="V4250" s="48"/>
    </row>
    <row r="4251" spans="7:22">
      <c r="G4251" s="1098"/>
      <c r="H4251" s="1172"/>
      <c r="I4251" s="1317" t="s">
        <v>4762</v>
      </c>
      <c r="J4251" s="49">
        <v>36800000</v>
      </c>
      <c r="K4251" s="1495" t="s">
        <v>4770</v>
      </c>
      <c r="L4251" s="49">
        <v>10000000</v>
      </c>
      <c r="M4251" s="1495" t="s">
        <v>4613</v>
      </c>
      <c r="N4251" s="49">
        <v>6400000</v>
      </c>
      <c r="O4251" s="1383" t="s">
        <v>4712</v>
      </c>
      <c r="P4251" s="644">
        <v>700000</v>
      </c>
      <c r="Q4251" s="1290"/>
      <c r="R4251" s="1290"/>
      <c r="S4251" s="1296" t="s">
        <v>4613</v>
      </c>
      <c r="T4251" s="1191">
        <v>0</v>
      </c>
      <c r="U4251" s="48"/>
      <c r="V4251" s="49"/>
    </row>
    <row r="4252" spans="7:22">
      <c r="G4252" s="48"/>
      <c r="H4252" s="48"/>
      <c r="I4252" s="1318" t="s">
        <v>4763</v>
      </c>
      <c r="J4252" s="49">
        <v>18400000</v>
      </c>
      <c r="K4252" s="1493" t="s">
        <v>4771</v>
      </c>
      <c r="L4252" s="49">
        <v>500000</v>
      </c>
      <c r="M4252" s="1495" t="s">
        <v>4769</v>
      </c>
      <c r="N4252" s="49">
        <v>5000000</v>
      </c>
      <c r="O4252" s="1383"/>
      <c r="P4252" s="644"/>
      <c r="Q4252" s="1303"/>
      <c r="R4252" s="644"/>
      <c r="S4252" s="1287"/>
      <c r="T4252" s="1191"/>
      <c r="U4252" s="1287"/>
      <c r="V4252" s="1191"/>
    </row>
    <row r="4253" spans="7:22">
      <c r="G4253" s="48"/>
      <c r="H4253" s="48"/>
      <c r="I4253" s="1317" t="s">
        <v>4764</v>
      </c>
      <c r="J4253" s="49">
        <v>29700000</v>
      </c>
      <c r="K4253" s="1493" t="s">
        <v>4458</v>
      </c>
      <c r="L4253" s="49">
        <v>200000</v>
      </c>
      <c r="M4253" s="1493"/>
      <c r="N4253" s="49"/>
      <c r="O4253" s="1383"/>
      <c r="P4253" s="644"/>
      <c r="Q4253" s="1303"/>
      <c r="R4253" s="644"/>
      <c r="S4253" s="1313"/>
      <c r="T4253" s="1310"/>
      <c r="U4253" s="1289"/>
      <c r="V4253" s="1310"/>
    </row>
    <row r="4254" spans="7:22">
      <c r="G4254" s="48"/>
      <c r="H4254" s="48"/>
      <c r="I4254" s="1318" t="s">
        <v>4765</v>
      </c>
      <c r="J4254" s="49">
        <v>18000000</v>
      </c>
      <c r="K4254" s="1493" t="s">
        <v>4770</v>
      </c>
      <c r="L4254" s="49">
        <v>5000000</v>
      </c>
      <c r="M4254" s="1493"/>
      <c r="N4254" s="49"/>
      <c r="O4254" s="1383"/>
      <c r="P4254" s="644"/>
      <c r="Q4254" s="1288"/>
      <c r="R4254" s="644"/>
      <c r="S4254" s="48"/>
      <c r="T4254" s="1310"/>
      <c r="U4254" s="48"/>
      <c r="V4254" s="49"/>
    </row>
    <row r="4255" spans="7:22">
      <c r="G4255" s="48"/>
      <c r="H4255" s="48"/>
      <c r="I4255" s="1318" t="s">
        <v>4766</v>
      </c>
      <c r="J4255" s="49">
        <v>29700000</v>
      </c>
      <c r="K4255" s="1493" t="s">
        <v>4772</v>
      </c>
      <c r="L4255" s="49">
        <v>2800000</v>
      </c>
      <c r="M4255" s="1495"/>
      <c r="N4255" s="49"/>
      <c r="O4255" s="1383"/>
      <c r="P4255" s="644"/>
      <c r="Q4255" s="1302"/>
      <c r="R4255" s="644"/>
      <c r="S4255" s="48"/>
      <c r="T4255" s="1310"/>
      <c r="U4255" s="48"/>
      <c r="V4255" s="49"/>
    </row>
    <row r="4256" spans="7:22">
      <c r="G4256" s="48"/>
      <c r="H4256" s="48"/>
      <c r="I4256" s="1318" t="s">
        <v>4768</v>
      </c>
      <c r="J4256" s="49">
        <v>91500000</v>
      </c>
      <c r="K4256" s="1493" t="s">
        <v>4773</v>
      </c>
      <c r="L4256" s="49">
        <v>1500000</v>
      </c>
      <c r="M4256" s="1495"/>
      <c r="N4256" s="49"/>
      <c r="O4256" s="1383"/>
      <c r="P4256" s="644"/>
      <c r="Q4256" s="1290"/>
      <c r="R4256" s="644"/>
      <c r="S4256" s="48"/>
      <c r="T4256" s="1310"/>
      <c r="U4256" s="48"/>
      <c r="V4256" s="49"/>
    </row>
    <row r="4257" spans="7:22">
      <c r="G4257" s="48"/>
      <c r="H4257" s="48"/>
      <c r="I4257" s="1318" t="s">
        <v>4774</v>
      </c>
      <c r="J4257" s="49">
        <v>27600000</v>
      </c>
      <c r="K4257" s="1532" t="s">
        <v>4775</v>
      </c>
      <c r="L4257" s="49">
        <v>500000</v>
      </c>
      <c r="M4257" s="1498"/>
      <c r="N4257" s="49"/>
      <c r="O4257" s="1383"/>
      <c r="P4257" s="644"/>
      <c r="Q4257" s="1291"/>
      <c r="R4257" s="644"/>
      <c r="S4257" s="48"/>
      <c r="T4257" s="1310"/>
      <c r="U4257" s="48"/>
      <c r="V4257" s="49"/>
    </row>
    <row r="4258" spans="7:22">
      <c r="G4258" s="48"/>
      <c r="H4258" s="48"/>
      <c r="I4258" s="1318" t="s">
        <v>4776</v>
      </c>
      <c r="J4258" s="49">
        <v>10000000</v>
      </c>
      <c r="K4258" s="1495" t="s">
        <v>4777</v>
      </c>
      <c r="L4258" s="49">
        <v>1000000</v>
      </c>
      <c r="M4258" s="1498"/>
      <c r="N4258" s="49"/>
      <c r="O4258" s="644"/>
      <c r="P4258" s="644"/>
      <c r="Q4258" s="1290"/>
      <c r="R4258" s="644"/>
      <c r="S4258" s="48"/>
      <c r="T4258" s="1310"/>
      <c r="U4258" s="48"/>
      <c r="V4258" s="49"/>
    </row>
    <row r="4259" spans="7:22">
      <c r="G4259" s="48"/>
      <c r="H4259" s="48"/>
      <c r="I4259" s="48"/>
      <c r="J4259" s="49"/>
      <c r="K4259" s="1495"/>
      <c r="L4259" s="49"/>
      <c r="M4259" s="1498"/>
      <c r="N4259" s="49"/>
      <c r="O4259" s="644"/>
      <c r="P4259" s="644"/>
      <c r="Q4259" s="1290"/>
      <c r="R4259" s="644"/>
      <c r="S4259" s="48"/>
      <c r="T4259" s="1310"/>
      <c r="U4259" s="48"/>
      <c r="V4259" s="49"/>
    </row>
    <row r="4260" spans="7:22">
      <c r="G4260" s="48"/>
      <c r="H4260" s="48"/>
      <c r="I4260" s="48"/>
      <c r="J4260" s="49"/>
      <c r="K4260" s="1495"/>
      <c r="L4260" s="49"/>
      <c r="M4260" s="1498"/>
      <c r="N4260" s="49"/>
      <c r="O4260" s="644"/>
      <c r="P4260" s="644"/>
      <c r="Q4260" s="1290"/>
      <c r="R4260" s="644"/>
      <c r="S4260" s="48"/>
      <c r="T4260" s="1310"/>
      <c r="U4260" s="48"/>
      <c r="V4260" s="48"/>
    </row>
    <row r="4261" spans="7:22">
      <c r="G4261" s="48"/>
      <c r="H4261" s="48"/>
      <c r="I4261" s="48"/>
      <c r="J4261" s="49"/>
      <c r="K4261" s="1498"/>
      <c r="L4261" s="49"/>
      <c r="M4261" s="1498"/>
      <c r="N4261" s="49"/>
      <c r="O4261" s="644"/>
      <c r="P4261" s="644"/>
      <c r="Q4261" s="1290"/>
      <c r="R4261" s="644"/>
      <c r="S4261" s="48"/>
      <c r="T4261" s="1310"/>
      <c r="U4261" s="48"/>
      <c r="V4261" s="48"/>
    </row>
    <row r="4262" spans="7:22">
      <c r="G4262" s="48"/>
      <c r="H4262" s="48"/>
      <c r="I4262" s="48"/>
      <c r="J4262" s="49"/>
      <c r="K4262" s="1498"/>
      <c r="L4262" s="49"/>
      <c r="M4262" s="1498"/>
      <c r="N4262" s="49"/>
      <c r="O4262" s="644"/>
      <c r="P4262" s="644"/>
      <c r="Q4262" s="1290"/>
      <c r="R4262" s="644"/>
      <c r="S4262" s="48"/>
      <c r="T4262" s="1310"/>
      <c r="U4262" s="48"/>
      <c r="V4262" s="48"/>
    </row>
    <row r="4263" spans="7:22">
      <c r="G4263" s="48"/>
      <c r="H4263" s="48"/>
      <c r="I4263" s="48"/>
      <c r="J4263" s="49"/>
      <c r="K4263" s="1498"/>
      <c r="L4263" s="49"/>
      <c r="M4263" s="1498"/>
      <c r="N4263" s="49"/>
      <c r="O4263" s="644"/>
      <c r="P4263" s="644"/>
      <c r="Q4263" s="1290"/>
      <c r="R4263" s="644"/>
      <c r="S4263" s="48"/>
      <c r="T4263" s="1310"/>
      <c r="U4263" s="48"/>
      <c r="V4263" s="48"/>
    </row>
    <row r="4264" spans="7:22">
      <c r="G4264" s="48"/>
      <c r="H4264" s="48"/>
      <c r="I4264" s="48"/>
      <c r="J4264" s="49"/>
      <c r="K4264" s="1498"/>
      <c r="L4264" s="49"/>
      <c r="M4264" s="1498"/>
      <c r="N4264" s="49"/>
      <c r="O4264" s="644"/>
      <c r="P4264" s="644"/>
      <c r="Q4264" s="1290"/>
      <c r="R4264" s="644"/>
      <c r="S4264" s="48"/>
      <c r="T4264" s="1310"/>
      <c r="U4264" s="48"/>
      <c r="V4264" s="48"/>
    </row>
    <row r="4265" spans="7:22">
      <c r="G4265" s="48"/>
      <c r="H4265" s="48"/>
      <c r="I4265" s="48"/>
      <c r="J4265" s="49"/>
      <c r="K4265" s="49"/>
      <c r="L4265" s="49"/>
      <c r="M4265" s="1498"/>
      <c r="N4265" s="49"/>
      <c r="O4265" s="644"/>
      <c r="P4265" s="644"/>
      <c r="Q4265" s="1290"/>
      <c r="R4265" s="644"/>
      <c r="S4265" s="48"/>
      <c r="T4265" s="1310"/>
      <c r="U4265" s="48"/>
      <c r="V4265" s="48"/>
    </row>
    <row r="4266" spans="7:22">
      <c r="G4266" s="48"/>
      <c r="H4266" s="48"/>
      <c r="I4266" s="48"/>
      <c r="J4266" s="954">
        <f>SUM(J4250:J4260)</f>
        <v>292060000</v>
      </c>
      <c r="K4266" s="954"/>
      <c r="L4266" s="954">
        <f>SUM(L4250:L4265)</f>
        <v>23880000</v>
      </c>
      <c r="M4266" s="1498"/>
      <c r="N4266" s="954">
        <f>SUM(N4250:N4265)</f>
        <v>349900000</v>
      </c>
      <c r="O4266" s="644"/>
      <c r="P4266" s="969">
        <f>SUM(P4250:P4257)</f>
        <v>700000</v>
      </c>
      <c r="Q4266" s="969"/>
      <c r="R4266" s="969">
        <f>SUM(R4250:R4265)</f>
        <v>0</v>
      </c>
      <c r="S4266" s="48"/>
      <c r="T4266" s="1178">
        <f>SUM(T4250:T4265)</f>
        <v>0</v>
      </c>
      <c r="U4266" s="48"/>
      <c r="V4266" s="878">
        <f>SUM(V4250:V4265)</f>
        <v>0</v>
      </c>
    </row>
    <row r="4267" spans="7:22">
      <c r="T4267" s="1309"/>
    </row>
    <row r="4268" spans="7:22">
      <c r="T4268" s="1309"/>
    </row>
    <row r="4269" spans="7:22">
      <c r="R4269" s="661"/>
      <c r="T4269" s="1309"/>
    </row>
    <row r="4270" spans="7:22">
      <c r="T4270" s="1309"/>
    </row>
    <row r="4271" spans="7:22">
      <c r="T4271" s="1309"/>
    </row>
    <row r="4272" spans="7:22">
      <c r="I4272" s="946"/>
      <c r="M4272" s="1533" t="s">
        <v>3699</v>
      </c>
      <c r="O4272" s="1535" t="s">
        <v>3741</v>
      </c>
      <c r="P4272" s="1512">
        <f>P4266-R4266</f>
        <v>700000</v>
      </c>
      <c r="S4272" s="906" t="s">
        <v>4049</v>
      </c>
      <c r="T4272" s="1107">
        <f>T4266-V4266</f>
        <v>0</v>
      </c>
    </row>
    <row r="4273" spans="7:22">
      <c r="G4273" s="1574" t="s">
        <v>3530</v>
      </c>
      <c r="H4273" s="1574"/>
      <c r="I4273" s="1574"/>
      <c r="J4273" s="3">
        <f>J4266+L4266</f>
        <v>315940000</v>
      </c>
      <c r="K4273" s="1009"/>
      <c r="L4273" s="3"/>
      <c r="M4273" s="1533" t="s">
        <v>3664</v>
      </c>
      <c r="N4273" s="1527"/>
      <c r="O4273" s="1535" t="s">
        <v>4066</v>
      </c>
      <c r="P4273" s="1512"/>
      <c r="T4273" s="1309"/>
    </row>
    <row r="4274" spans="7:22">
      <c r="G4274" s="1574" t="s">
        <v>3512</v>
      </c>
      <c r="H4274" s="1574"/>
      <c r="I4274" s="1574"/>
      <c r="J4274" s="3">
        <f>N4266-J4273</f>
        <v>33960000</v>
      </c>
      <c r="K4274" s="1009"/>
      <c r="L4274" s="3"/>
      <c r="M4274" s="1528"/>
      <c r="O4274" s="1529"/>
      <c r="Q4274" s="661"/>
      <c r="T4274" s="1309"/>
    </row>
    <row r="4275" spans="7:22">
      <c r="G4275" s="1574" t="s">
        <v>3531</v>
      </c>
      <c r="H4275" s="1574"/>
      <c r="I4275" s="1574"/>
      <c r="J4275" s="3">
        <f>T4272</f>
        <v>0</v>
      </c>
      <c r="Q4275" s="3"/>
      <c r="T4275" s="1309"/>
    </row>
    <row r="4276" spans="7:22">
      <c r="G4276" s="1564" t="s">
        <v>4455</v>
      </c>
      <c r="H4276" s="1564"/>
      <c r="I4276" s="1564"/>
      <c r="J4276" s="3">
        <f>+P4272</f>
        <v>700000</v>
      </c>
      <c r="R4276" s="3"/>
      <c r="T4276" s="1309"/>
    </row>
    <row r="4277" spans="7:22">
      <c r="T4277" s="1309"/>
    </row>
    <row r="4280" spans="7:22">
      <c r="T4280" s="1309"/>
    </row>
    <row r="4281" spans="7:22">
      <c r="T4281" s="1309"/>
    </row>
    <row r="4282" spans="7:22">
      <c r="T4282" s="1309"/>
    </row>
    <row r="4283" spans="7:22">
      <c r="G4283" s="1008">
        <v>46074</v>
      </c>
      <c r="H4283" s="1169"/>
      <c r="I4283" s="1575" t="s">
        <v>3510</v>
      </c>
      <c r="J4283" s="1576"/>
      <c r="K4283" s="1575" t="s">
        <v>3509</v>
      </c>
      <c r="L4283" s="1576"/>
      <c r="M4283" s="1575" t="s">
        <v>3541</v>
      </c>
      <c r="N4283" s="1576"/>
      <c r="O4283" s="1577" t="s">
        <v>3598</v>
      </c>
      <c r="P4283" s="1578"/>
      <c r="Q4283" s="1579" t="s">
        <v>3599</v>
      </c>
      <c r="R4283" s="1580"/>
      <c r="S4283" s="1583" t="s">
        <v>3953</v>
      </c>
      <c r="T4283" s="1583"/>
      <c r="U4283" s="1583" t="s">
        <v>3954</v>
      </c>
      <c r="V4283" s="1583"/>
    </row>
    <row r="4284" spans="7:22">
      <c r="G4284" s="1097"/>
      <c r="H4284" s="1261"/>
      <c r="I4284" s="1316" t="s">
        <v>4778</v>
      </c>
      <c r="J4284" s="49">
        <v>30360000</v>
      </c>
      <c r="K4284" s="1495"/>
      <c r="L4284" s="49"/>
      <c r="M4284" s="1495" t="s">
        <v>4613</v>
      </c>
      <c r="N4284" s="1495">
        <v>233000000</v>
      </c>
      <c r="O4284" s="1383"/>
      <c r="P4284" s="644"/>
      <c r="Q4284" s="1279"/>
      <c r="R4284" s="644"/>
      <c r="S4284" s="1223"/>
      <c r="T4284" s="1191"/>
      <c r="U4284" s="1232"/>
      <c r="V4284" s="48"/>
    </row>
    <row r="4285" spans="7:22">
      <c r="G4285" s="1098"/>
      <c r="H4285" s="1172"/>
      <c r="I4285" s="1317" t="s">
        <v>4779</v>
      </c>
      <c r="J4285" s="49">
        <v>23920000</v>
      </c>
      <c r="K4285" s="1495"/>
      <c r="L4285" s="49"/>
      <c r="M4285" s="1495"/>
      <c r="N4285" s="49"/>
      <c r="O4285" s="1383" t="s">
        <v>4712</v>
      </c>
      <c r="P4285" s="644">
        <v>700000</v>
      </c>
      <c r="Q4285" s="1290"/>
      <c r="R4285" s="1290"/>
      <c r="S4285" s="1296" t="s">
        <v>4613</v>
      </c>
      <c r="T4285" s="1191">
        <v>0</v>
      </c>
      <c r="U4285" s="48"/>
      <c r="V4285" s="49"/>
    </row>
    <row r="4286" spans="7:22">
      <c r="G4286" s="48"/>
      <c r="H4286" s="48"/>
      <c r="I4286" s="1318" t="s">
        <v>4776</v>
      </c>
      <c r="J4286" s="49">
        <v>27200000</v>
      </c>
      <c r="K4286" s="1493"/>
      <c r="L4286" s="49"/>
      <c r="M4286" s="1495"/>
      <c r="N4286" s="49"/>
      <c r="O4286" s="1383"/>
      <c r="P4286" s="644"/>
      <c r="Q4286" s="1303"/>
      <c r="R4286" s="644"/>
      <c r="S4286" s="1287"/>
      <c r="T4286" s="1191"/>
      <c r="U4286" s="1287"/>
      <c r="V4286" s="1191"/>
    </row>
    <row r="4287" spans="7:22">
      <c r="G4287" s="48"/>
      <c r="H4287" s="48"/>
      <c r="I4287" s="1317" t="s">
        <v>4780</v>
      </c>
      <c r="J4287" s="49">
        <v>18400000</v>
      </c>
      <c r="K4287" s="1493"/>
      <c r="L4287" s="49"/>
      <c r="M4287" s="1493"/>
      <c r="N4287" s="49"/>
      <c r="O4287" s="1383"/>
      <c r="P4287" s="644"/>
      <c r="Q4287" s="1303"/>
      <c r="R4287" s="644"/>
      <c r="S4287" s="1313"/>
      <c r="T4287" s="1310"/>
      <c r="U4287" s="1289"/>
      <c r="V4287" s="1310"/>
    </row>
    <row r="4288" spans="7:22">
      <c r="G4288" s="48"/>
      <c r="H4288" s="48"/>
      <c r="I4288" s="1318" t="s">
        <v>4781</v>
      </c>
      <c r="J4288" s="49">
        <v>29992000</v>
      </c>
      <c r="K4288" s="1493"/>
      <c r="L4288" s="49"/>
      <c r="M4288" s="1493"/>
      <c r="N4288" s="49"/>
      <c r="O4288" s="1383"/>
      <c r="P4288" s="644"/>
      <c r="Q4288" s="1288"/>
      <c r="R4288" s="644"/>
      <c r="S4288" s="48"/>
      <c r="T4288" s="1310"/>
      <c r="U4288" s="48"/>
      <c r="V4288" s="49"/>
    </row>
    <row r="4289" spans="7:22">
      <c r="G4289" s="48"/>
      <c r="H4289" s="48"/>
      <c r="I4289" s="1318" t="s">
        <v>4782</v>
      </c>
      <c r="J4289" s="49">
        <v>21160000</v>
      </c>
      <c r="K4289" s="1493"/>
      <c r="L4289" s="49"/>
      <c r="M4289" s="1495"/>
      <c r="N4289" s="49"/>
      <c r="O4289" s="1383"/>
      <c r="P4289" s="644"/>
      <c r="Q4289" s="1302"/>
      <c r="R4289" s="644"/>
      <c r="S4289" s="48"/>
      <c r="T4289" s="1310"/>
      <c r="U4289" s="48"/>
      <c r="V4289" s="49"/>
    </row>
    <row r="4290" spans="7:22">
      <c r="G4290" s="48"/>
      <c r="H4290" s="48"/>
      <c r="I4290" s="1318" t="s">
        <v>4783</v>
      </c>
      <c r="J4290" s="49">
        <v>23000000</v>
      </c>
      <c r="K4290" s="1493"/>
      <c r="L4290" s="49"/>
      <c r="M4290" s="1495"/>
      <c r="N4290" s="49"/>
      <c r="O4290" s="1383"/>
      <c r="P4290" s="644"/>
      <c r="Q4290" s="1290"/>
      <c r="R4290" s="644"/>
      <c r="S4290" s="48"/>
      <c r="T4290" s="1310"/>
      <c r="U4290" s="48"/>
      <c r="V4290" s="49"/>
    </row>
    <row r="4291" spans="7:22">
      <c r="G4291" s="48"/>
      <c r="H4291" s="48"/>
      <c r="I4291" s="1318" t="s">
        <v>4784</v>
      </c>
      <c r="J4291" s="49">
        <v>21160000</v>
      </c>
      <c r="K4291" s="1532"/>
      <c r="L4291" s="49"/>
      <c r="M4291" s="1498"/>
      <c r="N4291" s="49"/>
      <c r="O4291" s="1383"/>
      <c r="P4291" s="644"/>
      <c r="Q4291" s="1291"/>
      <c r="R4291" s="644"/>
      <c r="S4291" s="48"/>
      <c r="T4291" s="1310"/>
      <c r="U4291" s="48"/>
      <c r="V4291" s="49"/>
    </row>
    <row r="4292" spans="7:22">
      <c r="G4292" s="48"/>
      <c r="H4292" s="48"/>
      <c r="I4292" s="1318" t="s">
        <v>4785</v>
      </c>
      <c r="J4292" s="49">
        <v>30360000</v>
      </c>
      <c r="K4292" s="1495"/>
      <c r="L4292" s="49"/>
      <c r="M4292" s="1498"/>
      <c r="N4292" s="49"/>
      <c r="O4292" s="644"/>
      <c r="P4292" s="644"/>
      <c r="Q4292" s="1290"/>
      <c r="R4292" s="644"/>
      <c r="S4292" s="48"/>
      <c r="T4292" s="1310"/>
      <c r="U4292" s="48"/>
      <c r="V4292" s="49"/>
    </row>
    <row r="4293" spans="7:22">
      <c r="G4293" s="48"/>
      <c r="H4293" s="48"/>
      <c r="I4293" s="48"/>
      <c r="J4293" s="49"/>
      <c r="K4293" s="1495"/>
      <c r="L4293" s="49"/>
      <c r="M4293" s="1498"/>
      <c r="N4293" s="49"/>
      <c r="O4293" s="644"/>
      <c r="P4293" s="644"/>
      <c r="Q4293" s="1290"/>
      <c r="R4293" s="644"/>
      <c r="S4293" s="48"/>
      <c r="T4293" s="1310"/>
      <c r="U4293" s="48"/>
      <c r="V4293" s="49"/>
    </row>
    <row r="4294" spans="7:22">
      <c r="G4294" s="48"/>
      <c r="H4294" s="48"/>
      <c r="I4294" s="48"/>
      <c r="J4294" s="49"/>
      <c r="K4294" s="1495"/>
      <c r="L4294" s="49"/>
      <c r="M4294" s="1498"/>
      <c r="N4294" s="49"/>
      <c r="O4294" s="644"/>
      <c r="P4294" s="644"/>
      <c r="Q4294" s="1290"/>
      <c r="R4294" s="644"/>
      <c r="S4294" s="48"/>
      <c r="T4294" s="1310"/>
      <c r="U4294" s="48"/>
      <c r="V4294" s="48"/>
    </row>
    <row r="4295" spans="7:22">
      <c r="G4295" s="48"/>
      <c r="H4295" s="48"/>
      <c r="I4295" s="48"/>
      <c r="J4295" s="49"/>
      <c r="K4295" s="1498"/>
      <c r="L4295" s="49"/>
      <c r="M4295" s="1498"/>
      <c r="N4295" s="49"/>
      <c r="O4295" s="644"/>
      <c r="P4295" s="644"/>
      <c r="Q4295" s="1290"/>
      <c r="R4295" s="644"/>
      <c r="S4295" s="48"/>
      <c r="T4295" s="1310"/>
      <c r="U4295" s="48"/>
      <c r="V4295" s="48"/>
    </row>
    <row r="4296" spans="7:22">
      <c r="G4296" s="48"/>
      <c r="H4296" s="48"/>
      <c r="I4296" s="48"/>
      <c r="J4296" s="49"/>
      <c r="K4296" s="1498"/>
      <c r="L4296" s="49"/>
      <c r="M4296" s="1498"/>
      <c r="N4296" s="49"/>
      <c r="O4296" s="644"/>
      <c r="P4296" s="644"/>
      <c r="Q4296" s="1290"/>
      <c r="R4296" s="644"/>
      <c r="S4296" s="48"/>
      <c r="T4296" s="1310"/>
      <c r="U4296" s="48"/>
      <c r="V4296" s="48"/>
    </row>
    <row r="4297" spans="7:22">
      <c r="G4297" s="48"/>
      <c r="H4297" s="48"/>
      <c r="I4297" s="48"/>
      <c r="J4297" s="49"/>
      <c r="K4297" s="1498"/>
      <c r="L4297" s="49"/>
      <c r="M4297" s="1498"/>
      <c r="N4297" s="49"/>
      <c r="O4297" s="644"/>
      <c r="P4297" s="644"/>
      <c r="Q4297" s="1290"/>
      <c r="R4297" s="644"/>
      <c r="S4297" s="48"/>
      <c r="T4297" s="1310"/>
      <c r="U4297" s="48"/>
      <c r="V4297" s="48"/>
    </row>
    <row r="4298" spans="7:22">
      <c r="G4298" s="48"/>
      <c r="H4298" s="48"/>
      <c r="I4298" s="48"/>
      <c r="J4298" s="49"/>
      <c r="K4298" s="1498"/>
      <c r="L4298" s="49"/>
      <c r="M4298" s="1498"/>
      <c r="N4298" s="49"/>
      <c r="O4298" s="644"/>
      <c r="P4298" s="644"/>
      <c r="Q4298" s="1290"/>
      <c r="R4298" s="644"/>
      <c r="S4298" s="48"/>
      <c r="T4298" s="1310"/>
      <c r="U4298" s="48"/>
      <c r="V4298" s="48"/>
    </row>
    <row r="4299" spans="7:22">
      <c r="G4299" s="48"/>
      <c r="H4299" s="48"/>
      <c r="I4299" s="48"/>
      <c r="J4299" s="49"/>
      <c r="K4299" s="49"/>
      <c r="L4299" s="49"/>
      <c r="M4299" s="1498"/>
      <c r="N4299" s="49"/>
      <c r="O4299" s="644"/>
      <c r="P4299" s="644"/>
      <c r="Q4299" s="1290"/>
      <c r="R4299" s="644"/>
      <c r="S4299" s="48"/>
      <c r="T4299" s="1310"/>
      <c r="U4299" s="48"/>
      <c r="V4299" s="48"/>
    </row>
    <row r="4300" spans="7:22">
      <c r="G4300" s="48"/>
      <c r="H4300" s="48"/>
      <c r="I4300" s="48"/>
      <c r="J4300" s="954">
        <f>SUM(J4284:J4294)</f>
        <v>225552000</v>
      </c>
      <c r="K4300" s="954"/>
      <c r="L4300" s="954">
        <f>SUM(L4284:L4299)</f>
        <v>0</v>
      </c>
      <c r="M4300" s="1498"/>
      <c r="N4300" s="954">
        <f>SUM(N4284:N4299)</f>
        <v>233000000</v>
      </c>
      <c r="O4300" s="644"/>
      <c r="P4300" s="969">
        <f>SUM(P4284:P4291)</f>
        <v>700000</v>
      </c>
      <c r="Q4300" s="969"/>
      <c r="R4300" s="969">
        <f>SUM(R4284:R4299)</f>
        <v>0</v>
      </c>
      <c r="S4300" s="48"/>
      <c r="T4300" s="1178">
        <f>SUM(T4284:T4299)</f>
        <v>0</v>
      </c>
      <c r="U4300" s="48"/>
      <c r="V4300" s="878">
        <f>SUM(V4284:V4299)</f>
        <v>0</v>
      </c>
    </row>
    <row r="4301" spans="7:22">
      <c r="T4301" s="1309"/>
    </row>
    <row r="4302" spans="7:22">
      <c r="T4302" s="1309"/>
    </row>
    <row r="4303" spans="7:22">
      <c r="R4303" s="661"/>
      <c r="T4303" s="1309"/>
    </row>
    <row r="4304" spans="7:22">
      <c r="T4304" s="1309"/>
    </row>
    <row r="4305" spans="7:22">
      <c r="T4305" s="1309"/>
    </row>
    <row r="4306" spans="7:22">
      <c r="I4306" s="946"/>
      <c r="M4306" s="1533" t="s">
        <v>3699</v>
      </c>
      <c r="O4306" s="1535" t="s">
        <v>3741</v>
      </c>
      <c r="P4306" s="1512">
        <f>P4300-R4300</f>
        <v>700000</v>
      </c>
      <c r="S4306" s="906" t="s">
        <v>4049</v>
      </c>
      <c r="T4306" s="1107">
        <f>T4300-V4300</f>
        <v>0</v>
      </c>
    </row>
    <row r="4307" spans="7:22">
      <c r="G4307" s="1574" t="s">
        <v>3530</v>
      </c>
      <c r="H4307" s="1574"/>
      <c r="I4307" s="1574"/>
      <c r="J4307" s="3">
        <f>J4300+L4300</f>
        <v>225552000</v>
      </c>
      <c r="K4307" s="1009"/>
      <c r="L4307" s="3"/>
      <c r="M4307" s="1533" t="s">
        <v>3664</v>
      </c>
      <c r="N4307" s="1527"/>
      <c r="O4307" s="1535" t="s">
        <v>4066</v>
      </c>
      <c r="P4307" s="1512"/>
      <c r="T4307" s="1309"/>
    </row>
    <row r="4308" spans="7:22">
      <c r="G4308" s="1574" t="s">
        <v>3512</v>
      </c>
      <c r="H4308" s="1574"/>
      <c r="I4308" s="1574"/>
      <c r="J4308" s="3">
        <f>N4300-J4307</f>
        <v>7448000</v>
      </c>
      <c r="K4308" s="1009"/>
      <c r="L4308" s="3"/>
      <c r="M4308" s="1528"/>
      <c r="O4308" s="1529"/>
      <c r="Q4308" s="661"/>
      <c r="T4308" s="1309"/>
    </row>
    <row r="4309" spans="7:22">
      <c r="G4309" s="1574" t="s">
        <v>3531</v>
      </c>
      <c r="H4309" s="1574"/>
      <c r="I4309" s="1574"/>
      <c r="J4309" s="3">
        <f>T4306</f>
        <v>0</v>
      </c>
      <c r="Q4309" s="3"/>
      <c r="T4309" s="1309"/>
    </row>
    <row r="4310" spans="7:22">
      <c r="G4310" s="1564" t="s">
        <v>4455</v>
      </c>
      <c r="H4310" s="1564"/>
      <c r="I4310" s="1564"/>
      <c r="J4310" s="3">
        <f>+P4306</f>
        <v>700000</v>
      </c>
      <c r="R4310" s="3"/>
      <c r="T4310" s="1309"/>
    </row>
    <row r="4311" spans="7:22">
      <c r="T4311" s="1309"/>
    </row>
    <row r="4312" spans="7:22">
      <c r="T4312" s="1309"/>
    </row>
    <row r="4314" spans="7:22">
      <c r="T4314" s="1314"/>
    </row>
    <row r="4315" spans="7:22">
      <c r="T4315" s="1314"/>
    </row>
    <row r="4316" spans="7:22">
      <c r="G4316" s="1008">
        <v>46076</v>
      </c>
      <c r="H4316" s="1169"/>
      <c r="I4316" s="1575" t="s">
        <v>3510</v>
      </c>
      <c r="J4316" s="1576"/>
      <c r="K4316" s="1575" t="s">
        <v>3509</v>
      </c>
      <c r="L4316" s="1576"/>
      <c r="M4316" s="1575" t="s">
        <v>3541</v>
      </c>
      <c r="N4316" s="1576"/>
      <c r="O4316" s="1577" t="s">
        <v>3598</v>
      </c>
      <c r="P4316" s="1578"/>
      <c r="Q4316" s="1579" t="s">
        <v>3599</v>
      </c>
      <c r="R4316" s="1580"/>
      <c r="S4316" s="1583" t="s">
        <v>3953</v>
      </c>
      <c r="T4316" s="1583"/>
      <c r="U4316" s="1583" t="s">
        <v>3954</v>
      </c>
      <c r="V4316" s="1583"/>
    </row>
    <row r="4317" spans="7:22">
      <c r="G4317" s="1097"/>
      <c r="H4317" s="1261"/>
      <c r="I4317" s="1321" t="s">
        <v>4784</v>
      </c>
      <c r="J4317" s="49">
        <v>21160000</v>
      </c>
      <c r="K4317" s="1495" t="s">
        <v>4736</v>
      </c>
      <c r="L4317" s="49">
        <v>4000000</v>
      </c>
      <c r="M4317" s="1495" t="s">
        <v>4613</v>
      </c>
      <c r="N4317" s="1495">
        <v>41400000</v>
      </c>
      <c r="O4317" s="1383"/>
      <c r="P4317" s="644"/>
      <c r="Q4317" s="1279"/>
      <c r="R4317" s="644"/>
      <c r="S4317" s="1223"/>
      <c r="T4317" s="1191"/>
      <c r="U4317" s="1232"/>
      <c r="V4317" s="48"/>
    </row>
    <row r="4318" spans="7:22">
      <c r="G4318" s="1098"/>
      <c r="H4318" s="1172"/>
      <c r="I4318" s="1322" t="s">
        <v>4786</v>
      </c>
      <c r="J4318" s="49">
        <v>18400000</v>
      </c>
      <c r="K4318" s="1495" t="s">
        <v>4793</v>
      </c>
      <c r="L4318" s="49">
        <v>800000000</v>
      </c>
      <c r="M4318" s="1495" t="s">
        <v>4787</v>
      </c>
      <c r="N4318" s="49">
        <v>50000000</v>
      </c>
      <c r="O4318" s="1383" t="s">
        <v>4712</v>
      </c>
      <c r="P4318" s="644">
        <v>700000</v>
      </c>
      <c r="Q4318" s="1290"/>
      <c r="R4318" s="1290"/>
      <c r="S4318" s="1296" t="s">
        <v>4613</v>
      </c>
      <c r="T4318" s="1191">
        <v>5000</v>
      </c>
      <c r="U4318" s="48"/>
      <c r="V4318" s="49"/>
    </row>
    <row r="4319" spans="7:22">
      <c r="G4319" s="48"/>
      <c r="H4319" s="48"/>
      <c r="I4319" s="1323" t="s">
        <v>4790</v>
      </c>
      <c r="J4319" s="49">
        <v>30360000</v>
      </c>
      <c r="K4319" s="1493" t="s">
        <v>4560</v>
      </c>
      <c r="L4319" s="49">
        <v>10000000</v>
      </c>
      <c r="M4319" s="1495" t="s">
        <v>4788</v>
      </c>
      <c r="N4319" s="49">
        <v>8330000</v>
      </c>
      <c r="O4319" s="1383"/>
      <c r="P4319" s="644"/>
      <c r="Q4319" s="1303"/>
      <c r="R4319" s="644"/>
      <c r="S4319" s="1287"/>
      <c r="T4319" s="1191"/>
      <c r="U4319" s="1287"/>
      <c r="V4319" s="1191"/>
    </row>
    <row r="4320" spans="7:22">
      <c r="G4320" s="48"/>
      <c r="H4320" s="48"/>
      <c r="I4320" s="1322" t="s">
        <v>4791</v>
      </c>
      <c r="J4320" s="49">
        <v>18400000</v>
      </c>
      <c r="K4320" s="1493"/>
      <c r="L4320" s="49"/>
      <c r="M4320" s="1493" t="s">
        <v>4789</v>
      </c>
      <c r="N4320" s="49">
        <v>921280000</v>
      </c>
      <c r="O4320" s="1383"/>
      <c r="P4320" s="644"/>
      <c r="Q4320" s="1303"/>
      <c r="R4320" s="644"/>
      <c r="S4320" s="1313"/>
      <c r="T4320" s="1315"/>
      <c r="U4320" s="1289"/>
      <c r="V4320" s="1315"/>
    </row>
    <row r="4321" spans="7:22">
      <c r="G4321" s="48"/>
      <c r="H4321" s="48"/>
      <c r="I4321" s="1323" t="s">
        <v>4792</v>
      </c>
      <c r="J4321" s="49">
        <v>36800000</v>
      </c>
      <c r="K4321" s="1493"/>
      <c r="L4321" s="49"/>
      <c r="M4321" s="1493" t="s">
        <v>1962</v>
      </c>
      <c r="N4321" s="49">
        <v>13000000</v>
      </c>
      <c r="O4321" s="1383"/>
      <c r="P4321" s="644"/>
      <c r="Q4321" s="1288"/>
      <c r="R4321" s="644"/>
      <c r="S4321" s="48"/>
      <c r="T4321" s="1315"/>
      <c r="U4321" s="48"/>
      <c r="V4321" s="49"/>
    </row>
    <row r="4322" spans="7:22">
      <c r="G4322" s="48"/>
      <c r="H4322" s="48"/>
      <c r="I4322" s="1323" t="s">
        <v>4794</v>
      </c>
      <c r="J4322" s="49">
        <v>33120000</v>
      </c>
      <c r="K4322" s="1493"/>
      <c r="L4322" s="49"/>
      <c r="M4322" s="1495"/>
      <c r="N4322" s="49"/>
      <c r="O4322" s="1383"/>
      <c r="P4322" s="644"/>
      <c r="Q4322" s="1302"/>
      <c r="R4322" s="644"/>
      <c r="S4322" s="48"/>
      <c r="T4322" s="1315"/>
      <c r="U4322" s="48"/>
      <c r="V4322" s="49"/>
    </row>
    <row r="4323" spans="7:22">
      <c r="G4323" s="48"/>
      <c r="H4323" s="48"/>
      <c r="I4323" s="1323" t="s">
        <v>4795</v>
      </c>
      <c r="J4323" s="49">
        <v>21160000</v>
      </c>
      <c r="K4323" s="1493"/>
      <c r="L4323" s="49"/>
      <c r="M4323" s="1495"/>
      <c r="N4323" s="49"/>
      <c r="O4323" s="1383"/>
      <c r="P4323" s="644"/>
      <c r="Q4323" s="1290"/>
      <c r="R4323" s="644"/>
      <c r="S4323" s="48"/>
      <c r="T4323" s="1315"/>
      <c r="U4323" s="48"/>
      <c r="V4323" s="49"/>
    </row>
    <row r="4324" spans="7:22">
      <c r="G4324" s="48"/>
      <c r="H4324" s="48"/>
      <c r="I4324" s="1318"/>
      <c r="J4324" s="49"/>
      <c r="K4324" s="1532"/>
      <c r="L4324" s="49"/>
      <c r="M4324" s="1498"/>
      <c r="N4324" s="49"/>
      <c r="O4324" s="1383"/>
      <c r="P4324" s="644"/>
      <c r="Q4324" s="1291"/>
      <c r="R4324" s="644"/>
      <c r="S4324" s="48"/>
      <c r="T4324" s="1315"/>
      <c r="U4324" s="48"/>
      <c r="V4324" s="49"/>
    </row>
    <row r="4325" spans="7:22">
      <c r="G4325" s="48"/>
      <c r="H4325" s="48"/>
      <c r="I4325" s="1318"/>
      <c r="J4325" s="49"/>
      <c r="K4325" s="1495"/>
      <c r="L4325" s="49"/>
      <c r="M4325" s="1498"/>
      <c r="N4325" s="49"/>
      <c r="O4325" s="644"/>
      <c r="P4325" s="644"/>
      <c r="Q4325" s="1290"/>
      <c r="R4325" s="644"/>
      <c r="S4325" s="48"/>
      <c r="T4325" s="1315"/>
      <c r="U4325" s="48"/>
      <c r="V4325" s="49"/>
    </row>
    <row r="4326" spans="7:22">
      <c r="G4326" s="48"/>
      <c r="H4326" s="48"/>
      <c r="I4326" s="48"/>
      <c r="J4326" s="49"/>
      <c r="K4326" s="1495"/>
      <c r="L4326" s="49"/>
      <c r="M4326" s="1498"/>
      <c r="N4326" s="49"/>
      <c r="O4326" s="644"/>
      <c r="P4326" s="644"/>
      <c r="Q4326" s="1290"/>
      <c r="R4326" s="644"/>
      <c r="S4326" s="48"/>
      <c r="T4326" s="1315"/>
      <c r="U4326" s="48"/>
      <c r="V4326" s="49"/>
    </row>
    <row r="4327" spans="7:22">
      <c r="G4327" s="48"/>
      <c r="H4327" s="48"/>
      <c r="I4327" s="48"/>
      <c r="J4327" s="49"/>
      <c r="K4327" s="1495"/>
      <c r="L4327" s="49"/>
      <c r="M4327" s="1498"/>
      <c r="N4327" s="49"/>
      <c r="O4327" s="644"/>
      <c r="P4327" s="644"/>
      <c r="Q4327" s="1290"/>
      <c r="R4327" s="644"/>
      <c r="S4327" s="48"/>
      <c r="T4327" s="1315"/>
      <c r="U4327" s="48"/>
      <c r="V4327" s="48"/>
    </row>
    <row r="4328" spans="7:22">
      <c r="G4328" s="48"/>
      <c r="H4328" s="48"/>
      <c r="I4328" s="48"/>
      <c r="J4328" s="49"/>
      <c r="K4328" s="1498"/>
      <c r="L4328" s="49"/>
      <c r="M4328" s="1498"/>
      <c r="N4328" s="49"/>
      <c r="O4328" s="644"/>
      <c r="P4328" s="644"/>
      <c r="Q4328" s="1290"/>
      <c r="R4328" s="644"/>
      <c r="S4328" s="48"/>
      <c r="T4328" s="1315"/>
      <c r="U4328" s="48"/>
      <c r="V4328" s="48"/>
    </row>
    <row r="4329" spans="7:22">
      <c r="G4329" s="48"/>
      <c r="H4329" s="48"/>
      <c r="I4329" s="48"/>
      <c r="J4329" s="49"/>
      <c r="K4329" s="1498"/>
      <c r="L4329" s="49"/>
      <c r="M4329" s="1498"/>
      <c r="N4329" s="49"/>
      <c r="O4329" s="644"/>
      <c r="P4329" s="644"/>
      <c r="Q4329" s="1290"/>
      <c r="R4329" s="644"/>
      <c r="S4329" s="48"/>
      <c r="T4329" s="1315"/>
      <c r="U4329" s="48"/>
      <c r="V4329" s="48"/>
    </row>
    <row r="4330" spans="7:22">
      <c r="G4330" s="48"/>
      <c r="H4330" s="48"/>
      <c r="I4330" s="48"/>
      <c r="J4330" s="49"/>
      <c r="K4330" s="1498"/>
      <c r="L4330" s="49"/>
      <c r="M4330" s="1498"/>
      <c r="N4330" s="49"/>
      <c r="O4330" s="644"/>
      <c r="P4330" s="644"/>
      <c r="Q4330" s="1290"/>
      <c r="R4330" s="644"/>
      <c r="S4330" s="48"/>
      <c r="T4330" s="1315"/>
      <c r="U4330" s="48"/>
      <c r="V4330" s="48"/>
    </row>
    <row r="4331" spans="7:22">
      <c r="G4331" s="48"/>
      <c r="H4331" s="48"/>
      <c r="I4331" s="48"/>
      <c r="J4331" s="49"/>
      <c r="K4331" s="1498"/>
      <c r="L4331" s="49"/>
      <c r="M4331" s="1498"/>
      <c r="N4331" s="49"/>
      <c r="O4331" s="644"/>
      <c r="P4331" s="644"/>
      <c r="Q4331" s="1290"/>
      <c r="R4331" s="644"/>
      <c r="S4331" s="48"/>
      <c r="T4331" s="1315"/>
      <c r="U4331" s="48"/>
      <c r="V4331" s="48"/>
    </row>
    <row r="4332" spans="7:22">
      <c r="G4332" s="48"/>
      <c r="H4332" s="48"/>
      <c r="I4332" s="48"/>
      <c r="J4332" s="49"/>
      <c r="K4332" s="49"/>
      <c r="L4332" s="49"/>
      <c r="M4332" s="1498"/>
      <c r="N4332" s="49"/>
      <c r="O4332" s="644"/>
      <c r="P4332" s="644"/>
      <c r="Q4332" s="1290"/>
      <c r="R4332" s="644"/>
      <c r="S4332" s="48"/>
      <c r="T4332" s="1315"/>
      <c r="U4332" s="48"/>
      <c r="V4332" s="48"/>
    </row>
    <row r="4333" spans="7:22">
      <c r="G4333" s="48"/>
      <c r="H4333" s="48"/>
      <c r="I4333" s="48"/>
      <c r="J4333" s="954">
        <f>SUM(J4317:J4327)</f>
        <v>179400000</v>
      </c>
      <c r="K4333" s="954"/>
      <c r="L4333" s="954">
        <f>SUM(L4317:L4332)</f>
        <v>814000000</v>
      </c>
      <c r="M4333" s="1498"/>
      <c r="N4333" s="954">
        <f>SUM(N4317:N4332)</f>
        <v>1034010000</v>
      </c>
      <c r="O4333" s="644"/>
      <c r="P4333" s="969">
        <f>SUM(P4317:P4324)</f>
        <v>700000</v>
      </c>
      <c r="Q4333" s="969"/>
      <c r="R4333" s="969">
        <f>SUM(R4317:R4332)</f>
        <v>0</v>
      </c>
      <c r="S4333" s="48"/>
      <c r="T4333" s="1178">
        <f>SUM(T4317:T4332)</f>
        <v>5000</v>
      </c>
      <c r="U4333" s="48"/>
      <c r="V4333" s="878">
        <f>SUM(V4317:V4332)</f>
        <v>0</v>
      </c>
    </row>
    <row r="4334" spans="7:22">
      <c r="T4334" s="1314"/>
    </row>
    <row r="4335" spans="7:22">
      <c r="T4335" s="1314"/>
    </row>
    <row r="4336" spans="7:22">
      <c r="R4336" s="661"/>
      <c r="T4336" s="1314"/>
    </row>
    <row r="4337" spans="7:22">
      <c r="T4337" s="1314"/>
    </row>
    <row r="4338" spans="7:22">
      <c r="T4338" s="1314"/>
    </row>
    <row r="4339" spans="7:22">
      <c r="I4339" s="946"/>
      <c r="M4339" s="1533" t="s">
        <v>3699</v>
      </c>
      <c r="O4339" s="1535" t="s">
        <v>3741</v>
      </c>
      <c r="P4339" s="1512">
        <f>P4333-R4333</f>
        <v>700000</v>
      </c>
      <c r="S4339" s="906" t="s">
        <v>4049</v>
      </c>
      <c r="T4339" s="1107">
        <f>T4333-V4333</f>
        <v>5000</v>
      </c>
    </row>
    <row r="4340" spans="7:22">
      <c r="G4340" s="1574" t="s">
        <v>3530</v>
      </c>
      <c r="H4340" s="1574"/>
      <c r="I4340" s="1574"/>
      <c r="J4340" s="3">
        <f>J4333+L4333</f>
        <v>993400000</v>
      </c>
      <c r="K4340" s="1009"/>
      <c r="L4340" s="3"/>
      <c r="M4340" s="1533" t="s">
        <v>3664</v>
      </c>
      <c r="N4340" s="1527"/>
      <c r="O4340" s="1535" t="s">
        <v>4066</v>
      </c>
      <c r="P4340" s="1512"/>
      <c r="T4340" s="1314"/>
    </row>
    <row r="4341" spans="7:22">
      <c r="G4341" s="1574" t="s">
        <v>3512</v>
      </c>
      <c r="H4341" s="1574"/>
      <c r="I4341" s="1574"/>
      <c r="J4341" s="3">
        <f>N4333-J4340</f>
        <v>40610000</v>
      </c>
      <c r="K4341" s="1009"/>
      <c r="L4341" s="3"/>
      <c r="M4341" s="1528"/>
      <c r="O4341" s="1529"/>
      <c r="Q4341" s="661"/>
      <c r="T4341" s="1314"/>
    </row>
    <row r="4342" spans="7:22">
      <c r="G4342" s="1574" t="s">
        <v>3531</v>
      </c>
      <c r="H4342" s="1574"/>
      <c r="I4342" s="1574"/>
      <c r="J4342" s="3">
        <f>T4339</f>
        <v>5000</v>
      </c>
      <c r="Q4342" s="3"/>
      <c r="T4342" s="1314"/>
    </row>
    <row r="4343" spans="7:22">
      <c r="G4343" s="1564" t="s">
        <v>4455</v>
      </c>
      <c r="H4343" s="1564"/>
      <c r="I4343" s="1564"/>
      <c r="J4343" s="3">
        <f>+P4339</f>
        <v>700000</v>
      </c>
      <c r="R4343" s="3"/>
      <c r="T4343" s="1314"/>
    </row>
    <row r="4344" spans="7:22">
      <c r="T4344" s="1314"/>
    </row>
    <row r="4347" spans="7:22">
      <c r="T4347" s="1314"/>
    </row>
    <row r="4348" spans="7:22">
      <c r="T4348" s="1314"/>
    </row>
    <row r="4349" spans="7:22">
      <c r="G4349" s="1008">
        <v>46077</v>
      </c>
      <c r="H4349" s="1169"/>
      <c r="I4349" s="1575" t="s">
        <v>3510</v>
      </c>
      <c r="J4349" s="1576"/>
      <c r="K4349" s="1575" t="s">
        <v>3509</v>
      </c>
      <c r="L4349" s="1576"/>
      <c r="M4349" s="1575" t="s">
        <v>3541</v>
      </c>
      <c r="N4349" s="1576"/>
      <c r="O4349" s="1577" t="s">
        <v>3598</v>
      </c>
      <c r="P4349" s="1578"/>
      <c r="Q4349" s="1579" t="s">
        <v>3599</v>
      </c>
      <c r="R4349" s="1580"/>
      <c r="S4349" s="1583" t="s">
        <v>3953</v>
      </c>
      <c r="T4349" s="1583"/>
      <c r="U4349" s="1583" t="s">
        <v>3954</v>
      </c>
      <c r="V4349" s="1583"/>
    </row>
    <row r="4350" spans="7:22">
      <c r="G4350" s="1097"/>
      <c r="H4350" s="1261"/>
      <c r="I4350" s="1321" t="s">
        <v>4798</v>
      </c>
      <c r="J4350" s="49">
        <v>27600000</v>
      </c>
      <c r="K4350" s="1495" t="s">
        <v>4799</v>
      </c>
      <c r="L4350" s="49">
        <v>200000</v>
      </c>
      <c r="M4350" s="1495" t="s">
        <v>4613</v>
      </c>
      <c r="N4350" s="1495">
        <v>248700000</v>
      </c>
      <c r="O4350" s="1383"/>
      <c r="P4350" s="644"/>
      <c r="Q4350" s="1279"/>
      <c r="R4350" s="644"/>
      <c r="S4350" s="1223"/>
      <c r="T4350" s="1191"/>
      <c r="U4350" s="1232"/>
      <c r="V4350" s="48"/>
    </row>
    <row r="4351" spans="7:22">
      <c r="G4351" s="1098"/>
      <c r="H4351" s="1172"/>
      <c r="I4351" s="1322" t="s">
        <v>4800</v>
      </c>
      <c r="J4351" s="49">
        <v>30690000</v>
      </c>
      <c r="K4351" s="1495" t="s">
        <v>4777</v>
      </c>
      <c r="L4351" s="49">
        <v>5000000</v>
      </c>
      <c r="M4351" s="1495" t="s">
        <v>4796</v>
      </c>
      <c r="N4351" s="49">
        <v>2600000</v>
      </c>
      <c r="O4351" s="1383" t="s">
        <v>4712</v>
      </c>
      <c r="P4351" s="644">
        <v>700000</v>
      </c>
      <c r="Q4351" s="1290"/>
      <c r="R4351" s="1290"/>
      <c r="S4351" s="1296" t="s">
        <v>4613</v>
      </c>
      <c r="T4351" s="1191">
        <v>5000</v>
      </c>
      <c r="U4351" s="48"/>
      <c r="V4351" s="49"/>
    </row>
    <row r="4352" spans="7:22">
      <c r="G4352" s="48"/>
      <c r="H4352" s="48"/>
      <c r="I4352" s="1323" t="s">
        <v>4802</v>
      </c>
      <c r="J4352" s="49">
        <v>9300000</v>
      </c>
      <c r="K4352" s="1493" t="s">
        <v>4801</v>
      </c>
      <c r="L4352" s="49">
        <v>4900000</v>
      </c>
      <c r="M4352" s="1495" t="s">
        <v>4797</v>
      </c>
      <c r="N4352" s="49">
        <v>30000000</v>
      </c>
      <c r="O4352" s="1383"/>
      <c r="P4352" s="644"/>
      <c r="Q4352" s="1303"/>
      <c r="R4352" s="644"/>
      <c r="S4352" s="1287"/>
      <c r="T4352" s="1191">
        <v>400</v>
      </c>
      <c r="U4352" s="1287"/>
      <c r="V4352" s="1191"/>
    </row>
    <row r="4353" spans="7:22">
      <c r="G4353" s="48"/>
      <c r="H4353" s="48"/>
      <c r="I4353" s="1322" t="s">
        <v>4803</v>
      </c>
      <c r="J4353" s="49">
        <v>21390000</v>
      </c>
      <c r="K4353" s="1493"/>
      <c r="L4353" s="49"/>
      <c r="M4353" s="1493" t="s">
        <v>4807</v>
      </c>
      <c r="N4353" s="49">
        <v>22000000</v>
      </c>
      <c r="O4353" s="1383"/>
      <c r="P4353" s="644"/>
      <c r="Q4353" s="1303"/>
      <c r="R4353" s="644"/>
      <c r="S4353" s="1313"/>
      <c r="T4353" s="1315"/>
      <c r="U4353" s="1289"/>
      <c r="V4353" s="1315"/>
    </row>
    <row r="4354" spans="7:22">
      <c r="G4354" s="48"/>
      <c r="H4354" s="48"/>
      <c r="I4354" s="1323" t="s">
        <v>4804</v>
      </c>
      <c r="J4354" s="49">
        <v>9300000</v>
      </c>
      <c r="K4354" s="1493"/>
      <c r="L4354" s="49"/>
      <c r="M4354" s="1493" t="s">
        <v>4613</v>
      </c>
      <c r="N4354" s="49">
        <v>100000000</v>
      </c>
      <c r="O4354" s="1383"/>
      <c r="P4354" s="644"/>
      <c r="Q4354" s="1288"/>
      <c r="R4354" s="644"/>
      <c r="S4354" s="48"/>
      <c r="T4354" s="1315"/>
      <c r="U4354" s="48"/>
      <c r="V4354" s="49"/>
    </row>
    <row r="4355" spans="7:22">
      <c r="G4355" s="48"/>
      <c r="H4355" s="48"/>
      <c r="I4355" s="1323" t="s">
        <v>4805</v>
      </c>
      <c r="J4355" s="49">
        <v>30360000</v>
      </c>
      <c r="K4355" s="1493"/>
      <c r="L4355" s="49"/>
      <c r="M4355" s="1495"/>
      <c r="N4355" s="49"/>
      <c r="O4355" s="1383"/>
      <c r="P4355" s="644"/>
      <c r="Q4355" s="1302"/>
      <c r="R4355" s="644"/>
      <c r="S4355" s="48"/>
      <c r="T4355" s="1315"/>
      <c r="U4355" s="48"/>
      <c r="V4355" s="49"/>
    </row>
    <row r="4356" spans="7:22">
      <c r="G4356" s="48"/>
      <c r="H4356" s="48"/>
      <c r="I4356" s="1323" t="s">
        <v>4806</v>
      </c>
      <c r="J4356" s="49">
        <v>45500000</v>
      </c>
      <c r="K4356" s="1493"/>
      <c r="L4356" s="49"/>
      <c r="M4356" s="1495"/>
      <c r="N4356" s="49"/>
      <c r="O4356" s="1383"/>
      <c r="P4356" s="644"/>
      <c r="Q4356" s="1290"/>
      <c r="R4356" s="644"/>
      <c r="S4356" s="48"/>
      <c r="T4356" s="1315"/>
      <c r="U4356" s="48"/>
      <c r="V4356" s="49"/>
    </row>
    <row r="4357" spans="7:22">
      <c r="G4357" s="48"/>
      <c r="H4357" s="48"/>
      <c r="I4357" s="1323" t="s">
        <v>4808</v>
      </c>
      <c r="J4357" s="49">
        <f>25000000+20500000</f>
        <v>45500000</v>
      </c>
      <c r="K4357" s="1532"/>
      <c r="L4357" s="49"/>
      <c r="M4357" s="1498"/>
      <c r="N4357" s="49"/>
      <c r="O4357" s="1383"/>
      <c r="P4357" s="644"/>
      <c r="Q4357" s="1291"/>
      <c r="R4357" s="644"/>
      <c r="S4357" s="48"/>
      <c r="T4357" s="1315"/>
      <c r="U4357" s="48"/>
      <c r="V4357" s="49"/>
    </row>
    <row r="4358" spans="7:22">
      <c r="G4358" s="48"/>
      <c r="H4358" s="48"/>
      <c r="I4358" s="1323" t="s">
        <v>4809</v>
      </c>
      <c r="J4358" s="49">
        <v>30760000</v>
      </c>
      <c r="K4358" s="1495"/>
      <c r="L4358" s="49"/>
      <c r="M4358" s="1498"/>
      <c r="N4358" s="49"/>
      <c r="O4358" s="644"/>
      <c r="P4358" s="644"/>
      <c r="Q4358" s="1290"/>
      <c r="R4358" s="644"/>
      <c r="S4358" s="48"/>
      <c r="T4358" s="1315"/>
      <c r="U4358" s="48"/>
      <c r="V4358" s="49"/>
    </row>
    <row r="4359" spans="7:22">
      <c r="G4359" s="48"/>
      <c r="H4359" s="48"/>
      <c r="I4359" s="48" t="s">
        <v>4810</v>
      </c>
      <c r="J4359" s="49">
        <v>18000000</v>
      </c>
      <c r="K4359" s="1495"/>
      <c r="L4359" s="49"/>
      <c r="M4359" s="1498"/>
      <c r="N4359" s="49"/>
      <c r="O4359" s="644"/>
      <c r="P4359" s="644"/>
      <c r="Q4359" s="1290"/>
      <c r="R4359" s="644"/>
      <c r="S4359" s="48"/>
      <c r="T4359" s="1315"/>
      <c r="U4359" s="48"/>
      <c r="V4359" s="49"/>
    </row>
    <row r="4360" spans="7:22">
      <c r="G4360" s="48"/>
      <c r="H4360" s="48"/>
      <c r="I4360" s="48" t="s">
        <v>4811</v>
      </c>
      <c r="J4360" s="49">
        <v>46500000</v>
      </c>
      <c r="K4360" s="1495"/>
      <c r="L4360" s="49"/>
      <c r="M4360" s="1498"/>
      <c r="N4360" s="49"/>
      <c r="O4360" s="644"/>
      <c r="P4360" s="644"/>
      <c r="Q4360" s="1290"/>
      <c r="R4360" s="644"/>
      <c r="S4360" s="48"/>
      <c r="T4360" s="1315"/>
      <c r="U4360" s="48"/>
      <c r="V4360" s="48"/>
    </row>
    <row r="4361" spans="7:22">
      <c r="G4361" s="48"/>
      <c r="H4361" s="48"/>
      <c r="I4361" s="48" t="s">
        <v>4812</v>
      </c>
      <c r="J4361" s="49">
        <v>46500000</v>
      </c>
      <c r="K4361" s="1498"/>
      <c r="L4361" s="49"/>
      <c r="M4361" s="1498"/>
      <c r="N4361" s="49"/>
      <c r="O4361" s="644"/>
      <c r="P4361" s="644"/>
      <c r="Q4361" s="1290"/>
      <c r="R4361" s="644"/>
      <c r="S4361" s="48"/>
      <c r="T4361" s="1315"/>
      <c r="U4361" s="48"/>
      <c r="V4361" s="48"/>
    </row>
    <row r="4362" spans="7:22">
      <c r="G4362" s="48"/>
      <c r="H4362" s="48"/>
      <c r="I4362" s="48" t="s">
        <v>4813</v>
      </c>
      <c r="J4362" s="49">
        <v>30675000</v>
      </c>
      <c r="K4362" s="1498"/>
      <c r="L4362" s="49"/>
      <c r="M4362" s="1498"/>
      <c r="N4362" s="49"/>
      <c r="O4362" s="644"/>
      <c r="P4362" s="644"/>
      <c r="Q4362" s="1290"/>
      <c r="R4362" s="644"/>
      <c r="S4362" s="48"/>
      <c r="T4362" s="1315"/>
      <c r="U4362" s="48"/>
      <c r="V4362" s="48"/>
    </row>
    <row r="4363" spans="7:22">
      <c r="G4363" s="48"/>
      <c r="H4363" s="48"/>
      <c r="I4363" s="48"/>
      <c r="J4363" s="49"/>
      <c r="K4363" s="1498"/>
      <c r="L4363" s="49"/>
      <c r="M4363" s="1498"/>
      <c r="N4363" s="49"/>
      <c r="O4363" s="644"/>
      <c r="P4363" s="644"/>
      <c r="Q4363" s="1290"/>
      <c r="R4363" s="644"/>
      <c r="S4363" s="48"/>
      <c r="T4363" s="1315"/>
      <c r="U4363" s="48"/>
      <c r="V4363" s="48"/>
    </row>
    <row r="4364" spans="7:22">
      <c r="G4364" s="48"/>
      <c r="H4364" s="48"/>
      <c r="I4364" s="48"/>
      <c r="J4364" s="49"/>
      <c r="K4364" s="1498"/>
      <c r="L4364" s="49"/>
      <c r="M4364" s="1498"/>
      <c r="N4364" s="49"/>
      <c r="O4364" s="644"/>
      <c r="P4364" s="644"/>
      <c r="Q4364" s="1290"/>
      <c r="R4364" s="644"/>
      <c r="S4364" s="48"/>
      <c r="T4364" s="1315"/>
      <c r="U4364" s="48"/>
      <c r="V4364" s="48"/>
    </row>
    <row r="4365" spans="7:22">
      <c r="G4365" s="48"/>
      <c r="H4365" s="48"/>
      <c r="I4365" s="48"/>
      <c r="J4365" s="49"/>
      <c r="K4365" s="49"/>
      <c r="L4365" s="49"/>
      <c r="M4365" s="1498"/>
      <c r="N4365" s="49"/>
      <c r="O4365" s="644"/>
      <c r="P4365" s="644"/>
      <c r="Q4365" s="1290"/>
      <c r="R4365" s="644"/>
      <c r="S4365" s="48"/>
      <c r="T4365" s="1315"/>
      <c r="U4365" s="48"/>
      <c r="V4365" s="48"/>
    </row>
    <row r="4366" spans="7:22">
      <c r="G4366" s="48"/>
      <c r="H4366" s="48"/>
      <c r="I4366" s="48"/>
      <c r="J4366" s="954">
        <f>SUM(J4350:J4362)</f>
        <v>392075000</v>
      </c>
      <c r="K4366" s="954"/>
      <c r="L4366" s="954">
        <f>SUM(L4350:L4365)</f>
        <v>10100000</v>
      </c>
      <c r="M4366" s="1498"/>
      <c r="N4366" s="954">
        <f>SUM(N4350:N4365)</f>
        <v>403300000</v>
      </c>
      <c r="O4366" s="644"/>
      <c r="P4366" s="969">
        <f>SUM(P4350:P4357)</f>
        <v>700000</v>
      </c>
      <c r="Q4366" s="969"/>
      <c r="R4366" s="969">
        <f>SUM(R4350:R4365)</f>
        <v>0</v>
      </c>
      <c r="S4366" s="48"/>
      <c r="T4366" s="1178">
        <f>SUM(T4350:T4365)</f>
        <v>5400</v>
      </c>
      <c r="U4366" s="48"/>
      <c r="V4366" s="878">
        <f>SUM(V4350:V4365)</f>
        <v>0</v>
      </c>
    </row>
    <row r="4367" spans="7:22">
      <c r="T4367" s="1314"/>
    </row>
    <row r="4368" spans="7:22">
      <c r="T4368" s="1314"/>
    </row>
    <row r="4369" spans="7:22">
      <c r="R4369" s="661"/>
      <c r="T4369" s="1314"/>
    </row>
    <row r="4370" spans="7:22">
      <c r="T4370" s="1314"/>
    </row>
    <row r="4371" spans="7:22">
      <c r="T4371" s="1314"/>
    </row>
    <row r="4372" spans="7:22">
      <c r="I4372" s="946"/>
      <c r="M4372" s="1533" t="s">
        <v>3699</v>
      </c>
      <c r="O4372" s="1535" t="s">
        <v>3741</v>
      </c>
      <c r="P4372" s="1512">
        <f>P4366-R4366</f>
        <v>700000</v>
      </c>
      <c r="S4372" s="906" t="s">
        <v>4049</v>
      </c>
      <c r="T4372" s="1107">
        <f>T4366-V4366</f>
        <v>5400</v>
      </c>
    </row>
    <row r="4373" spans="7:22">
      <c r="G4373" s="1574" t="s">
        <v>3530</v>
      </c>
      <c r="H4373" s="1574"/>
      <c r="I4373" s="1574"/>
      <c r="J4373" s="3">
        <f>J4366+L4366</f>
        <v>402175000</v>
      </c>
      <c r="K4373" s="1009"/>
      <c r="L4373" s="3"/>
      <c r="M4373" s="1533" t="s">
        <v>3664</v>
      </c>
      <c r="N4373" s="1527"/>
      <c r="O4373" s="1535" t="s">
        <v>4066</v>
      </c>
      <c r="P4373" s="1512"/>
      <c r="T4373" s="1314"/>
    </row>
    <row r="4374" spans="7:22">
      <c r="G4374" s="1574" t="s">
        <v>3512</v>
      </c>
      <c r="H4374" s="1574"/>
      <c r="I4374" s="1574"/>
      <c r="J4374" s="3">
        <f>N4366-J4373</f>
        <v>1125000</v>
      </c>
      <c r="K4374" s="1009"/>
      <c r="L4374" s="3"/>
      <c r="M4374" s="1528"/>
      <c r="O4374" s="1529"/>
      <c r="Q4374" s="661"/>
      <c r="T4374" s="1314"/>
    </row>
    <row r="4375" spans="7:22">
      <c r="G4375" s="1574" t="s">
        <v>3531</v>
      </c>
      <c r="H4375" s="1574"/>
      <c r="I4375" s="1574"/>
      <c r="J4375" s="3">
        <f>T4372</f>
        <v>5400</v>
      </c>
      <c r="Q4375" s="3"/>
      <c r="T4375" s="1314"/>
    </row>
    <row r="4376" spans="7:22">
      <c r="G4376" s="1564" t="s">
        <v>4455</v>
      </c>
      <c r="H4376" s="1564"/>
      <c r="I4376" s="1564"/>
      <c r="J4376" s="3">
        <f>+P4372</f>
        <v>700000</v>
      </c>
      <c r="R4376" s="3"/>
      <c r="T4376" s="1314"/>
    </row>
    <row r="4377" spans="7:22">
      <c r="T4377" s="1314"/>
    </row>
    <row r="4379" spans="7:22">
      <c r="T4379" s="1319"/>
    </row>
    <row r="4380" spans="7:22">
      <c r="T4380" s="1319"/>
    </row>
    <row r="4381" spans="7:22">
      <c r="G4381" s="1008">
        <v>46078</v>
      </c>
      <c r="H4381" s="1169"/>
      <c r="I4381" s="1575" t="s">
        <v>3510</v>
      </c>
      <c r="J4381" s="1576"/>
      <c r="K4381" s="1575" t="s">
        <v>3509</v>
      </c>
      <c r="L4381" s="1576"/>
      <c r="M4381" s="1575" t="s">
        <v>3541</v>
      </c>
      <c r="N4381" s="1576"/>
      <c r="O4381" s="1577" t="s">
        <v>3598</v>
      </c>
      <c r="P4381" s="1578"/>
      <c r="Q4381" s="1579" t="s">
        <v>3599</v>
      </c>
      <c r="R4381" s="1580"/>
      <c r="S4381" s="1583" t="s">
        <v>3953</v>
      </c>
      <c r="T4381" s="1583"/>
      <c r="U4381" s="1583" t="s">
        <v>3954</v>
      </c>
      <c r="V4381" s="1583"/>
    </row>
    <row r="4382" spans="7:22">
      <c r="G4382" s="1097"/>
      <c r="H4382" s="1261"/>
      <c r="I4382" s="1326" t="s">
        <v>4816</v>
      </c>
      <c r="J4382" s="49">
        <v>46000000</v>
      </c>
      <c r="K4382" s="1495" t="s">
        <v>4541</v>
      </c>
      <c r="L4382" s="49">
        <v>250000</v>
      </c>
      <c r="M4382" s="1495" t="s">
        <v>4613</v>
      </c>
      <c r="N4382" s="1495">
        <v>305000000</v>
      </c>
      <c r="O4382" s="1383"/>
      <c r="P4382" s="644"/>
      <c r="Q4382" s="1279"/>
      <c r="R4382" s="644"/>
      <c r="S4382" s="1223"/>
      <c r="T4382" s="1191"/>
      <c r="U4382" s="1232"/>
      <c r="V4382" s="48"/>
    </row>
    <row r="4383" spans="7:22">
      <c r="G4383" s="1098"/>
      <c r="H4383" s="1172"/>
      <c r="I4383" s="1327" t="s">
        <v>4818</v>
      </c>
      <c r="J4383" s="49">
        <v>46000000</v>
      </c>
      <c r="K4383" s="1495" t="s">
        <v>4817</v>
      </c>
      <c r="L4383" s="49">
        <v>1700000</v>
      </c>
      <c r="M4383" s="1495" t="s">
        <v>4814</v>
      </c>
      <c r="N4383" s="49">
        <v>1000000</v>
      </c>
      <c r="O4383" s="1383" t="s">
        <v>4712</v>
      </c>
      <c r="P4383" s="644">
        <v>700000</v>
      </c>
      <c r="Q4383" s="1290"/>
      <c r="R4383" s="1290"/>
      <c r="S4383" s="1296" t="s">
        <v>4613</v>
      </c>
      <c r="T4383" s="1191">
        <v>5000</v>
      </c>
      <c r="U4383" s="48"/>
      <c r="V4383" s="49"/>
    </row>
    <row r="4384" spans="7:22">
      <c r="G4384" s="48"/>
      <c r="H4384" s="48"/>
      <c r="I4384" s="1328" t="s">
        <v>4819</v>
      </c>
      <c r="J4384" s="49">
        <v>24000000</v>
      </c>
      <c r="K4384" s="1493" t="s">
        <v>4605</v>
      </c>
      <c r="L4384" s="49">
        <v>2000000</v>
      </c>
      <c r="M4384" s="1495" t="s">
        <v>4473</v>
      </c>
      <c r="N4384" s="49">
        <v>2000000</v>
      </c>
      <c r="O4384" s="1383"/>
      <c r="P4384" s="644"/>
      <c r="Q4384" s="1303"/>
      <c r="R4384" s="644"/>
      <c r="S4384" s="1287"/>
      <c r="T4384" s="1191">
        <v>400</v>
      </c>
      <c r="U4384" s="1287"/>
      <c r="V4384" s="1191"/>
    </row>
    <row r="4385" spans="7:22">
      <c r="G4385" s="48"/>
      <c r="H4385" s="48"/>
      <c r="I4385" s="1327" t="s">
        <v>4820</v>
      </c>
      <c r="J4385" s="49">
        <v>21160000</v>
      </c>
      <c r="K4385" s="1493" t="s">
        <v>4736</v>
      </c>
      <c r="L4385" s="49">
        <v>4000000</v>
      </c>
      <c r="M4385" s="1493" t="s">
        <v>4815</v>
      </c>
      <c r="N4385" s="49">
        <v>3000000</v>
      </c>
      <c r="O4385" s="1383"/>
      <c r="P4385" s="644"/>
      <c r="Q4385" s="1303"/>
      <c r="R4385" s="644"/>
      <c r="S4385" s="1313"/>
      <c r="T4385" s="1320"/>
      <c r="U4385" s="1289"/>
      <c r="V4385" s="1320"/>
    </row>
    <row r="4386" spans="7:22">
      <c r="G4386" s="48"/>
      <c r="H4386" s="48"/>
      <c r="I4386" s="1328" t="s">
        <v>4785</v>
      </c>
      <c r="J4386" s="49">
        <v>30690000</v>
      </c>
      <c r="K4386" s="1493" t="s">
        <v>4822</v>
      </c>
      <c r="L4386" s="49">
        <v>3000000</v>
      </c>
      <c r="M4386" s="1493"/>
      <c r="N4386" s="49"/>
      <c r="O4386" s="1383"/>
      <c r="P4386" s="644"/>
      <c r="Q4386" s="1288"/>
      <c r="R4386" s="644"/>
      <c r="S4386" s="48"/>
      <c r="T4386" s="1320"/>
      <c r="U4386" s="48"/>
      <c r="V4386" s="49"/>
    </row>
    <row r="4387" spans="7:22">
      <c r="G4387" s="48"/>
      <c r="H4387" s="48"/>
      <c r="I4387" s="1328" t="s">
        <v>4821</v>
      </c>
      <c r="J4387" s="49">
        <v>27900000</v>
      </c>
      <c r="K4387" s="1493"/>
      <c r="L4387" s="49"/>
      <c r="M4387" s="1495"/>
      <c r="N4387" s="49"/>
      <c r="O4387" s="1383"/>
      <c r="P4387" s="644"/>
      <c r="Q4387" s="1302"/>
      <c r="R4387" s="644"/>
      <c r="S4387" s="48"/>
      <c r="T4387" s="1320"/>
      <c r="U4387" s="48"/>
      <c r="V4387" s="49"/>
    </row>
    <row r="4388" spans="7:22">
      <c r="G4388" s="48"/>
      <c r="H4388" s="48"/>
      <c r="I4388" s="1323"/>
      <c r="J4388" s="49"/>
      <c r="K4388" s="1493"/>
      <c r="L4388" s="49"/>
      <c r="M4388" s="1495"/>
      <c r="N4388" s="49"/>
      <c r="O4388" s="1383"/>
      <c r="P4388" s="644"/>
      <c r="Q4388" s="1290"/>
      <c r="R4388" s="644"/>
      <c r="S4388" s="48"/>
      <c r="T4388" s="1320"/>
      <c r="U4388" s="48"/>
      <c r="V4388" s="49"/>
    </row>
    <row r="4389" spans="7:22">
      <c r="G4389" s="48"/>
      <c r="H4389" s="48"/>
      <c r="I4389" s="1323"/>
      <c r="J4389" s="49"/>
      <c r="K4389" s="1532"/>
      <c r="L4389" s="49"/>
      <c r="M4389" s="1498"/>
      <c r="N4389" s="49"/>
      <c r="O4389" s="1383"/>
      <c r="P4389" s="644"/>
      <c r="Q4389" s="1291"/>
      <c r="R4389" s="644"/>
      <c r="S4389" s="48"/>
      <c r="T4389" s="1320"/>
      <c r="U4389" s="48"/>
      <c r="V4389" s="49"/>
    </row>
    <row r="4390" spans="7:22">
      <c r="G4390" s="48"/>
      <c r="H4390" s="48"/>
      <c r="I4390" s="1323"/>
      <c r="J4390" s="49"/>
      <c r="K4390" s="1495"/>
      <c r="L4390" s="49"/>
      <c r="M4390" s="1498"/>
      <c r="N4390" s="49"/>
      <c r="O4390" s="644"/>
      <c r="P4390" s="644"/>
      <c r="Q4390" s="1290"/>
      <c r="R4390" s="644"/>
      <c r="S4390" s="48"/>
      <c r="T4390" s="1320"/>
      <c r="U4390" s="48"/>
      <c r="V4390" s="49"/>
    </row>
    <row r="4391" spans="7:22">
      <c r="G4391" s="48"/>
      <c r="H4391" s="48"/>
      <c r="I4391" s="48"/>
      <c r="J4391" s="49"/>
      <c r="K4391" s="1495"/>
      <c r="L4391" s="49"/>
      <c r="M4391" s="1498"/>
      <c r="N4391" s="49"/>
      <c r="O4391" s="644"/>
      <c r="P4391" s="644"/>
      <c r="Q4391" s="1290"/>
      <c r="R4391" s="644"/>
      <c r="S4391" s="48"/>
      <c r="T4391" s="1320"/>
      <c r="U4391" s="48"/>
      <c r="V4391" s="49"/>
    </row>
    <row r="4392" spans="7:22">
      <c r="G4392" s="48"/>
      <c r="H4392" s="48"/>
      <c r="I4392" s="48"/>
      <c r="J4392" s="49"/>
      <c r="K4392" s="1495"/>
      <c r="L4392" s="49"/>
      <c r="M4392" s="1498"/>
      <c r="N4392" s="49"/>
      <c r="O4392" s="644"/>
      <c r="P4392" s="644"/>
      <c r="Q4392" s="1290"/>
      <c r="R4392" s="644"/>
      <c r="S4392" s="48"/>
      <c r="T4392" s="1320"/>
      <c r="U4392" s="48"/>
      <c r="V4392" s="48"/>
    </row>
    <row r="4393" spans="7:22">
      <c r="G4393" s="48"/>
      <c r="H4393" s="48"/>
      <c r="I4393" s="48"/>
      <c r="J4393" s="49"/>
      <c r="K4393" s="1498"/>
      <c r="L4393" s="49"/>
      <c r="M4393" s="1498"/>
      <c r="N4393" s="49"/>
      <c r="O4393" s="644"/>
      <c r="P4393" s="644"/>
      <c r="Q4393" s="1290"/>
      <c r="R4393" s="644"/>
      <c r="S4393" s="48"/>
      <c r="T4393" s="1320"/>
      <c r="U4393" s="48"/>
      <c r="V4393" s="48"/>
    </row>
    <row r="4394" spans="7:22">
      <c r="G4394" s="48"/>
      <c r="H4394" s="48"/>
      <c r="I4394" s="48"/>
      <c r="J4394" s="49"/>
      <c r="K4394" s="1498"/>
      <c r="L4394" s="49"/>
      <c r="M4394" s="1498"/>
      <c r="N4394" s="49"/>
      <c r="O4394" s="644"/>
      <c r="P4394" s="644"/>
      <c r="Q4394" s="1290"/>
      <c r="R4394" s="644"/>
      <c r="S4394" s="48"/>
      <c r="T4394" s="1320"/>
      <c r="U4394" s="48"/>
      <c r="V4394" s="48"/>
    </row>
    <row r="4395" spans="7:22">
      <c r="G4395" s="48"/>
      <c r="H4395" s="48"/>
      <c r="I4395" s="48"/>
      <c r="J4395" s="49"/>
      <c r="K4395" s="1498"/>
      <c r="L4395" s="49"/>
      <c r="M4395" s="1498"/>
      <c r="N4395" s="49"/>
      <c r="O4395" s="644"/>
      <c r="P4395" s="644"/>
      <c r="Q4395" s="1290"/>
      <c r="R4395" s="644"/>
      <c r="S4395" s="48"/>
      <c r="T4395" s="1320"/>
      <c r="U4395" s="48"/>
      <c r="V4395" s="48"/>
    </row>
    <row r="4396" spans="7:22">
      <c r="G4396" s="48"/>
      <c r="H4396" s="48"/>
      <c r="I4396" s="48"/>
      <c r="J4396" s="49"/>
      <c r="K4396" s="1498"/>
      <c r="L4396" s="49"/>
      <c r="M4396" s="1498"/>
      <c r="N4396" s="49"/>
      <c r="O4396" s="644"/>
      <c r="P4396" s="644"/>
      <c r="Q4396" s="1290"/>
      <c r="R4396" s="644"/>
      <c r="S4396" s="48"/>
      <c r="T4396" s="1320"/>
      <c r="U4396" s="48"/>
      <c r="V4396" s="48"/>
    </row>
    <row r="4397" spans="7:22">
      <c r="G4397" s="48"/>
      <c r="H4397" s="48"/>
      <c r="I4397" s="48"/>
      <c r="J4397" s="49"/>
      <c r="K4397" s="49"/>
      <c r="L4397" s="49"/>
      <c r="M4397" s="1498"/>
      <c r="N4397" s="49"/>
      <c r="O4397" s="644"/>
      <c r="P4397" s="644"/>
      <c r="Q4397" s="1290"/>
      <c r="R4397" s="644"/>
      <c r="S4397" s="48"/>
      <c r="T4397" s="1320"/>
      <c r="U4397" s="48"/>
      <c r="V4397" s="48"/>
    </row>
    <row r="4398" spans="7:22">
      <c r="G4398" s="48"/>
      <c r="H4398" s="48"/>
      <c r="I4398" s="48"/>
      <c r="J4398" s="954">
        <f>SUM(J4382:J4394)</f>
        <v>195750000</v>
      </c>
      <c r="K4398" s="954"/>
      <c r="L4398" s="954">
        <f>SUM(L4382:L4397)</f>
        <v>10950000</v>
      </c>
      <c r="M4398" s="1498"/>
      <c r="N4398" s="954">
        <f>SUM(N4382:N4397)</f>
        <v>311000000</v>
      </c>
      <c r="O4398" s="644"/>
      <c r="P4398" s="969">
        <f>SUM(P4382:P4389)</f>
        <v>700000</v>
      </c>
      <c r="Q4398" s="969"/>
      <c r="R4398" s="969">
        <f>SUM(R4382:R4397)</f>
        <v>0</v>
      </c>
      <c r="S4398" s="48"/>
      <c r="T4398" s="1178">
        <f>SUM(T4382:T4397)</f>
        <v>5400</v>
      </c>
      <c r="U4398" s="48"/>
      <c r="V4398" s="878">
        <f>SUM(V4382:V4397)</f>
        <v>0</v>
      </c>
    </row>
    <row r="4399" spans="7:22">
      <c r="T4399" s="1319"/>
    </row>
    <row r="4400" spans="7:22">
      <c r="T4400" s="1319"/>
    </row>
    <row r="4401" spans="7:22">
      <c r="R4401" s="661"/>
      <c r="T4401" s="1319"/>
    </row>
    <row r="4402" spans="7:22">
      <c r="T4402" s="1319"/>
    </row>
    <row r="4403" spans="7:22">
      <c r="T4403" s="1319"/>
    </row>
    <row r="4404" spans="7:22">
      <c r="I4404" s="946"/>
      <c r="M4404" s="1533" t="s">
        <v>3699</v>
      </c>
      <c r="O4404" s="1535" t="s">
        <v>3741</v>
      </c>
      <c r="P4404" s="1512">
        <f>P4398-R4398</f>
        <v>700000</v>
      </c>
      <c r="S4404" s="906" t="s">
        <v>4049</v>
      </c>
      <c r="T4404" s="1107">
        <f>T4398-V4398</f>
        <v>5400</v>
      </c>
    </row>
    <row r="4405" spans="7:22">
      <c r="G4405" s="1574" t="s">
        <v>3530</v>
      </c>
      <c r="H4405" s="1574"/>
      <c r="I4405" s="1574"/>
      <c r="J4405" s="3">
        <f>J4398+L4398</f>
        <v>206700000</v>
      </c>
      <c r="K4405" s="1009"/>
      <c r="L4405" s="3"/>
      <c r="M4405" s="1533" t="s">
        <v>3664</v>
      </c>
      <c r="N4405" s="1527"/>
      <c r="O4405" s="1535" t="s">
        <v>4066</v>
      </c>
      <c r="P4405" s="1512"/>
      <c r="T4405" s="1319"/>
    </row>
    <row r="4406" spans="7:22">
      <c r="G4406" s="1574" t="s">
        <v>3512</v>
      </c>
      <c r="H4406" s="1574"/>
      <c r="I4406" s="1574"/>
      <c r="J4406" s="3">
        <f>N4398-J4405</f>
        <v>104300000</v>
      </c>
      <c r="K4406" s="1009"/>
      <c r="L4406" s="3"/>
      <c r="M4406" s="1528"/>
      <c r="O4406" s="1529"/>
      <c r="Q4406" s="661"/>
      <c r="T4406" s="1319"/>
    </row>
    <row r="4407" spans="7:22">
      <c r="G4407" s="1574" t="s">
        <v>3531</v>
      </c>
      <c r="H4407" s="1574"/>
      <c r="I4407" s="1574"/>
      <c r="J4407" s="3">
        <f>T4404</f>
        <v>5400</v>
      </c>
      <c r="Q4407" s="3"/>
      <c r="T4407" s="1319"/>
    </row>
    <row r="4408" spans="7:22">
      <c r="G4408" s="1564" t="s">
        <v>4455</v>
      </c>
      <c r="H4408" s="1564"/>
      <c r="I4408" s="1564"/>
      <c r="J4408" s="3">
        <f>+P4404</f>
        <v>700000</v>
      </c>
      <c r="R4408" s="3"/>
      <c r="T4408" s="1319"/>
    </row>
    <row r="4409" spans="7:22">
      <c r="T4409" s="1319"/>
    </row>
    <row r="4411" spans="7:22">
      <c r="T4411" s="1319"/>
    </row>
    <row r="4412" spans="7:22">
      <c r="T4412" s="1319"/>
    </row>
    <row r="4413" spans="7:22">
      <c r="T4413" s="1319"/>
    </row>
    <row r="4414" spans="7:22">
      <c r="G4414" s="1008">
        <v>46079</v>
      </c>
      <c r="H4414" s="1169"/>
      <c r="I4414" s="1575" t="s">
        <v>3510</v>
      </c>
      <c r="J4414" s="1576"/>
      <c r="K4414" s="1575" t="s">
        <v>3509</v>
      </c>
      <c r="L4414" s="1576"/>
      <c r="M4414" s="1575" t="s">
        <v>3541</v>
      </c>
      <c r="N4414" s="1576"/>
      <c r="O4414" s="1577" t="s">
        <v>3598</v>
      </c>
      <c r="P4414" s="1578"/>
      <c r="Q4414" s="1579" t="s">
        <v>3599</v>
      </c>
      <c r="R4414" s="1580"/>
      <c r="S4414" s="1583" t="s">
        <v>3953</v>
      </c>
      <c r="T4414" s="1583"/>
      <c r="U4414" s="1583" t="s">
        <v>3954</v>
      </c>
      <c r="V4414" s="1583"/>
    </row>
    <row r="4415" spans="7:22">
      <c r="G4415" s="1097"/>
      <c r="H4415" s="1261"/>
      <c r="I4415" s="1326" t="s">
        <v>4824</v>
      </c>
      <c r="J4415" s="49">
        <v>27800000</v>
      </c>
      <c r="K4415" s="1495" t="s">
        <v>4823</v>
      </c>
      <c r="L4415" s="49">
        <v>2000000</v>
      </c>
      <c r="M4415" s="1495" t="s">
        <v>4613</v>
      </c>
      <c r="N4415" s="1495">
        <v>205400000</v>
      </c>
      <c r="O4415" s="1383"/>
      <c r="P4415" s="644"/>
      <c r="Q4415" s="1279"/>
      <c r="R4415" s="644"/>
      <c r="S4415" s="1223"/>
      <c r="T4415" s="1191"/>
      <c r="U4415" s="1232"/>
      <c r="V4415" s="48"/>
    </row>
    <row r="4416" spans="7:22">
      <c r="G4416" s="1098"/>
      <c r="H4416" s="1172"/>
      <c r="I4416" s="1327" t="s">
        <v>4825</v>
      </c>
      <c r="J4416" s="49">
        <v>21160000</v>
      </c>
      <c r="K4416" s="1495" t="s">
        <v>4823</v>
      </c>
      <c r="L4416" s="49">
        <v>3000000</v>
      </c>
      <c r="M4416" s="1495" t="s">
        <v>4734</v>
      </c>
      <c r="N4416" s="49">
        <v>350000000</v>
      </c>
      <c r="O4416" s="1383" t="s">
        <v>4712</v>
      </c>
      <c r="P4416" s="644">
        <v>0</v>
      </c>
      <c r="Q4416" s="1290"/>
      <c r="R4416" s="1290"/>
      <c r="S4416" s="1296" t="s">
        <v>4613</v>
      </c>
      <c r="T4416" s="1191">
        <v>5500</v>
      </c>
      <c r="U4416" s="48"/>
      <c r="V4416" s="49"/>
    </row>
    <row r="4417" spans="7:22">
      <c r="G4417" s="48"/>
      <c r="H4417" s="48"/>
      <c r="I4417" s="1328" t="s">
        <v>4826</v>
      </c>
      <c r="J4417" s="49">
        <v>45500000</v>
      </c>
      <c r="K4417" s="1493" t="s">
        <v>4541</v>
      </c>
      <c r="L4417" s="49">
        <v>500000</v>
      </c>
      <c r="M4417" s="1495" t="s">
        <v>4495</v>
      </c>
      <c r="N4417" s="49">
        <v>3600000</v>
      </c>
      <c r="O4417" s="1383"/>
      <c r="P4417" s="644"/>
      <c r="Q4417" s="1303"/>
      <c r="R4417" s="644"/>
      <c r="S4417" s="1287"/>
      <c r="T4417" s="1191"/>
      <c r="U4417" s="1287"/>
      <c r="V4417" s="1191"/>
    </row>
    <row r="4418" spans="7:22">
      <c r="G4418" s="48"/>
      <c r="H4418" s="48"/>
      <c r="I4418" s="1327" t="s">
        <v>4827</v>
      </c>
      <c r="J4418" s="49">
        <v>30000000</v>
      </c>
      <c r="K4418" s="1493" t="s">
        <v>4646</v>
      </c>
      <c r="L4418" s="49">
        <v>6400000</v>
      </c>
      <c r="M4418" s="1493"/>
      <c r="N4418" s="49"/>
      <c r="O4418" s="1383"/>
      <c r="P4418" s="644"/>
      <c r="Q4418" s="1303"/>
      <c r="R4418" s="644"/>
      <c r="S4418" s="1313"/>
      <c r="T4418" s="1320"/>
      <c r="U4418" s="1289"/>
      <c r="V4418" s="1320"/>
    </row>
    <row r="4419" spans="7:22">
      <c r="G4419" s="48"/>
      <c r="H4419" s="48"/>
      <c r="I4419" s="1328" t="s">
        <v>4828</v>
      </c>
      <c r="J4419" s="49">
        <v>46000000</v>
      </c>
      <c r="K4419" s="1493" t="s">
        <v>4830</v>
      </c>
      <c r="L4419" s="49">
        <v>25000000</v>
      </c>
      <c r="M4419" s="1493"/>
      <c r="N4419" s="49"/>
      <c r="O4419" s="1383"/>
      <c r="P4419" s="644"/>
      <c r="Q4419" s="1288"/>
      <c r="R4419" s="644"/>
      <c r="S4419" s="48"/>
      <c r="T4419" s="1320"/>
      <c r="U4419" s="48"/>
      <c r="V4419" s="49"/>
    </row>
    <row r="4420" spans="7:22">
      <c r="G4420" s="48"/>
      <c r="H4420" s="48"/>
      <c r="I4420" s="1328" t="s">
        <v>4829</v>
      </c>
      <c r="J4420" s="49">
        <v>27900000</v>
      </c>
      <c r="K4420" s="1493" t="s">
        <v>4502</v>
      </c>
      <c r="L4420" s="49">
        <v>3000000</v>
      </c>
      <c r="M4420" s="1495"/>
      <c r="N4420" s="49"/>
      <c r="O4420" s="1383"/>
      <c r="P4420" s="644"/>
      <c r="Q4420" s="1302"/>
      <c r="R4420" s="644"/>
      <c r="S4420" s="48"/>
      <c r="T4420" s="1320"/>
      <c r="U4420" s="48"/>
      <c r="V4420" s="49"/>
    </row>
    <row r="4421" spans="7:22">
      <c r="G4421" s="48"/>
      <c r="H4421" s="48"/>
      <c r="I4421" s="1328" t="s">
        <v>4831</v>
      </c>
      <c r="J4421" s="49">
        <v>46000000</v>
      </c>
      <c r="K4421" s="1493" t="s">
        <v>4736</v>
      </c>
      <c r="L4421" s="49">
        <v>6000000</v>
      </c>
      <c r="M4421" s="1495"/>
      <c r="N4421" s="49"/>
      <c r="O4421" s="1383"/>
      <c r="P4421" s="644"/>
      <c r="Q4421" s="1290"/>
      <c r="R4421" s="644"/>
      <c r="S4421" s="48"/>
      <c r="T4421" s="1320"/>
      <c r="U4421" s="48"/>
      <c r="V4421" s="49"/>
    </row>
    <row r="4422" spans="7:22">
      <c r="G4422" s="48"/>
      <c r="H4422" s="48"/>
      <c r="I4422" s="1328" t="s">
        <v>4832</v>
      </c>
      <c r="J4422" s="49">
        <v>30690000</v>
      </c>
      <c r="K4422" s="1532"/>
      <c r="L4422" s="49"/>
      <c r="M4422" s="1498"/>
      <c r="N4422" s="49"/>
      <c r="O4422" s="1383"/>
      <c r="P4422" s="644"/>
      <c r="Q4422" s="1291"/>
      <c r="R4422" s="644"/>
      <c r="S4422" s="48"/>
      <c r="T4422" s="1320"/>
      <c r="U4422" s="48"/>
      <c r="V4422" s="49"/>
    </row>
    <row r="4423" spans="7:22">
      <c r="G4423" s="48"/>
      <c r="H4423" s="48"/>
      <c r="I4423" s="1323"/>
      <c r="J4423" s="49"/>
      <c r="K4423" s="1495"/>
      <c r="L4423" s="49"/>
      <c r="M4423" s="1498"/>
      <c r="N4423" s="49"/>
      <c r="O4423" s="644"/>
      <c r="P4423" s="644"/>
      <c r="Q4423" s="1290"/>
      <c r="R4423" s="644"/>
      <c r="S4423" s="48"/>
      <c r="T4423" s="1320"/>
      <c r="U4423" s="48"/>
      <c r="V4423" s="49"/>
    </row>
    <row r="4424" spans="7:22">
      <c r="G4424" s="48"/>
      <c r="H4424" s="48"/>
      <c r="I4424" s="48"/>
      <c r="J4424" s="49"/>
      <c r="K4424" s="1495"/>
      <c r="L4424" s="49"/>
      <c r="M4424" s="1498"/>
      <c r="N4424" s="49"/>
      <c r="O4424" s="644"/>
      <c r="P4424" s="644"/>
      <c r="Q4424" s="1290"/>
      <c r="R4424" s="644"/>
      <c r="S4424" s="48"/>
      <c r="T4424" s="1320"/>
      <c r="U4424" s="48"/>
      <c r="V4424" s="49"/>
    </row>
    <row r="4425" spans="7:22">
      <c r="G4425" s="48"/>
      <c r="H4425" s="48"/>
      <c r="I4425" s="48"/>
      <c r="J4425" s="49"/>
      <c r="K4425" s="1495"/>
      <c r="L4425" s="49"/>
      <c r="M4425" s="1498"/>
      <c r="N4425" s="49"/>
      <c r="O4425" s="644"/>
      <c r="P4425" s="644"/>
      <c r="Q4425" s="1290"/>
      <c r="R4425" s="644"/>
      <c r="S4425" s="48"/>
      <c r="T4425" s="1320"/>
      <c r="U4425" s="48"/>
      <c r="V4425" s="48"/>
    </row>
    <row r="4426" spans="7:22">
      <c r="G4426" s="48"/>
      <c r="H4426" s="48"/>
      <c r="I4426" s="48"/>
      <c r="J4426" s="49"/>
      <c r="K4426" s="1498"/>
      <c r="L4426" s="49"/>
      <c r="M4426" s="1498"/>
      <c r="N4426" s="49"/>
      <c r="O4426" s="644"/>
      <c r="P4426" s="644"/>
      <c r="Q4426" s="1290"/>
      <c r="R4426" s="644"/>
      <c r="S4426" s="48"/>
      <c r="T4426" s="1320"/>
      <c r="U4426" s="48"/>
      <c r="V4426" s="48"/>
    </row>
    <row r="4427" spans="7:22">
      <c r="G4427" s="48"/>
      <c r="H4427" s="48"/>
      <c r="I4427" s="48"/>
      <c r="J4427" s="49"/>
      <c r="K4427" s="1498"/>
      <c r="L4427" s="49"/>
      <c r="M4427" s="1498"/>
      <c r="N4427" s="49"/>
      <c r="O4427" s="644"/>
      <c r="P4427" s="644"/>
      <c r="Q4427" s="1290"/>
      <c r="R4427" s="644"/>
      <c r="S4427" s="48"/>
      <c r="T4427" s="1320"/>
      <c r="U4427" s="48"/>
      <c r="V4427" s="48"/>
    </row>
    <row r="4428" spans="7:22">
      <c r="G4428" s="48"/>
      <c r="H4428" s="48"/>
      <c r="I4428" s="48"/>
      <c r="J4428" s="49"/>
      <c r="K4428" s="1498"/>
      <c r="L4428" s="49"/>
      <c r="M4428" s="1498"/>
      <c r="N4428" s="49"/>
      <c r="O4428" s="644"/>
      <c r="P4428" s="644"/>
      <c r="Q4428" s="1290"/>
      <c r="R4428" s="644"/>
      <c r="S4428" s="48"/>
      <c r="T4428" s="1320"/>
      <c r="U4428" s="48"/>
      <c r="V4428" s="48"/>
    </row>
    <row r="4429" spans="7:22">
      <c r="G4429" s="48"/>
      <c r="H4429" s="48"/>
      <c r="I4429" s="48"/>
      <c r="J4429" s="49"/>
      <c r="K4429" s="1498"/>
      <c r="L4429" s="49"/>
      <c r="M4429" s="1498"/>
      <c r="N4429" s="49"/>
      <c r="O4429" s="644"/>
      <c r="P4429" s="644"/>
      <c r="Q4429" s="1290"/>
      <c r="R4429" s="644"/>
      <c r="S4429" s="48"/>
      <c r="T4429" s="1320"/>
      <c r="U4429" s="48"/>
      <c r="V4429" s="48"/>
    </row>
    <row r="4430" spans="7:22">
      <c r="G4430" s="48"/>
      <c r="H4430" s="48"/>
      <c r="I4430" s="48"/>
      <c r="J4430" s="49"/>
      <c r="K4430" s="49"/>
      <c r="L4430" s="49"/>
      <c r="M4430" s="1498"/>
      <c r="N4430" s="49"/>
      <c r="O4430" s="644"/>
      <c r="P4430" s="644"/>
      <c r="Q4430" s="1290"/>
      <c r="R4430" s="644"/>
      <c r="S4430" s="48"/>
      <c r="T4430" s="1320"/>
      <c r="U4430" s="48"/>
      <c r="V4430" s="48"/>
    </row>
    <row r="4431" spans="7:22">
      <c r="G4431" s="48"/>
      <c r="H4431" s="48"/>
      <c r="I4431" s="48"/>
      <c r="J4431" s="954">
        <f>SUM(J4415:J4427)</f>
        <v>275050000</v>
      </c>
      <c r="K4431" s="954"/>
      <c r="L4431" s="954">
        <f>SUM(L4415:L4430)</f>
        <v>45900000</v>
      </c>
      <c r="M4431" s="1498"/>
      <c r="N4431" s="954">
        <f>SUM(N4415:N4430)</f>
        <v>559000000</v>
      </c>
      <c r="O4431" s="644"/>
      <c r="P4431" s="969">
        <f>SUM(P4415:P4422)</f>
        <v>0</v>
      </c>
      <c r="Q4431" s="969"/>
      <c r="R4431" s="969">
        <f>SUM(R4415:R4430)</f>
        <v>0</v>
      </c>
      <c r="S4431" s="48"/>
      <c r="T4431" s="1178">
        <f>SUM(T4415:T4430)</f>
        <v>5500</v>
      </c>
      <c r="U4431" s="48"/>
      <c r="V4431" s="878">
        <f>SUM(V4415:V4430)</f>
        <v>0</v>
      </c>
    </row>
    <row r="4432" spans="7:22">
      <c r="T4432" s="1319"/>
    </row>
    <row r="4433" spans="7:22">
      <c r="T4433" s="1319"/>
    </row>
    <row r="4434" spans="7:22">
      <c r="R4434" s="661"/>
      <c r="T4434" s="1319"/>
    </row>
    <row r="4435" spans="7:22">
      <c r="T4435" s="1319"/>
    </row>
    <row r="4436" spans="7:22">
      <c r="T4436" s="1319"/>
    </row>
    <row r="4437" spans="7:22">
      <c r="I4437" s="946"/>
      <c r="M4437" s="1533" t="s">
        <v>3699</v>
      </c>
      <c r="O4437" s="1535" t="s">
        <v>3741</v>
      </c>
      <c r="P4437" s="1512">
        <f>P4431-R4431</f>
        <v>0</v>
      </c>
      <c r="S4437" s="906" t="s">
        <v>4049</v>
      </c>
      <c r="T4437" s="1107">
        <f>T4431-V4431</f>
        <v>5500</v>
      </c>
    </row>
    <row r="4438" spans="7:22">
      <c r="G4438" s="1574" t="s">
        <v>3530</v>
      </c>
      <c r="H4438" s="1574"/>
      <c r="I4438" s="1574"/>
      <c r="J4438" s="3">
        <f>J4431+L4431</f>
        <v>320950000</v>
      </c>
      <c r="K4438" s="1009"/>
      <c r="L4438" s="3"/>
      <c r="M4438" s="1533" t="s">
        <v>3664</v>
      </c>
      <c r="N4438" s="1527"/>
      <c r="O4438" s="1535" t="s">
        <v>4066</v>
      </c>
      <c r="P4438" s="1512"/>
      <c r="T4438" s="1319"/>
    </row>
    <row r="4439" spans="7:22">
      <c r="G4439" s="1574" t="s">
        <v>3512</v>
      </c>
      <c r="H4439" s="1574"/>
      <c r="I4439" s="1574"/>
      <c r="J4439" s="3">
        <f>N4431-J4438</f>
        <v>238050000</v>
      </c>
      <c r="K4439" s="1009"/>
      <c r="L4439" s="3"/>
      <c r="M4439" s="1528"/>
      <c r="O4439" s="1529"/>
      <c r="Q4439" s="661"/>
      <c r="T4439" s="1319"/>
    </row>
    <row r="4440" spans="7:22">
      <c r="G4440" s="1574" t="s">
        <v>3531</v>
      </c>
      <c r="H4440" s="1574"/>
      <c r="I4440" s="1574"/>
      <c r="J4440" s="3">
        <f>T4437</f>
        <v>5500</v>
      </c>
      <c r="Q4440" s="3"/>
      <c r="T4440" s="1319"/>
    </row>
    <row r="4441" spans="7:22">
      <c r="G4441" s="1564" t="s">
        <v>4455</v>
      </c>
      <c r="H4441" s="1564"/>
      <c r="I4441" s="1564"/>
      <c r="J4441" s="3">
        <f>+P4437</f>
        <v>0</v>
      </c>
      <c r="R4441" s="3"/>
      <c r="T4441" s="1319"/>
    </row>
    <row r="4442" spans="7:22">
      <c r="T4442" s="1319"/>
    </row>
    <row r="4443" spans="7:22">
      <c r="T4443" s="1319"/>
    </row>
    <row r="4444" spans="7:22">
      <c r="T4444" s="1319"/>
    </row>
    <row r="4445" spans="7:22">
      <c r="T4445" s="1319"/>
    </row>
    <row r="4446" spans="7:22">
      <c r="G4446" s="1008">
        <v>46080</v>
      </c>
      <c r="H4446" s="1169"/>
      <c r="I4446" s="1575" t="s">
        <v>3510</v>
      </c>
      <c r="J4446" s="1576"/>
      <c r="K4446" s="1575" t="s">
        <v>3509</v>
      </c>
      <c r="L4446" s="1576"/>
      <c r="M4446" s="1575" t="s">
        <v>3541</v>
      </c>
      <c r="N4446" s="1576"/>
      <c r="O4446" s="1577" t="s">
        <v>3598</v>
      </c>
      <c r="P4446" s="1578"/>
      <c r="Q4446" s="1579" t="s">
        <v>3599</v>
      </c>
      <c r="R4446" s="1580"/>
      <c r="S4446" s="1583" t="s">
        <v>3953</v>
      </c>
      <c r="T4446" s="1583"/>
      <c r="U4446" s="1583" t="s">
        <v>3954</v>
      </c>
      <c r="V4446" s="1583"/>
    </row>
    <row r="4447" spans="7:22">
      <c r="G4447" s="1097"/>
      <c r="H4447" s="1261"/>
      <c r="I4447" s="1331" t="s">
        <v>4834</v>
      </c>
      <c r="J4447" s="49">
        <v>91000000</v>
      </c>
      <c r="K4447" s="1495" t="s">
        <v>4833</v>
      </c>
      <c r="L4447" s="49">
        <v>500000</v>
      </c>
      <c r="M4447" s="1495" t="s">
        <v>4613</v>
      </c>
      <c r="N4447" s="1495">
        <v>337000000</v>
      </c>
      <c r="O4447" s="1383"/>
      <c r="P4447" s="644"/>
      <c r="Q4447" s="1279"/>
      <c r="R4447" s="644"/>
      <c r="S4447" s="1223"/>
      <c r="T4447" s="1191"/>
      <c r="U4447" s="1232"/>
      <c r="V4447" s="48"/>
    </row>
    <row r="4448" spans="7:22">
      <c r="G4448" s="1098"/>
      <c r="H4448" s="1172"/>
      <c r="I4448" s="1332" t="s">
        <v>4836</v>
      </c>
      <c r="J4448" s="49">
        <v>44550000</v>
      </c>
      <c r="K4448" s="1495" t="s">
        <v>4835</v>
      </c>
      <c r="L4448" s="49">
        <v>1800000</v>
      </c>
      <c r="M4448" s="1495" t="s">
        <v>4839</v>
      </c>
      <c r="N4448" s="49">
        <v>720000</v>
      </c>
      <c r="O4448" s="1383" t="s">
        <v>4712</v>
      </c>
      <c r="P4448" s="644">
        <v>10000000</v>
      </c>
      <c r="Q4448" s="1290"/>
      <c r="R4448" s="1290"/>
      <c r="S4448" s="1296" t="s">
        <v>4613</v>
      </c>
      <c r="T4448" s="1191">
        <v>0</v>
      </c>
      <c r="U4448" s="48"/>
      <c r="V4448" s="49"/>
    </row>
    <row r="4449" spans="7:22">
      <c r="G4449" s="48"/>
      <c r="H4449" s="48"/>
      <c r="I4449" s="1333" t="s">
        <v>4838</v>
      </c>
      <c r="J4449" s="49">
        <v>19000000</v>
      </c>
      <c r="K4449" s="1493" t="s">
        <v>2558</v>
      </c>
      <c r="L4449" s="49">
        <v>1425000</v>
      </c>
      <c r="M4449" s="1495" t="s">
        <v>4518</v>
      </c>
      <c r="N4449" s="49">
        <v>8000000</v>
      </c>
      <c r="O4449" s="1383"/>
      <c r="P4449" s="644"/>
      <c r="Q4449" s="1303"/>
      <c r="R4449" s="644"/>
      <c r="S4449" s="1332" t="s">
        <v>4841</v>
      </c>
      <c r="T4449" s="1191">
        <v>800</v>
      </c>
      <c r="U4449" s="1287"/>
      <c r="V4449" s="1191"/>
    </row>
    <row r="4450" spans="7:22">
      <c r="G4450" s="48"/>
      <c r="H4450" s="48"/>
      <c r="I4450" s="1333" t="s">
        <v>4846</v>
      </c>
      <c r="J4450" s="49">
        <v>30000000</v>
      </c>
      <c r="K4450" s="1493" t="s">
        <v>4777</v>
      </c>
      <c r="L4450" s="49">
        <v>4500000</v>
      </c>
      <c r="M4450" s="1493" t="s">
        <v>4840</v>
      </c>
      <c r="N4450" s="49">
        <v>9500000</v>
      </c>
      <c r="O4450" s="1383"/>
      <c r="P4450" s="644"/>
      <c r="Q4450" s="1303"/>
      <c r="R4450" s="644"/>
      <c r="S4450" s="1333" t="s">
        <v>3058</v>
      </c>
      <c r="T4450" s="1320">
        <v>100</v>
      </c>
      <c r="U4450" s="1289"/>
      <c r="V4450" s="1320"/>
    </row>
    <row r="4451" spans="7:22">
      <c r="G4451" s="48"/>
      <c r="H4451" s="48"/>
      <c r="I4451" s="1333" t="s">
        <v>4847</v>
      </c>
      <c r="J4451" s="49">
        <v>36800000</v>
      </c>
      <c r="K4451" s="1493" t="s">
        <v>4837</v>
      </c>
      <c r="L4451" s="49">
        <v>1000000</v>
      </c>
      <c r="M4451" s="1493" t="s">
        <v>4841</v>
      </c>
      <c r="N4451" s="49">
        <v>33650000</v>
      </c>
      <c r="O4451" s="1383"/>
      <c r="P4451" s="644"/>
      <c r="Q4451" s="1288"/>
      <c r="R4451" s="644"/>
      <c r="S4451" s="48"/>
      <c r="T4451" s="1320"/>
      <c r="U4451" s="48"/>
      <c r="V4451" s="49"/>
    </row>
    <row r="4452" spans="7:22">
      <c r="G4452" s="48"/>
      <c r="H4452" s="48"/>
      <c r="I4452" s="1328"/>
      <c r="J4452" s="49"/>
      <c r="K4452" s="1493" t="s">
        <v>4440</v>
      </c>
      <c r="L4452" s="49">
        <v>5000000</v>
      </c>
      <c r="M4452" s="1495" t="s">
        <v>4842</v>
      </c>
      <c r="N4452" s="49">
        <v>2500000</v>
      </c>
      <c r="O4452" s="1383"/>
      <c r="P4452" s="644"/>
      <c r="Q4452" s="1302"/>
      <c r="R4452" s="644"/>
      <c r="S4452" s="48"/>
      <c r="T4452" s="1320"/>
      <c r="U4452" s="48"/>
      <c r="V4452" s="49"/>
    </row>
    <row r="4453" spans="7:22">
      <c r="G4453" s="48"/>
      <c r="H4453" s="48"/>
      <c r="I4453" s="1328"/>
      <c r="J4453" s="49"/>
      <c r="K4453" s="1493" t="s">
        <v>4844</v>
      </c>
      <c r="L4453" s="49">
        <v>2000000</v>
      </c>
      <c r="M4453" s="1495" t="s">
        <v>4843</v>
      </c>
      <c r="N4453" s="49">
        <v>20000000</v>
      </c>
      <c r="O4453" s="1383"/>
      <c r="P4453" s="644"/>
      <c r="Q4453" s="1290"/>
      <c r="R4453" s="644"/>
      <c r="S4453" s="48"/>
      <c r="T4453" s="1320"/>
      <c r="U4453" s="48"/>
      <c r="V4453" s="49"/>
    </row>
    <row r="4454" spans="7:22">
      <c r="G4454" s="48"/>
      <c r="H4454" s="48"/>
      <c r="I4454" s="1328"/>
      <c r="J4454" s="49"/>
      <c r="K4454" s="1532" t="s">
        <v>4647</v>
      </c>
      <c r="L4454" s="49">
        <v>1000000</v>
      </c>
      <c r="M4454" s="1498" t="s">
        <v>4845</v>
      </c>
      <c r="N4454" s="49">
        <v>2400000</v>
      </c>
      <c r="O4454" s="1383"/>
      <c r="P4454" s="644"/>
      <c r="Q4454" s="1291"/>
      <c r="R4454" s="644"/>
      <c r="S4454" s="48"/>
      <c r="T4454" s="1320"/>
      <c r="U4454" s="48"/>
      <c r="V4454" s="49"/>
    </row>
    <row r="4455" spans="7:22">
      <c r="G4455" s="48"/>
      <c r="H4455" s="48"/>
      <c r="I4455" s="1323"/>
      <c r="J4455" s="49"/>
      <c r="K4455" s="1495" t="s">
        <v>4473</v>
      </c>
      <c r="L4455" s="49">
        <v>200000</v>
      </c>
      <c r="M4455" s="1498" t="s">
        <v>4474</v>
      </c>
      <c r="N4455" s="49">
        <v>2000000</v>
      </c>
      <c r="O4455" s="644"/>
      <c r="P4455" s="644"/>
      <c r="Q4455" s="1290"/>
      <c r="R4455" s="644"/>
      <c r="S4455" s="48"/>
      <c r="T4455" s="1320"/>
      <c r="U4455" s="48"/>
      <c r="V4455" s="49"/>
    </row>
    <row r="4456" spans="7:22">
      <c r="G4456" s="48"/>
      <c r="H4456" s="48"/>
      <c r="I4456" s="48"/>
      <c r="J4456" s="49"/>
      <c r="K4456" s="1498" t="s">
        <v>4555</v>
      </c>
      <c r="L4456" s="49">
        <v>3000000</v>
      </c>
      <c r="M4456" s="1498"/>
      <c r="N4456" s="49"/>
      <c r="O4456" s="644"/>
      <c r="P4456" s="644"/>
      <c r="Q4456" s="1290"/>
      <c r="R4456" s="644"/>
      <c r="S4456" s="48"/>
      <c r="T4456" s="1320"/>
      <c r="U4456" s="48"/>
      <c r="V4456" s="49"/>
    </row>
    <row r="4457" spans="7:22">
      <c r="G4457" s="48"/>
      <c r="H4457" s="48"/>
      <c r="I4457" s="48"/>
      <c r="J4457" s="49"/>
      <c r="K4457" s="1495"/>
      <c r="L4457" s="49"/>
      <c r="M4457" s="1498"/>
      <c r="N4457" s="49"/>
      <c r="O4457" s="644"/>
      <c r="P4457" s="644"/>
      <c r="Q4457" s="1290"/>
      <c r="R4457" s="644"/>
      <c r="S4457" s="48"/>
      <c r="T4457" s="1320"/>
      <c r="U4457" s="48"/>
      <c r="V4457" s="48"/>
    </row>
    <row r="4458" spans="7:22">
      <c r="G4458" s="48"/>
      <c r="H4458" s="48"/>
      <c r="I4458" s="48"/>
      <c r="J4458" s="49"/>
      <c r="K4458" s="1498"/>
      <c r="L4458" s="49"/>
      <c r="M4458" s="1498"/>
      <c r="N4458" s="49"/>
      <c r="O4458" s="644"/>
      <c r="P4458" s="644"/>
      <c r="Q4458" s="1290"/>
      <c r="R4458" s="644"/>
      <c r="S4458" s="48"/>
      <c r="T4458" s="1320"/>
      <c r="U4458" s="48"/>
      <c r="V4458" s="48"/>
    </row>
    <row r="4459" spans="7:22">
      <c r="G4459" s="48"/>
      <c r="H4459" s="48"/>
      <c r="I4459" s="48"/>
      <c r="J4459" s="49"/>
      <c r="K4459" s="1498"/>
      <c r="L4459" s="49"/>
      <c r="M4459" s="1498"/>
      <c r="N4459" s="49"/>
      <c r="O4459" s="644"/>
      <c r="P4459" s="644"/>
      <c r="Q4459" s="1290"/>
      <c r="R4459" s="644"/>
      <c r="S4459" s="48"/>
      <c r="T4459" s="1320"/>
      <c r="U4459" s="48"/>
      <c r="V4459" s="48"/>
    </row>
    <row r="4460" spans="7:22">
      <c r="G4460" s="48"/>
      <c r="H4460" s="48"/>
      <c r="I4460" s="48"/>
      <c r="J4460" s="49"/>
      <c r="K4460" s="1498"/>
      <c r="L4460" s="49"/>
      <c r="M4460" s="1498"/>
      <c r="N4460" s="49"/>
      <c r="O4460" s="644"/>
      <c r="P4460" s="644"/>
      <c r="Q4460" s="1290"/>
      <c r="R4460" s="644"/>
      <c r="S4460" s="48"/>
      <c r="T4460" s="1320"/>
      <c r="U4460" s="48"/>
      <c r="V4460" s="48"/>
    </row>
    <row r="4461" spans="7:22">
      <c r="G4461" s="48"/>
      <c r="H4461" s="48"/>
      <c r="I4461" s="48"/>
      <c r="J4461" s="49"/>
      <c r="K4461" s="1498"/>
      <c r="L4461" s="49"/>
      <c r="M4461" s="1498"/>
      <c r="N4461" s="49"/>
      <c r="O4461" s="644"/>
      <c r="P4461" s="644"/>
      <c r="Q4461" s="1290"/>
      <c r="R4461" s="644"/>
      <c r="S4461" s="48"/>
      <c r="T4461" s="1320"/>
      <c r="U4461" s="48"/>
      <c r="V4461" s="48"/>
    </row>
    <row r="4462" spans="7:22">
      <c r="G4462" s="48"/>
      <c r="H4462" s="48"/>
      <c r="I4462" s="48"/>
      <c r="J4462" s="49"/>
      <c r="K4462" s="49"/>
      <c r="L4462" s="49"/>
      <c r="M4462" s="1498"/>
      <c r="N4462" s="49"/>
      <c r="O4462" s="644"/>
      <c r="P4462" s="644"/>
      <c r="Q4462" s="1290"/>
      <c r="R4462" s="644"/>
      <c r="S4462" s="48"/>
      <c r="T4462" s="1320"/>
      <c r="U4462" s="48"/>
      <c r="V4462" s="48"/>
    </row>
    <row r="4463" spans="7:22">
      <c r="G4463" s="48"/>
      <c r="H4463" s="48"/>
      <c r="I4463" s="48"/>
      <c r="J4463" s="954">
        <f>SUM(J4447:J4459)</f>
        <v>221350000</v>
      </c>
      <c r="K4463" s="954"/>
      <c r="L4463" s="954">
        <f>SUM(L4447:L4462)</f>
        <v>20425000</v>
      </c>
      <c r="M4463" s="1498"/>
      <c r="N4463" s="954">
        <f>SUM(N4447:N4462)</f>
        <v>415770000</v>
      </c>
      <c r="O4463" s="644"/>
      <c r="P4463" s="969">
        <f>SUM(P4447:P4454)</f>
        <v>10000000</v>
      </c>
      <c r="Q4463" s="969"/>
      <c r="R4463" s="969">
        <f>SUM(R4447:R4462)</f>
        <v>0</v>
      </c>
      <c r="S4463" s="48"/>
      <c r="T4463" s="1178">
        <f>SUM(T4447:T4462)</f>
        <v>900</v>
      </c>
      <c r="U4463" s="48"/>
      <c r="V4463" s="878">
        <f>SUM(V4447:V4462)</f>
        <v>0</v>
      </c>
    </row>
    <row r="4464" spans="7:22">
      <c r="T4464" s="1319"/>
    </row>
    <row r="4465" spans="7:22">
      <c r="T4465" s="1319"/>
    </row>
    <row r="4466" spans="7:22">
      <c r="R4466" s="661"/>
      <c r="T4466" s="1319"/>
    </row>
    <row r="4467" spans="7:22">
      <c r="T4467" s="1319"/>
    </row>
    <row r="4468" spans="7:22">
      <c r="T4468" s="1319"/>
    </row>
    <row r="4469" spans="7:22">
      <c r="I4469" s="946"/>
      <c r="M4469" s="1533" t="s">
        <v>3699</v>
      </c>
      <c r="O4469" s="1535" t="s">
        <v>3741</v>
      </c>
      <c r="P4469" s="1512">
        <f>P4463-R4463</f>
        <v>10000000</v>
      </c>
      <c r="S4469" s="906" t="s">
        <v>4049</v>
      </c>
      <c r="T4469" s="1107">
        <f>T4463-V4463</f>
        <v>900</v>
      </c>
    </row>
    <row r="4470" spans="7:22">
      <c r="G4470" s="1574" t="s">
        <v>3530</v>
      </c>
      <c r="H4470" s="1574"/>
      <c r="I4470" s="1574"/>
      <c r="J4470" s="3">
        <f>J4463+L4463</f>
        <v>241775000</v>
      </c>
      <c r="K4470" s="1009"/>
      <c r="L4470" s="3"/>
      <c r="M4470" s="1533" t="s">
        <v>3664</v>
      </c>
      <c r="N4470" s="1527"/>
      <c r="O4470" s="1535" t="s">
        <v>4066</v>
      </c>
      <c r="P4470" s="1512"/>
      <c r="T4470" s="1319"/>
    </row>
    <row r="4471" spans="7:22">
      <c r="G4471" s="1574" t="s">
        <v>3512</v>
      </c>
      <c r="H4471" s="1574"/>
      <c r="I4471" s="1574"/>
      <c r="J4471" s="3">
        <f>N4463-J4470</f>
        <v>173995000</v>
      </c>
      <c r="K4471" s="1009"/>
      <c r="L4471" s="3"/>
      <c r="M4471" s="1528"/>
      <c r="O4471" s="1529"/>
      <c r="Q4471" s="661"/>
      <c r="T4471" s="1319"/>
    </row>
    <row r="4472" spans="7:22">
      <c r="G4472" s="1574" t="s">
        <v>3531</v>
      </c>
      <c r="H4472" s="1574"/>
      <c r="I4472" s="1574"/>
      <c r="J4472" s="3">
        <f>T4469</f>
        <v>900</v>
      </c>
      <c r="Q4472" s="3"/>
      <c r="T4472" s="1319"/>
    </row>
    <row r="4473" spans="7:22">
      <c r="G4473" s="1564" t="s">
        <v>4455</v>
      </c>
      <c r="H4473" s="1564"/>
      <c r="I4473" s="1564"/>
      <c r="J4473" s="3">
        <f>+P4469</f>
        <v>10000000</v>
      </c>
      <c r="R4473" s="3"/>
      <c r="T4473" s="1319"/>
    </row>
    <row r="4477" spans="7:22">
      <c r="T4477" s="1324"/>
    </row>
    <row r="4478" spans="7:22">
      <c r="T4478" s="1324"/>
    </row>
    <row r="4479" spans="7:22">
      <c r="G4479" s="1008">
        <v>46081</v>
      </c>
      <c r="H4479" s="1169"/>
      <c r="I4479" s="1575" t="s">
        <v>3510</v>
      </c>
      <c r="J4479" s="1576"/>
      <c r="K4479" s="1575" t="s">
        <v>3509</v>
      </c>
      <c r="L4479" s="1576"/>
      <c r="M4479" s="1575" t="s">
        <v>3541</v>
      </c>
      <c r="N4479" s="1576"/>
      <c r="O4479" s="1577" t="s">
        <v>3598</v>
      </c>
      <c r="P4479" s="1578"/>
      <c r="Q4479" s="1579" t="s">
        <v>3599</v>
      </c>
      <c r="R4479" s="1580"/>
      <c r="S4479" s="1583" t="s">
        <v>3953</v>
      </c>
      <c r="T4479" s="1583"/>
      <c r="U4479" s="1583" t="s">
        <v>3954</v>
      </c>
      <c r="V4479" s="1583"/>
    </row>
    <row r="4480" spans="7:22">
      <c r="G4480" s="1097"/>
      <c r="H4480" s="1261"/>
      <c r="I4480" s="1331" t="s">
        <v>4849</v>
      </c>
      <c r="J4480" s="49">
        <v>27600000</v>
      </c>
      <c r="K4480" s="1495" t="s">
        <v>4852</v>
      </c>
      <c r="L4480" s="49">
        <v>3000000</v>
      </c>
      <c r="M4480" s="1495" t="s">
        <v>4613</v>
      </c>
      <c r="N4480" s="1495">
        <v>173000000</v>
      </c>
      <c r="O4480" s="1383"/>
      <c r="P4480" s="644"/>
      <c r="Q4480" s="1279"/>
      <c r="R4480" s="644"/>
      <c r="S4480" s="1223"/>
      <c r="T4480" s="1191"/>
      <c r="U4480" s="1232"/>
      <c r="V4480" s="48"/>
    </row>
    <row r="4481" spans="7:22">
      <c r="G4481" s="1098"/>
      <c r="H4481" s="1172"/>
      <c r="I4481" s="1332" t="s">
        <v>4850</v>
      </c>
      <c r="J4481" s="49">
        <v>9200000</v>
      </c>
      <c r="K4481" s="1495" t="s">
        <v>4822</v>
      </c>
      <c r="L4481" s="49">
        <v>2000000</v>
      </c>
      <c r="M4481" s="1495" t="s">
        <v>2316</v>
      </c>
      <c r="N4481" s="49">
        <v>27000000</v>
      </c>
      <c r="O4481" s="1383" t="s">
        <v>4712</v>
      </c>
      <c r="P4481" s="644">
        <v>148472000</v>
      </c>
      <c r="Q4481" s="1290"/>
      <c r="R4481" s="1290"/>
      <c r="S4481" s="1296" t="s">
        <v>4613</v>
      </c>
      <c r="T4481" s="1191">
        <v>0</v>
      </c>
      <c r="U4481" s="48"/>
      <c r="V4481" s="49"/>
    </row>
    <row r="4482" spans="7:22">
      <c r="G4482" s="48"/>
      <c r="H4482" s="48"/>
      <c r="I4482" s="1333" t="s">
        <v>4851</v>
      </c>
      <c r="J4482" s="49">
        <v>20250000</v>
      </c>
      <c r="K4482" s="1493" t="s">
        <v>4541</v>
      </c>
      <c r="L4482" s="49">
        <v>700000</v>
      </c>
      <c r="M4482" s="1495" t="s">
        <v>4848</v>
      </c>
      <c r="N4482" s="49">
        <v>5200000</v>
      </c>
      <c r="O4482" s="1383"/>
      <c r="P4482" s="644"/>
      <c r="Q4482" s="1303"/>
      <c r="R4482" s="644"/>
      <c r="S4482" s="1332" t="s">
        <v>4841</v>
      </c>
      <c r="T4482" s="1191">
        <v>800</v>
      </c>
      <c r="U4482" s="1287"/>
      <c r="V4482" s="1191"/>
    </row>
    <row r="4483" spans="7:22">
      <c r="G4483" s="48"/>
      <c r="H4483" s="48"/>
      <c r="I4483" s="1333"/>
      <c r="J4483" s="49"/>
      <c r="K4483" s="1493" t="s">
        <v>4801</v>
      </c>
      <c r="L4483" s="49">
        <v>500000</v>
      </c>
      <c r="M4483" s="1493" t="s">
        <v>4455</v>
      </c>
      <c r="N4483" s="49">
        <v>1000000</v>
      </c>
      <c r="O4483" s="1383"/>
      <c r="P4483" s="644"/>
      <c r="Q4483" s="1303"/>
      <c r="R4483" s="644"/>
      <c r="S4483" s="1333" t="s">
        <v>3058</v>
      </c>
      <c r="T4483" s="1325">
        <v>100</v>
      </c>
      <c r="U4483" s="1289"/>
      <c r="V4483" s="1325"/>
    </row>
    <row r="4484" spans="7:22">
      <c r="G4484" s="48"/>
      <c r="H4484" s="48"/>
      <c r="I4484" s="1333"/>
      <c r="J4484" s="49"/>
      <c r="K4484" s="1493" t="s">
        <v>4801</v>
      </c>
      <c r="L4484" s="49">
        <v>2500000</v>
      </c>
      <c r="M4484" s="1493" t="s">
        <v>4853</v>
      </c>
      <c r="N4484" s="49">
        <v>31000000</v>
      </c>
      <c r="O4484" s="1383"/>
      <c r="P4484" s="644"/>
      <c r="Q4484" s="1288"/>
      <c r="R4484" s="644"/>
      <c r="S4484" s="48" t="s">
        <v>2316</v>
      </c>
      <c r="T4484" s="1325">
        <v>250</v>
      </c>
      <c r="U4484" s="48"/>
      <c r="V4484" s="49"/>
    </row>
    <row r="4485" spans="7:22">
      <c r="G4485" s="48"/>
      <c r="H4485" s="48"/>
      <c r="I4485" s="1328"/>
      <c r="J4485" s="49"/>
      <c r="K4485" s="1493"/>
      <c r="L4485" s="49"/>
      <c r="M4485" s="1495"/>
      <c r="N4485" s="49"/>
      <c r="O4485" s="1383"/>
      <c r="P4485" s="644"/>
      <c r="Q4485" s="1302"/>
      <c r="R4485" s="644"/>
      <c r="S4485" s="48"/>
      <c r="T4485" s="1325"/>
      <c r="U4485" s="48"/>
      <c r="V4485" s="49"/>
    </row>
    <row r="4486" spans="7:22">
      <c r="G4486" s="48"/>
      <c r="H4486" s="48"/>
      <c r="I4486" s="1328"/>
      <c r="J4486" s="49"/>
      <c r="K4486" s="1493"/>
      <c r="L4486" s="49"/>
      <c r="M4486" s="1495"/>
      <c r="N4486" s="49"/>
      <c r="O4486" s="1383"/>
      <c r="P4486" s="644"/>
      <c r="Q4486" s="1290"/>
      <c r="R4486" s="644"/>
      <c r="S4486" s="48"/>
      <c r="T4486" s="1325"/>
      <c r="U4486" s="48"/>
      <c r="V4486" s="49"/>
    </row>
    <row r="4487" spans="7:22">
      <c r="G4487" s="48"/>
      <c r="H4487" s="48"/>
      <c r="I4487" s="1328"/>
      <c r="J4487" s="49"/>
      <c r="K4487" s="1532"/>
      <c r="L4487" s="49"/>
      <c r="M4487" s="1498"/>
      <c r="N4487" s="49"/>
      <c r="O4487" s="1383"/>
      <c r="P4487" s="644"/>
      <c r="Q4487" s="1291"/>
      <c r="R4487" s="644"/>
      <c r="S4487" s="48"/>
      <c r="T4487" s="1325"/>
      <c r="U4487" s="48"/>
      <c r="V4487" s="49"/>
    </row>
    <row r="4488" spans="7:22">
      <c r="G4488" s="48"/>
      <c r="H4488" s="48"/>
      <c r="I4488" s="1323"/>
      <c r="J4488" s="49"/>
      <c r="K4488" s="1495"/>
      <c r="L4488" s="49"/>
      <c r="M4488" s="1498"/>
      <c r="N4488" s="49"/>
      <c r="O4488" s="644"/>
      <c r="P4488" s="644"/>
      <c r="Q4488" s="1290"/>
      <c r="R4488" s="644"/>
      <c r="S4488" s="48"/>
      <c r="T4488" s="1325"/>
      <c r="U4488" s="48"/>
      <c r="V4488" s="49"/>
    </row>
    <row r="4489" spans="7:22">
      <c r="G4489" s="48"/>
      <c r="H4489" s="48"/>
      <c r="I4489" s="48"/>
      <c r="J4489" s="49"/>
      <c r="K4489" s="1498"/>
      <c r="L4489" s="49"/>
      <c r="M4489" s="1498"/>
      <c r="N4489" s="49"/>
      <c r="O4489" s="644"/>
      <c r="P4489" s="644"/>
      <c r="Q4489" s="1290"/>
      <c r="R4489" s="644"/>
      <c r="S4489" s="48"/>
      <c r="T4489" s="1325"/>
      <c r="U4489" s="48"/>
      <c r="V4489" s="49"/>
    </row>
    <row r="4490" spans="7:22">
      <c r="G4490" s="48"/>
      <c r="H4490" s="48"/>
      <c r="I4490" s="48"/>
      <c r="J4490" s="49"/>
      <c r="K4490" s="1495"/>
      <c r="L4490" s="49"/>
      <c r="M4490" s="1498"/>
      <c r="N4490" s="49"/>
      <c r="O4490" s="644"/>
      <c r="P4490" s="644"/>
      <c r="Q4490" s="1290"/>
      <c r="R4490" s="644"/>
      <c r="S4490" s="48"/>
      <c r="T4490" s="1325"/>
      <c r="U4490" s="48"/>
      <c r="V4490" s="48"/>
    </row>
    <row r="4491" spans="7:22">
      <c r="G4491" s="48"/>
      <c r="H4491" s="48"/>
      <c r="I4491" s="48"/>
      <c r="J4491" s="49"/>
      <c r="K4491" s="1498"/>
      <c r="L4491" s="49"/>
      <c r="M4491" s="1498"/>
      <c r="N4491" s="49"/>
      <c r="O4491" s="644"/>
      <c r="P4491" s="644"/>
      <c r="Q4491" s="1290"/>
      <c r="R4491" s="644"/>
      <c r="S4491" s="48"/>
      <c r="T4491" s="1325"/>
      <c r="U4491" s="48"/>
      <c r="V4491" s="48"/>
    </row>
    <row r="4492" spans="7:22">
      <c r="G4492" s="48"/>
      <c r="H4492" s="48"/>
      <c r="I4492" s="48"/>
      <c r="J4492" s="49"/>
      <c r="K4492" s="1498"/>
      <c r="L4492" s="49"/>
      <c r="M4492" s="1498"/>
      <c r="N4492" s="49"/>
      <c r="O4492" s="644"/>
      <c r="P4492" s="644"/>
      <c r="Q4492" s="1290"/>
      <c r="R4492" s="644"/>
      <c r="S4492" s="48"/>
      <c r="T4492" s="1325"/>
      <c r="U4492" s="48"/>
      <c r="V4492" s="48"/>
    </row>
    <row r="4493" spans="7:22">
      <c r="G4493" s="48"/>
      <c r="H4493" s="48"/>
      <c r="I4493" s="48"/>
      <c r="J4493" s="49"/>
      <c r="K4493" s="1498"/>
      <c r="L4493" s="49"/>
      <c r="M4493" s="1498"/>
      <c r="N4493" s="49"/>
      <c r="O4493" s="644"/>
      <c r="P4493" s="644"/>
      <c r="Q4493" s="1290"/>
      <c r="R4493" s="644"/>
      <c r="S4493" s="48"/>
      <c r="T4493" s="1325"/>
      <c r="U4493" s="48"/>
      <c r="V4493" s="48"/>
    </row>
    <row r="4494" spans="7:22">
      <c r="G4494" s="48"/>
      <c r="H4494" s="48"/>
      <c r="I4494" s="48"/>
      <c r="J4494" s="49"/>
      <c r="K4494" s="1498"/>
      <c r="L4494" s="49"/>
      <c r="M4494" s="1498"/>
      <c r="N4494" s="49"/>
      <c r="O4494" s="644"/>
      <c r="P4494" s="644"/>
      <c r="Q4494" s="1290"/>
      <c r="R4494" s="644"/>
      <c r="S4494" s="48"/>
      <c r="T4494" s="1325"/>
      <c r="U4494" s="48"/>
      <c r="V4494" s="48"/>
    </row>
    <row r="4495" spans="7:22">
      <c r="G4495" s="48"/>
      <c r="H4495" s="48"/>
      <c r="I4495" s="48"/>
      <c r="J4495" s="49"/>
      <c r="K4495" s="49"/>
      <c r="L4495" s="49"/>
      <c r="M4495" s="1498"/>
      <c r="N4495" s="49"/>
      <c r="O4495" s="644"/>
      <c r="P4495" s="644"/>
      <c r="Q4495" s="1290"/>
      <c r="R4495" s="644"/>
      <c r="S4495" s="48"/>
      <c r="T4495" s="1325"/>
      <c r="U4495" s="48"/>
      <c r="V4495" s="48"/>
    </row>
    <row r="4496" spans="7:22">
      <c r="G4496" s="48"/>
      <c r="H4496" s="48"/>
      <c r="I4496" s="48"/>
      <c r="J4496" s="954">
        <f>SUM(J4480:J4492)</f>
        <v>57050000</v>
      </c>
      <c r="K4496" s="954"/>
      <c r="L4496" s="954">
        <f>SUM(L4480:L4495)</f>
        <v>8700000</v>
      </c>
      <c r="M4496" s="1498"/>
      <c r="N4496" s="954">
        <f>SUM(N4480:N4495)</f>
        <v>237200000</v>
      </c>
      <c r="O4496" s="644"/>
      <c r="P4496" s="969">
        <f>SUM(P4480:P4487)</f>
        <v>148472000</v>
      </c>
      <c r="Q4496" s="969"/>
      <c r="R4496" s="969">
        <f>SUM(R4480:R4495)</f>
        <v>0</v>
      </c>
      <c r="S4496" s="48"/>
      <c r="T4496" s="1178">
        <f>SUM(T4480:T4495)</f>
        <v>1150</v>
      </c>
      <c r="U4496" s="48"/>
      <c r="V4496" s="878">
        <f>SUM(V4480:V4495)</f>
        <v>0</v>
      </c>
    </row>
    <row r="4497" spans="7:22">
      <c r="T4497" s="1324"/>
    </row>
    <row r="4498" spans="7:22">
      <c r="T4498" s="1324"/>
    </row>
    <row r="4499" spans="7:22">
      <c r="R4499" s="661"/>
      <c r="T4499" s="1324"/>
    </row>
    <row r="4500" spans="7:22">
      <c r="T4500" s="1324"/>
    </row>
    <row r="4501" spans="7:22">
      <c r="T4501" s="1324"/>
    </row>
    <row r="4502" spans="7:22">
      <c r="I4502" s="946"/>
      <c r="M4502" s="1533" t="s">
        <v>3699</v>
      </c>
      <c r="O4502" s="1535" t="s">
        <v>3741</v>
      </c>
      <c r="P4502" s="1512">
        <f>P4496-R4496</f>
        <v>148472000</v>
      </c>
      <c r="S4502" s="906" t="s">
        <v>4049</v>
      </c>
      <c r="T4502" s="1107">
        <f>T4496-V4496</f>
        <v>1150</v>
      </c>
    </row>
    <row r="4503" spans="7:22">
      <c r="G4503" s="1574" t="s">
        <v>3530</v>
      </c>
      <c r="H4503" s="1574"/>
      <c r="I4503" s="1574"/>
      <c r="J4503" s="3">
        <f>J4496+L4496</f>
        <v>65750000</v>
      </c>
      <c r="K4503" s="1009"/>
      <c r="L4503" s="3"/>
      <c r="M4503" s="1533" t="s">
        <v>3664</v>
      </c>
      <c r="N4503" s="1527"/>
      <c r="O4503" s="1535" t="s">
        <v>4066</v>
      </c>
      <c r="P4503" s="1512"/>
      <c r="T4503" s="1324"/>
    </row>
    <row r="4504" spans="7:22">
      <c r="G4504" s="1574" t="s">
        <v>3512</v>
      </c>
      <c r="H4504" s="1574"/>
      <c r="I4504" s="1574"/>
      <c r="J4504" s="3">
        <f>N4496-J4503</f>
        <v>171450000</v>
      </c>
      <c r="K4504" s="1009"/>
      <c r="L4504" s="3"/>
      <c r="M4504" s="1528"/>
      <c r="O4504" s="1529"/>
      <c r="Q4504" s="661"/>
      <c r="T4504" s="1324"/>
    </row>
    <row r="4505" spans="7:22">
      <c r="G4505" s="1574" t="s">
        <v>3531</v>
      </c>
      <c r="H4505" s="1574"/>
      <c r="I4505" s="1574"/>
      <c r="J4505" s="3">
        <f>T4502</f>
        <v>1150</v>
      </c>
      <c r="Q4505" s="3"/>
      <c r="T4505" s="1324"/>
    </row>
    <row r="4506" spans="7:22">
      <c r="G4506" s="1564" t="s">
        <v>4455</v>
      </c>
      <c r="H4506" s="1564"/>
      <c r="I4506" s="1564"/>
      <c r="J4506" s="3">
        <f>+P4502</f>
        <v>148472000</v>
      </c>
      <c r="R4506" s="3"/>
      <c r="T4506" s="1324"/>
    </row>
    <row r="4507" spans="7:22">
      <c r="T4507" s="1324"/>
    </row>
    <row r="4508" spans="7:22">
      <c r="T4508" s="1324"/>
    </row>
    <row r="4509" spans="7:22">
      <c r="T4509" s="1329"/>
    </row>
    <row r="4510" spans="7:22">
      <c r="T4510" s="1329"/>
    </row>
    <row r="4511" spans="7:22">
      <c r="G4511" s="1008">
        <v>46083</v>
      </c>
      <c r="H4511" s="1169"/>
      <c r="I4511" s="1575" t="s">
        <v>3510</v>
      </c>
      <c r="J4511" s="1576"/>
      <c r="K4511" s="1575" t="s">
        <v>3509</v>
      </c>
      <c r="L4511" s="1576"/>
      <c r="M4511" s="1575" t="s">
        <v>3541</v>
      </c>
      <c r="N4511" s="1576"/>
      <c r="O4511" s="1577" t="s">
        <v>3598</v>
      </c>
      <c r="P4511" s="1578"/>
      <c r="Q4511" s="1579" t="s">
        <v>3599</v>
      </c>
      <c r="R4511" s="1580"/>
      <c r="S4511" s="1583" t="s">
        <v>3953</v>
      </c>
      <c r="T4511" s="1583"/>
      <c r="U4511" s="1583" t="s">
        <v>3954</v>
      </c>
      <c r="V4511" s="1583"/>
    </row>
    <row r="4512" spans="7:22">
      <c r="G4512" s="1097"/>
      <c r="H4512" s="1261"/>
      <c r="I4512" s="1337" t="s">
        <v>4856</v>
      </c>
      <c r="J4512" s="49">
        <v>41400000</v>
      </c>
      <c r="K4512" s="1495"/>
      <c r="L4512" s="49"/>
      <c r="M4512" s="1495" t="s">
        <v>4613</v>
      </c>
      <c r="N4512" s="1495">
        <v>300500000</v>
      </c>
      <c r="O4512" s="1383"/>
      <c r="P4512" s="644"/>
      <c r="Q4512" s="1279"/>
      <c r="R4512" s="644"/>
      <c r="S4512" s="1223"/>
      <c r="T4512" s="1191"/>
      <c r="U4512" s="1232"/>
      <c r="V4512" s="48"/>
    </row>
    <row r="4513" spans="7:22">
      <c r="G4513" s="1098"/>
      <c r="H4513" s="1172"/>
      <c r="I4513" s="1332"/>
      <c r="J4513" s="49"/>
      <c r="K4513" s="1495" t="s">
        <v>4855</v>
      </c>
      <c r="L4513" s="49">
        <v>1000000</v>
      </c>
      <c r="M4513" s="1495" t="s">
        <v>4857</v>
      </c>
      <c r="N4513" s="49">
        <v>16200000</v>
      </c>
      <c r="O4513" s="1383" t="s">
        <v>4712</v>
      </c>
      <c r="P4513" s="644">
        <v>146500000</v>
      </c>
      <c r="Q4513" s="1290"/>
      <c r="R4513" s="1290"/>
      <c r="S4513" s="1296" t="s">
        <v>4613</v>
      </c>
      <c r="T4513" s="1191">
        <v>2800</v>
      </c>
      <c r="U4513" s="48"/>
      <c r="V4513" s="49"/>
    </row>
    <row r="4514" spans="7:22">
      <c r="G4514" s="48"/>
      <c r="H4514" s="48"/>
      <c r="I4514" s="1333"/>
      <c r="J4514" s="49"/>
      <c r="K4514" s="1493" t="s">
        <v>4736</v>
      </c>
      <c r="L4514" s="49">
        <v>2000000</v>
      </c>
      <c r="M4514" s="1495"/>
      <c r="N4514" s="49"/>
      <c r="O4514" s="1383"/>
      <c r="P4514" s="644"/>
      <c r="Q4514" s="1336" t="s">
        <v>4854</v>
      </c>
      <c r="R4514" s="644">
        <v>3000000</v>
      </c>
      <c r="S4514" s="1332"/>
      <c r="T4514" s="1191">
        <v>3100</v>
      </c>
      <c r="U4514" s="1287"/>
      <c r="V4514" s="1191"/>
    </row>
    <row r="4515" spans="7:22">
      <c r="G4515" s="48"/>
      <c r="H4515" s="48"/>
      <c r="I4515" s="1333"/>
      <c r="J4515" s="49"/>
      <c r="K4515" s="1493" t="s">
        <v>4647</v>
      </c>
      <c r="L4515" s="49">
        <v>4000000</v>
      </c>
      <c r="M4515" s="1493"/>
      <c r="N4515" s="49"/>
      <c r="O4515" s="1383"/>
      <c r="P4515" s="644"/>
      <c r="Q4515" s="1303"/>
      <c r="R4515" s="644"/>
      <c r="S4515" s="1333"/>
      <c r="T4515" s="1330"/>
      <c r="U4515" s="1289"/>
      <c r="V4515" s="1330"/>
    </row>
    <row r="4516" spans="7:22">
      <c r="G4516" s="48"/>
      <c r="H4516" s="48"/>
      <c r="I4516" s="1333"/>
      <c r="J4516" s="49"/>
      <c r="K4516" s="1493"/>
      <c r="L4516" s="49"/>
      <c r="M4516" s="1493"/>
      <c r="N4516" s="49"/>
      <c r="O4516" s="1383"/>
      <c r="P4516" s="644"/>
      <c r="Q4516" s="1288"/>
      <c r="R4516" s="644"/>
      <c r="S4516" s="48"/>
      <c r="T4516" s="1330"/>
      <c r="U4516" s="48"/>
      <c r="V4516" s="49"/>
    </row>
    <row r="4517" spans="7:22">
      <c r="G4517" s="48"/>
      <c r="H4517" s="48"/>
      <c r="I4517" s="1328"/>
      <c r="J4517" s="49"/>
      <c r="K4517" s="1493"/>
      <c r="L4517" s="49"/>
      <c r="M4517" s="1495"/>
      <c r="N4517" s="49"/>
      <c r="O4517" s="1383"/>
      <c r="P4517" s="644"/>
      <c r="Q4517" s="1302"/>
      <c r="R4517" s="644"/>
      <c r="S4517" s="48"/>
      <c r="T4517" s="1330"/>
      <c r="U4517" s="48"/>
      <c r="V4517" s="49"/>
    </row>
    <row r="4518" spans="7:22">
      <c r="G4518" s="48"/>
      <c r="H4518" s="48"/>
      <c r="I4518" s="1328"/>
      <c r="J4518" s="49"/>
      <c r="K4518" s="1493"/>
      <c r="L4518" s="49"/>
      <c r="M4518" s="1495"/>
      <c r="N4518" s="49"/>
      <c r="O4518" s="1383"/>
      <c r="P4518" s="644"/>
      <c r="Q4518" s="1290"/>
      <c r="R4518" s="644"/>
      <c r="S4518" s="48"/>
      <c r="T4518" s="1330"/>
      <c r="U4518" s="48"/>
      <c r="V4518" s="49"/>
    </row>
    <row r="4519" spans="7:22">
      <c r="G4519" s="48"/>
      <c r="H4519" s="48"/>
      <c r="I4519" s="1328"/>
      <c r="J4519" s="49"/>
      <c r="K4519" s="1532"/>
      <c r="L4519" s="49"/>
      <c r="M4519" s="1498"/>
      <c r="N4519" s="49"/>
      <c r="O4519" s="1383"/>
      <c r="P4519" s="644"/>
      <c r="Q4519" s="1291"/>
      <c r="R4519" s="644"/>
      <c r="S4519" s="48"/>
      <c r="T4519" s="1330"/>
      <c r="U4519" s="48"/>
      <c r="V4519" s="49"/>
    </row>
    <row r="4520" spans="7:22">
      <c r="G4520" s="48"/>
      <c r="H4520" s="48"/>
      <c r="I4520" s="1323"/>
      <c r="J4520" s="49"/>
      <c r="K4520" s="1495"/>
      <c r="L4520" s="49"/>
      <c r="M4520" s="1498"/>
      <c r="N4520" s="49"/>
      <c r="O4520" s="644"/>
      <c r="P4520" s="644"/>
      <c r="Q4520" s="1290"/>
      <c r="R4520" s="644"/>
      <c r="S4520" s="48"/>
      <c r="T4520" s="1330"/>
      <c r="U4520" s="48"/>
      <c r="V4520" s="49"/>
    </row>
    <row r="4521" spans="7:22">
      <c r="G4521" s="48"/>
      <c r="H4521" s="48"/>
      <c r="I4521" s="48"/>
      <c r="J4521" s="49"/>
      <c r="K4521" s="1498"/>
      <c r="L4521" s="49"/>
      <c r="M4521" s="1498"/>
      <c r="N4521" s="49"/>
      <c r="O4521" s="644"/>
      <c r="P4521" s="644"/>
      <c r="Q4521" s="1290"/>
      <c r="R4521" s="644"/>
      <c r="S4521" s="48"/>
      <c r="T4521" s="1330"/>
      <c r="U4521" s="48"/>
      <c r="V4521" s="49"/>
    </row>
    <row r="4522" spans="7:22">
      <c r="G4522" s="48"/>
      <c r="H4522" s="48"/>
      <c r="I4522" s="48"/>
      <c r="J4522" s="49"/>
      <c r="K4522" s="1495"/>
      <c r="L4522" s="49"/>
      <c r="M4522" s="1498"/>
      <c r="N4522" s="49"/>
      <c r="O4522" s="644"/>
      <c r="P4522" s="644"/>
      <c r="Q4522" s="1290"/>
      <c r="R4522" s="644"/>
      <c r="S4522" s="48"/>
      <c r="T4522" s="1330"/>
      <c r="U4522" s="48"/>
      <c r="V4522" s="48"/>
    </row>
    <row r="4523" spans="7:22">
      <c r="G4523" s="48"/>
      <c r="H4523" s="48"/>
      <c r="I4523" s="48"/>
      <c r="J4523" s="49"/>
      <c r="K4523" s="1498"/>
      <c r="L4523" s="49"/>
      <c r="M4523" s="1498"/>
      <c r="N4523" s="49"/>
      <c r="O4523" s="644"/>
      <c r="P4523" s="644"/>
      <c r="Q4523" s="1290"/>
      <c r="R4523" s="644"/>
      <c r="S4523" s="48"/>
      <c r="T4523" s="1330"/>
      <c r="U4523" s="48"/>
      <c r="V4523" s="48"/>
    </row>
    <row r="4524" spans="7:22">
      <c r="G4524" s="48"/>
      <c r="H4524" s="48"/>
      <c r="I4524" s="48"/>
      <c r="J4524" s="49"/>
      <c r="K4524" s="1498"/>
      <c r="L4524" s="49"/>
      <c r="M4524" s="1498"/>
      <c r="N4524" s="49"/>
      <c r="O4524" s="644"/>
      <c r="P4524" s="644"/>
      <c r="Q4524" s="1290"/>
      <c r="R4524" s="644"/>
      <c r="S4524" s="48"/>
      <c r="T4524" s="1330"/>
      <c r="U4524" s="48"/>
      <c r="V4524" s="48"/>
    </row>
    <row r="4525" spans="7:22">
      <c r="G4525" s="48"/>
      <c r="H4525" s="48"/>
      <c r="I4525" s="48"/>
      <c r="J4525" s="49"/>
      <c r="K4525" s="1498"/>
      <c r="L4525" s="49"/>
      <c r="M4525" s="1498"/>
      <c r="N4525" s="49"/>
      <c r="O4525" s="644"/>
      <c r="P4525" s="644"/>
      <c r="Q4525" s="1290"/>
      <c r="R4525" s="644"/>
      <c r="S4525" s="48"/>
      <c r="T4525" s="1330"/>
      <c r="U4525" s="48"/>
      <c r="V4525" s="48"/>
    </row>
    <row r="4526" spans="7:22">
      <c r="G4526" s="48"/>
      <c r="H4526" s="48"/>
      <c r="I4526" s="48"/>
      <c r="J4526" s="49"/>
      <c r="K4526" s="1498"/>
      <c r="L4526" s="49"/>
      <c r="M4526" s="1498"/>
      <c r="N4526" s="49"/>
      <c r="O4526" s="644"/>
      <c r="P4526" s="644"/>
      <c r="Q4526" s="1290"/>
      <c r="R4526" s="644"/>
      <c r="S4526" s="48"/>
      <c r="T4526" s="1330"/>
      <c r="U4526" s="48"/>
      <c r="V4526" s="48"/>
    </row>
    <row r="4527" spans="7:22">
      <c r="G4527" s="48"/>
      <c r="H4527" s="48"/>
      <c r="I4527" s="48"/>
      <c r="J4527" s="49"/>
      <c r="K4527" s="49"/>
      <c r="L4527" s="49"/>
      <c r="M4527" s="1498"/>
      <c r="N4527" s="49"/>
      <c r="O4527" s="644"/>
      <c r="P4527" s="644"/>
      <c r="Q4527" s="1290"/>
      <c r="R4527" s="644"/>
      <c r="S4527" s="48"/>
      <c r="T4527" s="1330"/>
      <c r="U4527" s="48"/>
      <c r="V4527" s="48"/>
    </row>
    <row r="4528" spans="7:22">
      <c r="G4528" s="48"/>
      <c r="H4528" s="48"/>
      <c r="I4528" s="48"/>
      <c r="J4528" s="954">
        <f>SUM(J4512:J4524)</f>
        <v>41400000</v>
      </c>
      <c r="K4528" s="954"/>
      <c r="L4528" s="954">
        <f>SUM(L4512:L4527)</f>
        <v>7000000</v>
      </c>
      <c r="M4528" s="1498"/>
      <c r="N4528" s="954">
        <f>SUM(N4512:N4527)</f>
        <v>316700000</v>
      </c>
      <c r="O4528" s="644"/>
      <c r="P4528" s="969">
        <f>SUM(P4512:P4519)</f>
        <v>146500000</v>
      </c>
      <c r="Q4528" s="969"/>
      <c r="R4528" s="969">
        <f>SUM(R4512:R4527)</f>
        <v>3000000</v>
      </c>
      <c r="S4528" s="48"/>
      <c r="T4528" s="1178">
        <f>SUM(T4512:T4527)</f>
        <v>5900</v>
      </c>
      <c r="U4528" s="48"/>
      <c r="V4528" s="878">
        <f>SUM(V4512:V4527)</f>
        <v>0</v>
      </c>
    </row>
    <row r="4529" spans="7:22">
      <c r="T4529" s="1329"/>
    </row>
    <row r="4530" spans="7:22">
      <c r="T4530" s="1329"/>
    </row>
    <row r="4531" spans="7:22">
      <c r="R4531" s="661"/>
      <c r="T4531" s="1329"/>
    </row>
    <row r="4532" spans="7:22">
      <c r="T4532" s="1329"/>
    </row>
    <row r="4533" spans="7:22">
      <c r="T4533" s="1329"/>
    </row>
    <row r="4534" spans="7:22">
      <c r="I4534" s="946"/>
      <c r="M4534" s="1533" t="s">
        <v>3699</v>
      </c>
      <c r="O4534" s="1535" t="s">
        <v>3741</v>
      </c>
      <c r="P4534" s="1512">
        <f>P4528-R4528</f>
        <v>143500000</v>
      </c>
      <c r="S4534" s="906" t="s">
        <v>4049</v>
      </c>
      <c r="T4534" s="1107">
        <f>T4528-V4528</f>
        <v>5900</v>
      </c>
    </row>
    <row r="4535" spans="7:22">
      <c r="G4535" s="1574" t="s">
        <v>3530</v>
      </c>
      <c r="H4535" s="1574"/>
      <c r="I4535" s="1574"/>
      <c r="J4535" s="3">
        <f>J4528+L4528</f>
        <v>48400000</v>
      </c>
      <c r="K4535" s="1009"/>
      <c r="L4535" s="3"/>
      <c r="M4535" s="1533" t="s">
        <v>3664</v>
      </c>
      <c r="N4535" s="1527"/>
      <c r="O4535" s="1535" t="s">
        <v>4066</v>
      </c>
      <c r="P4535" s="1512"/>
      <c r="T4535" s="1329"/>
    </row>
    <row r="4536" spans="7:22">
      <c r="G4536" s="1574" t="s">
        <v>3512</v>
      </c>
      <c r="H4536" s="1574"/>
      <c r="I4536" s="1574"/>
      <c r="J4536" s="3">
        <f>N4528-J4535</f>
        <v>268300000</v>
      </c>
      <c r="K4536" s="1009"/>
      <c r="L4536" s="3"/>
      <c r="M4536" s="1528"/>
      <c r="O4536" s="1529"/>
      <c r="Q4536" s="661"/>
      <c r="T4536" s="1329"/>
    </row>
    <row r="4537" spans="7:22">
      <c r="G4537" s="1574" t="s">
        <v>3531</v>
      </c>
      <c r="H4537" s="1574"/>
      <c r="I4537" s="1574"/>
      <c r="J4537" s="3">
        <f>T4534</f>
        <v>5900</v>
      </c>
      <c r="Q4537" s="3"/>
      <c r="T4537" s="1329"/>
    </row>
    <row r="4538" spans="7:22">
      <c r="G4538" s="1564" t="s">
        <v>4455</v>
      </c>
      <c r="H4538" s="1564"/>
      <c r="I4538" s="1564"/>
      <c r="J4538" s="3">
        <f>+P4534</f>
        <v>143500000</v>
      </c>
      <c r="R4538" s="3"/>
      <c r="T4538" s="1329"/>
    </row>
    <row r="4539" spans="7:22">
      <c r="T4539" s="1329"/>
    </row>
    <row r="4542" spans="7:22">
      <c r="T4542" s="1329"/>
    </row>
    <row r="4543" spans="7:22">
      <c r="T4543" s="1329"/>
    </row>
    <row r="4544" spans="7:22">
      <c r="G4544" s="1008">
        <v>46084</v>
      </c>
      <c r="H4544" s="1169"/>
      <c r="I4544" s="1575" t="s">
        <v>3510</v>
      </c>
      <c r="J4544" s="1576"/>
      <c r="K4544" s="1575" t="s">
        <v>3509</v>
      </c>
      <c r="L4544" s="1576"/>
      <c r="M4544" s="1575" t="s">
        <v>3541</v>
      </c>
      <c r="N4544" s="1576"/>
      <c r="O4544" s="1577" t="s">
        <v>3598</v>
      </c>
      <c r="P4544" s="1578"/>
      <c r="Q4544" s="1579" t="s">
        <v>3599</v>
      </c>
      <c r="R4544" s="1580"/>
      <c r="S4544" s="1583" t="s">
        <v>3953</v>
      </c>
      <c r="T4544" s="1583"/>
      <c r="U4544" s="1583" t="s">
        <v>3954</v>
      </c>
      <c r="V4544" s="1583"/>
    </row>
    <row r="4545" spans="7:22">
      <c r="G4545" s="1097"/>
      <c r="H4545" s="1261"/>
      <c r="I4545" s="1337" t="s">
        <v>4859</v>
      </c>
      <c r="J4545" s="49">
        <v>28050000</v>
      </c>
      <c r="K4545" s="1495" t="s">
        <v>4862</v>
      </c>
      <c r="L4545" s="49">
        <v>140000000</v>
      </c>
      <c r="M4545" s="1495" t="s">
        <v>4613</v>
      </c>
      <c r="N4545" s="1495">
        <v>402200000</v>
      </c>
      <c r="O4545" s="1383"/>
      <c r="P4545" s="644"/>
      <c r="Q4545" s="1279"/>
      <c r="R4545" s="644"/>
      <c r="S4545" s="1223"/>
      <c r="T4545" s="1191"/>
      <c r="U4545" s="1232"/>
      <c r="V4545" s="48"/>
    </row>
    <row r="4546" spans="7:22">
      <c r="G4546" s="1098"/>
      <c r="H4546" s="1172"/>
      <c r="I4546" s="1338" t="s">
        <v>4860</v>
      </c>
      <c r="J4546" s="49">
        <v>92000000</v>
      </c>
      <c r="K4546" s="1493" t="s">
        <v>4777</v>
      </c>
      <c r="L4546" s="49">
        <v>1300000</v>
      </c>
      <c r="M4546" s="1495" t="s">
        <v>4861</v>
      </c>
      <c r="N4546" s="49">
        <v>4000000</v>
      </c>
      <c r="O4546" s="1383" t="s">
        <v>4712</v>
      </c>
      <c r="P4546" s="644">
        <v>141400000</v>
      </c>
      <c r="Q4546" s="1290"/>
      <c r="R4546" s="1290"/>
      <c r="S4546" s="1296" t="s">
        <v>4613</v>
      </c>
      <c r="T4546" s="1191">
        <v>5900</v>
      </c>
      <c r="U4546" s="48"/>
      <c r="V4546" s="49"/>
    </row>
    <row r="4547" spans="7:22">
      <c r="G4547" s="48"/>
      <c r="H4547" s="48"/>
      <c r="I4547" s="1339" t="s">
        <v>4863</v>
      </c>
      <c r="J4547" s="49">
        <v>44640000</v>
      </c>
      <c r="K4547" s="49" t="s">
        <v>1129</v>
      </c>
      <c r="L4547" s="49">
        <v>3000000</v>
      </c>
      <c r="M4547" s="1495" t="s">
        <v>3537</v>
      </c>
      <c r="N4547" s="49">
        <v>16000000</v>
      </c>
      <c r="O4547" s="1383"/>
      <c r="P4547" s="644"/>
      <c r="Q4547" s="1336" t="s">
        <v>4858</v>
      </c>
      <c r="R4547" s="644">
        <v>5100000</v>
      </c>
      <c r="S4547" s="1332"/>
      <c r="T4547" s="1191"/>
      <c r="U4547" s="1287"/>
      <c r="V4547" s="1191"/>
    </row>
    <row r="4548" spans="7:22">
      <c r="G4548" s="48"/>
      <c r="H4548" s="48"/>
      <c r="I4548" s="1339" t="s">
        <v>4864</v>
      </c>
      <c r="J4548" s="49">
        <v>30690000</v>
      </c>
      <c r="K4548" s="1493" t="s">
        <v>4867</v>
      </c>
      <c r="L4548" s="49">
        <v>2500000</v>
      </c>
      <c r="M4548" s="1493"/>
      <c r="N4548" s="49"/>
      <c r="O4548" s="1383"/>
      <c r="P4548" s="644"/>
      <c r="Q4548" s="1303"/>
      <c r="R4548" s="644"/>
      <c r="S4548" s="1333"/>
      <c r="T4548" s="1330"/>
      <c r="U4548" s="1289"/>
      <c r="V4548" s="1330"/>
    </row>
    <row r="4549" spans="7:22">
      <c r="G4549" s="48"/>
      <c r="H4549" s="48"/>
      <c r="I4549" s="1339" t="s">
        <v>4865</v>
      </c>
      <c r="J4549" s="49">
        <v>37200000</v>
      </c>
      <c r="K4549" s="1493"/>
      <c r="L4549" s="49"/>
      <c r="M4549" s="49"/>
      <c r="N4549" s="49"/>
      <c r="O4549" s="1383"/>
      <c r="P4549" s="644"/>
      <c r="Q4549" s="1288"/>
      <c r="R4549" s="644"/>
      <c r="S4549" s="48"/>
      <c r="T4549" s="1330"/>
      <c r="U4549" s="48"/>
      <c r="V4549" s="49"/>
    </row>
    <row r="4550" spans="7:22">
      <c r="G4550" s="48"/>
      <c r="H4550" s="48"/>
      <c r="I4550" s="1339" t="s">
        <v>4866</v>
      </c>
      <c r="J4550" s="49">
        <v>18400000</v>
      </c>
      <c r="K4550" s="1493"/>
      <c r="L4550" s="49"/>
      <c r="M4550" s="1495"/>
      <c r="N4550" s="49"/>
      <c r="O4550" s="1383"/>
      <c r="P4550" s="644"/>
      <c r="Q4550" s="1302"/>
      <c r="R4550" s="644"/>
      <c r="S4550" s="48"/>
      <c r="T4550" s="1330"/>
      <c r="U4550" s="48"/>
      <c r="V4550" s="49"/>
    </row>
    <row r="4551" spans="7:22">
      <c r="G4551" s="48"/>
      <c r="H4551" s="48"/>
      <c r="I4551" s="1339"/>
      <c r="J4551" s="49"/>
      <c r="K4551" s="1493"/>
      <c r="L4551" s="49"/>
      <c r="M4551" s="1495"/>
      <c r="N4551" s="49"/>
      <c r="O4551" s="1383"/>
      <c r="P4551" s="644"/>
      <c r="Q4551" s="1290"/>
      <c r="R4551" s="644"/>
      <c r="S4551" s="48"/>
      <c r="T4551" s="1330"/>
      <c r="U4551" s="48"/>
      <c r="V4551" s="49"/>
    </row>
    <row r="4552" spans="7:22">
      <c r="G4552" s="48"/>
      <c r="H4552" s="48"/>
      <c r="I4552" s="1328"/>
      <c r="J4552" s="49"/>
      <c r="K4552" s="1532"/>
      <c r="L4552" s="49"/>
      <c r="M4552" s="1498"/>
      <c r="N4552" s="49"/>
      <c r="O4552" s="1383"/>
      <c r="P4552" s="644"/>
      <c r="Q4552" s="1291"/>
      <c r="R4552" s="644"/>
      <c r="S4552" s="48"/>
      <c r="T4552" s="1330"/>
      <c r="U4552" s="48"/>
      <c r="V4552" s="49"/>
    </row>
    <row r="4553" spans="7:22">
      <c r="G4553" s="48"/>
      <c r="H4553" s="48"/>
      <c r="I4553" s="1323"/>
      <c r="J4553" s="49"/>
      <c r="K4553" s="1495"/>
      <c r="L4553" s="49"/>
      <c r="M4553" s="1498"/>
      <c r="N4553" s="49"/>
      <c r="O4553" s="644"/>
      <c r="P4553" s="644"/>
      <c r="Q4553" s="1290"/>
      <c r="R4553" s="644"/>
      <c r="S4553" s="48"/>
      <c r="T4553" s="1330"/>
      <c r="U4553" s="48"/>
      <c r="V4553" s="49"/>
    </row>
    <row r="4554" spans="7:22">
      <c r="G4554" s="48"/>
      <c r="H4554" s="48"/>
      <c r="I4554" s="48"/>
      <c r="J4554" s="49"/>
      <c r="K4554" s="1498"/>
      <c r="L4554" s="49"/>
      <c r="M4554" s="1498"/>
      <c r="N4554" s="49"/>
      <c r="O4554" s="644"/>
      <c r="P4554" s="644"/>
      <c r="Q4554" s="1290"/>
      <c r="R4554" s="644"/>
      <c r="S4554" s="48"/>
      <c r="T4554" s="1330"/>
      <c r="U4554" s="48"/>
      <c r="V4554" s="49"/>
    </row>
    <row r="4555" spans="7:22">
      <c r="G4555" s="48"/>
      <c r="H4555" s="48"/>
      <c r="I4555" s="48"/>
      <c r="J4555" s="49"/>
      <c r="K4555" s="1495"/>
      <c r="L4555" s="49"/>
      <c r="M4555" s="1498"/>
      <c r="N4555" s="49"/>
      <c r="O4555" s="644"/>
      <c r="P4555" s="644"/>
      <c r="Q4555" s="1290"/>
      <c r="R4555" s="644"/>
      <c r="S4555" s="48"/>
      <c r="T4555" s="1330"/>
      <c r="U4555" s="48"/>
      <c r="V4555" s="48"/>
    </row>
    <row r="4556" spans="7:22">
      <c r="G4556" s="48"/>
      <c r="H4556" s="48"/>
      <c r="I4556" s="48"/>
      <c r="J4556" s="49"/>
      <c r="K4556" s="1498"/>
      <c r="L4556" s="49"/>
      <c r="M4556" s="1498"/>
      <c r="N4556" s="49"/>
      <c r="O4556" s="644"/>
      <c r="P4556" s="644"/>
      <c r="Q4556" s="1290"/>
      <c r="R4556" s="644"/>
      <c r="S4556" s="48"/>
      <c r="T4556" s="1330"/>
      <c r="U4556" s="48"/>
      <c r="V4556" s="48"/>
    </row>
    <row r="4557" spans="7:22">
      <c r="G4557" s="48"/>
      <c r="H4557" s="48"/>
      <c r="I4557" s="48"/>
      <c r="J4557" s="49"/>
      <c r="K4557" s="1498"/>
      <c r="L4557" s="49"/>
      <c r="M4557" s="1498"/>
      <c r="N4557" s="49"/>
      <c r="O4557" s="644"/>
      <c r="P4557" s="644"/>
      <c r="Q4557" s="1290"/>
      <c r="R4557" s="644"/>
      <c r="S4557" s="48"/>
      <c r="T4557" s="1330"/>
      <c r="U4557" s="48"/>
      <c r="V4557" s="48"/>
    </row>
    <row r="4558" spans="7:22">
      <c r="G4558" s="48"/>
      <c r="H4558" s="48"/>
      <c r="I4558" s="48"/>
      <c r="J4558" s="49"/>
      <c r="K4558" s="1498"/>
      <c r="L4558" s="49"/>
      <c r="M4558" s="1498"/>
      <c r="N4558" s="49"/>
      <c r="O4558" s="644"/>
      <c r="P4558" s="644"/>
      <c r="Q4558" s="1290"/>
      <c r="R4558" s="644"/>
      <c r="S4558" s="48"/>
      <c r="T4558" s="1330"/>
      <c r="U4558" s="48"/>
      <c r="V4558" s="48"/>
    </row>
    <row r="4559" spans="7:22">
      <c r="G4559" s="48"/>
      <c r="H4559" s="48"/>
      <c r="I4559" s="48"/>
      <c r="J4559" s="49"/>
      <c r="K4559" s="1498"/>
      <c r="L4559" s="49"/>
      <c r="M4559" s="1498"/>
      <c r="N4559" s="49"/>
      <c r="O4559" s="644"/>
      <c r="P4559" s="644"/>
      <c r="Q4559" s="1290"/>
      <c r="R4559" s="644"/>
      <c r="S4559" s="48"/>
      <c r="T4559" s="1330"/>
      <c r="U4559" s="48"/>
      <c r="V4559" s="48"/>
    </row>
    <row r="4560" spans="7:22">
      <c r="G4560" s="48"/>
      <c r="H4560" s="48"/>
      <c r="I4560" s="48"/>
      <c r="J4560" s="49"/>
      <c r="K4560" s="49"/>
      <c r="L4560" s="49"/>
      <c r="M4560" s="1498"/>
      <c r="N4560" s="49"/>
      <c r="O4560" s="644"/>
      <c r="P4560" s="644"/>
      <c r="Q4560" s="1290"/>
      <c r="R4560" s="644"/>
      <c r="S4560" s="48"/>
      <c r="T4560" s="1330"/>
      <c r="U4560" s="48"/>
      <c r="V4560" s="48"/>
    </row>
    <row r="4561" spans="7:22">
      <c r="G4561" s="48"/>
      <c r="H4561" s="48"/>
      <c r="I4561" s="48"/>
      <c r="J4561" s="954">
        <f>SUM(J4545:J4557)</f>
        <v>250980000</v>
      </c>
      <c r="K4561" s="954"/>
      <c r="L4561" s="954">
        <f>SUM(L4545:L4560)</f>
        <v>146800000</v>
      </c>
      <c r="M4561" s="1498"/>
      <c r="N4561" s="954">
        <f>SUM(N4545:N4560)</f>
        <v>422200000</v>
      </c>
      <c r="O4561" s="644"/>
      <c r="P4561" s="969">
        <f>SUM(P4545:P4552)</f>
        <v>141400000</v>
      </c>
      <c r="Q4561" s="969"/>
      <c r="R4561" s="969">
        <f>SUM(R4545:R4560)</f>
        <v>5100000</v>
      </c>
      <c r="S4561" s="48"/>
      <c r="T4561" s="1178">
        <f>SUM(T4545:T4560)</f>
        <v>5900</v>
      </c>
      <c r="U4561" s="48"/>
      <c r="V4561" s="878">
        <f>SUM(V4545:V4560)</f>
        <v>0</v>
      </c>
    </row>
    <row r="4562" spans="7:22">
      <c r="T4562" s="1329"/>
    </row>
    <row r="4563" spans="7:22">
      <c r="T4563" s="1329"/>
    </row>
    <row r="4564" spans="7:22">
      <c r="R4564" s="661"/>
      <c r="T4564" s="1329"/>
    </row>
    <row r="4565" spans="7:22">
      <c r="T4565" s="1329"/>
    </row>
    <row r="4566" spans="7:22">
      <c r="T4566" s="1329"/>
    </row>
    <row r="4567" spans="7:22">
      <c r="I4567" s="946"/>
      <c r="M4567" s="1533" t="s">
        <v>3699</v>
      </c>
      <c r="O4567" s="1535" t="s">
        <v>3741</v>
      </c>
      <c r="P4567" s="1512">
        <f>P4561-R4561</f>
        <v>136300000</v>
      </c>
      <c r="S4567" s="906" t="s">
        <v>4049</v>
      </c>
      <c r="T4567" s="1107">
        <f>T4561-V4561</f>
        <v>5900</v>
      </c>
    </row>
    <row r="4568" spans="7:22">
      <c r="G4568" s="1574" t="s">
        <v>3530</v>
      </c>
      <c r="H4568" s="1574"/>
      <c r="I4568" s="1574"/>
      <c r="J4568" s="3">
        <f>J4561+L4561</f>
        <v>397780000</v>
      </c>
      <c r="K4568" s="1009"/>
      <c r="L4568" s="3"/>
      <c r="M4568" s="1533" t="s">
        <v>3664</v>
      </c>
      <c r="N4568" s="1527"/>
      <c r="O4568" s="1535" t="s">
        <v>4066</v>
      </c>
      <c r="P4568" s="1512"/>
      <c r="T4568" s="1329"/>
    </row>
    <row r="4569" spans="7:22">
      <c r="G4569" s="1574" t="s">
        <v>3512</v>
      </c>
      <c r="H4569" s="1574"/>
      <c r="I4569" s="1574"/>
      <c r="J4569" s="3">
        <f>N4561-J4568</f>
        <v>24420000</v>
      </c>
      <c r="K4569" s="1009"/>
      <c r="L4569" s="3"/>
      <c r="M4569" s="1528"/>
      <c r="O4569" s="1529"/>
      <c r="Q4569" s="661"/>
      <c r="T4569" s="1329"/>
    </row>
    <row r="4570" spans="7:22">
      <c r="G4570" s="1574" t="s">
        <v>3531</v>
      </c>
      <c r="H4570" s="1574"/>
      <c r="I4570" s="1574"/>
      <c r="J4570" s="3">
        <f>T4567</f>
        <v>5900</v>
      </c>
      <c r="Q4570" s="3"/>
      <c r="T4570" s="1329"/>
    </row>
    <row r="4571" spans="7:22">
      <c r="G4571" s="1564" t="s">
        <v>4455</v>
      </c>
      <c r="H4571" s="1564"/>
      <c r="I4571" s="1564"/>
      <c r="J4571" s="3">
        <f>+P4567</f>
        <v>136300000</v>
      </c>
      <c r="R4571" s="3"/>
      <c r="T4571" s="1329"/>
    </row>
    <row r="4575" spans="7:22">
      <c r="T4575" s="1334"/>
    </row>
    <row r="4576" spans="7:22">
      <c r="T4576" s="1334"/>
    </row>
    <row r="4577" spans="7:22">
      <c r="G4577" s="1008">
        <v>46085</v>
      </c>
      <c r="H4577" s="1169"/>
      <c r="I4577" s="1575" t="s">
        <v>3510</v>
      </c>
      <c r="J4577" s="1576"/>
      <c r="K4577" s="1575" t="s">
        <v>3509</v>
      </c>
      <c r="L4577" s="1576"/>
      <c r="M4577" s="1575" t="s">
        <v>3541</v>
      </c>
      <c r="N4577" s="1576"/>
      <c r="O4577" s="1577" t="s">
        <v>3598</v>
      </c>
      <c r="P4577" s="1578"/>
      <c r="Q4577" s="1579" t="s">
        <v>3599</v>
      </c>
      <c r="R4577" s="1580"/>
      <c r="S4577" s="1583" t="s">
        <v>3953</v>
      </c>
      <c r="T4577" s="1583"/>
      <c r="U4577" s="1583" t="s">
        <v>3954</v>
      </c>
      <c r="V4577" s="1583"/>
    </row>
    <row r="4578" spans="7:22">
      <c r="G4578" s="1097"/>
      <c r="H4578" s="1261"/>
      <c r="I4578" s="1342" t="s">
        <v>4868</v>
      </c>
      <c r="J4578" s="49">
        <v>37200000</v>
      </c>
      <c r="K4578" s="1495" t="s">
        <v>4870</v>
      </c>
      <c r="L4578" s="49">
        <v>15000000</v>
      </c>
      <c r="M4578" s="1495" t="s">
        <v>4613</v>
      </c>
      <c r="N4578" s="1495">
        <v>374700000</v>
      </c>
      <c r="O4578" s="1383"/>
      <c r="P4578" s="644"/>
      <c r="Q4578" s="1279"/>
      <c r="R4578" s="644"/>
      <c r="S4578" s="1223"/>
      <c r="T4578" s="1191"/>
      <c r="U4578" s="1232"/>
      <c r="V4578" s="48"/>
    </row>
    <row r="4579" spans="7:22">
      <c r="G4579" s="1098"/>
      <c r="H4579" s="1172"/>
      <c r="I4579" s="1343" t="s">
        <v>4869</v>
      </c>
      <c r="J4579" s="49">
        <v>92000000</v>
      </c>
      <c r="K4579" s="1493" t="s">
        <v>4874</v>
      </c>
      <c r="L4579" s="49">
        <v>1250000</v>
      </c>
      <c r="M4579" s="1495" t="s">
        <v>4871</v>
      </c>
      <c r="N4579" s="49">
        <v>60000000</v>
      </c>
      <c r="O4579" s="1383" t="s">
        <v>4712</v>
      </c>
      <c r="P4579" s="644">
        <v>141400000</v>
      </c>
      <c r="Q4579" s="1290"/>
      <c r="R4579" s="1290"/>
      <c r="S4579" s="1296" t="s">
        <v>4613</v>
      </c>
      <c r="T4579" s="1191">
        <v>5900</v>
      </c>
      <c r="U4579" s="48"/>
      <c r="V4579" s="49"/>
    </row>
    <row r="4580" spans="7:22">
      <c r="G4580" s="48"/>
      <c r="H4580" s="48"/>
      <c r="I4580" s="1344" t="s">
        <v>4875</v>
      </c>
      <c r="J4580" s="49">
        <v>21150000</v>
      </c>
      <c r="K4580" s="49" t="s">
        <v>4876</v>
      </c>
      <c r="L4580" s="49">
        <v>650000</v>
      </c>
      <c r="M4580" s="1495" t="s">
        <v>4873</v>
      </c>
      <c r="N4580" s="49">
        <v>90000000</v>
      </c>
      <c r="O4580" s="1383"/>
      <c r="P4580" s="644"/>
      <c r="Q4580" s="1336" t="s">
        <v>4858</v>
      </c>
      <c r="R4580" s="644">
        <v>5100000</v>
      </c>
      <c r="S4580" s="1332"/>
      <c r="T4580" s="1191">
        <v>100</v>
      </c>
      <c r="U4580" s="1287"/>
      <c r="V4580" s="1191"/>
    </row>
    <row r="4581" spans="7:22">
      <c r="G4581" s="48"/>
      <c r="H4581" s="48"/>
      <c r="I4581" s="1344" t="s">
        <v>4877</v>
      </c>
      <c r="J4581" s="49">
        <v>25500000</v>
      </c>
      <c r="K4581" s="1493" t="s">
        <v>4605</v>
      </c>
      <c r="L4581" s="49">
        <v>16000000</v>
      </c>
      <c r="M4581" s="1493"/>
      <c r="N4581" s="49"/>
      <c r="O4581" s="1383"/>
      <c r="P4581" s="644"/>
      <c r="Q4581" s="1303"/>
      <c r="R4581" s="644"/>
      <c r="S4581" s="1333"/>
      <c r="T4581" s="1335">
        <v>900</v>
      </c>
      <c r="U4581" s="1289"/>
      <c r="V4581" s="1335"/>
    </row>
    <row r="4582" spans="7:22">
      <c r="G4582" s="48"/>
      <c r="H4582" s="48"/>
      <c r="I4582" s="1344" t="s">
        <v>4878</v>
      </c>
      <c r="J4582" s="49">
        <v>21150000</v>
      </c>
      <c r="K4582" s="1493" t="s">
        <v>4477</v>
      </c>
      <c r="L4582" s="49">
        <v>7000000</v>
      </c>
      <c r="M4582" s="49"/>
      <c r="N4582" s="49"/>
      <c r="O4582" s="1383"/>
      <c r="P4582" s="644"/>
      <c r="Q4582" s="1288"/>
      <c r="R4582" s="644"/>
      <c r="S4582" s="48"/>
      <c r="T4582" s="1335">
        <v>2500</v>
      </c>
      <c r="U4582" s="48"/>
      <c r="V4582" s="49"/>
    </row>
    <row r="4583" spans="7:22">
      <c r="G4583" s="48"/>
      <c r="H4583" s="48"/>
      <c r="I4583" s="1344" t="s">
        <v>4879</v>
      </c>
      <c r="J4583" s="49">
        <v>46500000</v>
      </c>
      <c r="K4583" s="1493"/>
      <c r="L4583" s="49"/>
      <c r="M4583" s="1495"/>
      <c r="N4583" s="49"/>
      <c r="O4583" s="1383"/>
      <c r="P4583" s="644"/>
      <c r="Q4583" s="1302"/>
      <c r="R4583" s="644"/>
      <c r="S4583" s="48"/>
      <c r="T4583" s="1335"/>
      <c r="U4583" s="48" t="s">
        <v>4872</v>
      </c>
      <c r="V4583" s="49">
        <v>2500</v>
      </c>
    </row>
    <row r="4584" spans="7:22">
      <c r="G4584" s="48"/>
      <c r="H4584" s="48"/>
      <c r="I4584" s="1344" t="s">
        <v>4880</v>
      </c>
      <c r="J4584" s="49">
        <v>29300000</v>
      </c>
      <c r="K4584" s="1493"/>
      <c r="L4584" s="49"/>
      <c r="M4584" s="1495"/>
      <c r="N4584" s="49"/>
      <c r="O4584" s="1383"/>
      <c r="P4584" s="644"/>
      <c r="Q4584" s="1290"/>
      <c r="R4584" s="644"/>
      <c r="S4584" s="48"/>
      <c r="T4584" s="1335"/>
      <c r="U4584" s="48"/>
      <c r="V4584" s="49"/>
    </row>
    <row r="4585" spans="7:22">
      <c r="G4585" s="48"/>
      <c r="H4585" s="48"/>
      <c r="I4585" s="1344" t="s">
        <v>4881</v>
      </c>
      <c r="J4585" s="49">
        <v>46000000</v>
      </c>
      <c r="K4585" s="1532"/>
      <c r="L4585" s="49"/>
      <c r="M4585" s="1498"/>
      <c r="N4585" s="49"/>
      <c r="O4585" s="1383"/>
      <c r="P4585" s="644"/>
      <c r="Q4585" s="1291"/>
      <c r="R4585" s="644"/>
      <c r="S4585" s="48"/>
      <c r="T4585" s="1335"/>
      <c r="U4585" s="48"/>
      <c r="V4585" s="49"/>
    </row>
    <row r="4586" spans="7:22">
      <c r="G4586" s="48"/>
      <c r="H4586" s="48"/>
      <c r="I4586" s="1323"/>
      <c r="J4586" s="49"/>
      <c r="K4586" s="1495"/>
      <c r="L4586" s="49"/>
      <c r="M4586" s="1498"/>
      <c r="N4586" s="49"/>
      <c r="O4586" s="644"/>
      <c r="P4586" s="644"/>
      <c r="Q4586" s="1290"/>
      <c r="R4586" s="644"/>
      <c r="S4586" s="48"/>
      <c r="T4586" s="1335"/>
      <c r="U4586" s="48"/>
      <c r="V4586" s="49"/>
    </row>
    <row r="4587" spans="7:22">
      <c r="G4587" s="48"/>
      <c r="H4587" s="48"/>
      <c r="I4587" s="48"/>
      <c r="J4587" s="49"/>
      <c r="K4587" s="1498"/>
      <c r="L4587" s="49"/>
      <c r="M4587" s="1498"/>
      <c r="N4587" s="49"/>
      <c r="O4587" s="644"/>
      <c r="P4587" s="644"/>
      <c r="Q4587" s="1290"/>
      <c r="R4587" s="644"/>
      <c r="S4587" s="48"/>
      <c r="T4587" s="1335"/>
      <c r="U4587" s="48"/>
      <c r="V4587" s="49"/>
    </row>
    <row r="4588" spans="7:22">
      <c r="G4588" s="48"/>
      <c r="H4588" s="48"/>
      <c r="I4588" s="48"/>
      <c r="J4588" s="49"/>
      <c r="K4588" s="1495"/>
      <c r="L4588" s="49"/>
      <c r="M4588" s="1498"/>
      <c r="N4588" s="49"/>
      <c r="O4588" s="644"/>
      <c r="P4588" s="644"/>
      <c r="Q4588" s="1290"/>
      <c r="R4588" s="644"/>
      <c r="S4588" s="48"/>
      <c r="T4588" s="1335"/>
      <c r="U4588" s="48"/>
      <c r="V4588" s="48"/>
    </row>
    <row r="4589" spans="7:22">
      <c r="G4589" s="48"/>
      <c r="H4589" s="48"/>
      <c r="I4589" s="48"/>
      <c r="J4589" s="49"/>
      <c r="K4589" s="1498"/>
      <c r="L4589" s="49"/>
      <c r="M4589" s="1498"/>
      <c r="N4589" s="49"/>
      <c r="O4589" s="644"/>
      <c r="P4589" s="644"/>
      <c r="Q4589" s="1290"/>
      <c r="R4589" s="644"/>
      <c r="S4589" s="48"/>
      <c r="T4589" s="1335"/>
      <c r="U4589" s="48"/>
      <c r="V4589" s="48"/>
    </row>
    <row r="4590" spans="7:22">
      <c r="G4590" s="48"/>
      <c r="H4590" s="48"/>
      <c r="I4590" s="48"/>
      <c r="J4590" s="49"/>
      <c r="K4590" s="1498"/>
      <c r="L4590" s="49"/>
      <c r="M4590" s="1498"/>
      <c r="N4590" s="49"/>
      <c r="O4590" s="644"/>
      <c r="P4590" s="644"/>
      <c r="Q4590" s="1290"/>
      <c r="R4590" s="644"/>
      <c r="S4590" s="48"/>
      <c r="T4590" s="1335"/>
      <c r="U4590" s="48"/>
      <c r="V4590" s="48"/>
    </row>
    <row r="4591" spans="7:22">
      <c r="G4591" s="48"/>
      <c r="H4591" s="48"/>
      <c r="I4591" s="48"/>
      <c r="J4591" s="49"/>
      <c r="K4591" s="1498"/>
      <c r="L4591" s="49"/>
      <c r="M4591" s="1498"/>
      <c r="N4591" s="49"/>
      <c r="O4591" s="644"/>
      <c r="P4591" s="644"/>
      <c r="Q4591" s="1290"/>
      <c r="R4591" s="644"/>
      <c r="S4591" s="48"/>
      <c r="T4591" s="1335"/>
      <c r="U4591" s="48"/>
      <c r="V4591" s="48"/>
    </row>
    <row r="4592" spans="7:22">
      <c r="G4592" s="48"/>
      <c r="H4592" s="48"/>
      <c r="I4592" s="48"/>
      <c r="J4592" s="49"/>
      <c r="K4592" s="1498"/>
      <c r="L4592" s="49"/>
      <c r="M4592" s="1498"/>
      <c r="N4592" s="49"/>
      <c r="O4592" s="644"/>
      <c r="P4592" s="644"/>
      <c r="Q4592" s="1290"/>
      <c r="R4592" s="644"/>
      <c r="S4592" s="48"/>
      <c r="T4592" s="1335"/>
      <c r="U4592" s="48"/>
      <c r="V4592" s="48"/>
    </row>
    <row r="4593" spans="7:22">
      <c r="G4593" s="48"/>
      <c r="H4593" s="48"/>
      <c r="I4593" s="48"/>
      <c r="J4593" s="49"/>
      <c r="K4593" s="49"/>
      <c r="L4593" s="49"/>
      <c r="M4593" s="1498"/>
      <c r="N4593" s="49"/>
      <c r="O4593" s="644"/>
      <c r="P4593" s="644"/>
      <c r="Q4593" s="1290"/>
      <c r="R4593" s="644"/>
      <c r="S4593" s="48"/>
      <c r="T4593" s="1335"/>
      <c r="U4593" s="48"/>
      <c r="V4593" s="48"/>
    </row>
    <row r="4594" spans="7:22">
      <c r="G4594" s="48"/>
      <c r="H4594" s="48"/>
      <c r="I4594" s="48"/>
      <c r="J4594" s="954">
        <f>SUM(J4578:J4590)</f>
        <v>318800000</v>
      </c>
      <c r="K4594" s="954"/>
      <c r="L4594" s="954">
        <f>SUM(L4578:L4593)</f>
        <v>39900000</v>
      </c>
      <c r="M4594" s="1498"/>
      <c r="N4594" s="954">
        <f>SUM(N4578:N4593)</f>
        <v>524700000</v>
      </c>
      <c r="O4594" s="644"/>
      <c r="P4594" s="969">
        <f>SUM(P4578:P4585)</f>
        <v>141400000</v>
      </c>
      <c r="Q4594" s="969"/>
      <c r="R4594" s="969">
        <f>SUM(R4578:R4593)</f>
        <v>5100000</v>
      </c>
      <c r="S4594" s="48"/>
      <c r="T4594" s="1178">
        <f>SUM(T4578:T4593)</f>
        <v>9400</v>
      </c>
      <c r="U4594" s="48"/>
      <c r="V4594" s="878">
        <f>SUM(V4578:V4593)</f>
        <v>2500</v>
      </c>
    </row>
    <row r="4595" spans="7:22">
      <c r="T4595" s="1334"/>
    </row>
    <row r="4596" spans="7:22">
      <c r="T4596" s="1334"/>
    </row>
    <row r="4597" spans="7:22">
      <c r="R4597" s="661"/>
      <c r="T4597" s="1334"/>
    </row>
    <row r="4598" spans="7:22">
      <c r="T4598" s="1334"/>
    </row>
    <row r="4599" spans="7:22">
      <c r="T4599" s="1334"/>
    </row>
    <row r="4600" spans="7:22">
      <c r="I4600" s="946"/>
      <c r="M4600" s="1533" t="s">
        <v>3699</v>
      </c>
      <c r="O4600" s="1535" t="s">
        <v>3741</v>
      </c>
      <c r="P4600" s="1512">
        <f>P4594-R4594</f>
        <v>136300000</v>
      </c>
      <c r="S4600" s="906" t="s">
        <v>4049</v>
      </c>
      <c r="T4600" s="1107">
        <f>T4594-V4594</f>
        <v>6900</v>
      </c>
    </row>
    <row r="4601" spans="7:22">
      <c r="G4601" s="1574" t="s">
        <v>3530</v>
      </c>
      <c r="H4601" s="1574"/>
      <c r="I4601" s="1574"/>
      <c r="J4601" s="3">
        <f>J4594+L4594</f>
        <v>358700000</v>
      </c>
      <c r="K4601" s="1009"/>
      <c r="L4601" s="3"/>
      <c r="M4601" s="1533" t="s">
        <v>3664</v>
      </c>
      <c r="N4601" s="1527"/>
      <c r="O4601" s="1535" t="s">
        <v>4066</v>
      </c>
      <c r="P4601" s="1512"/>
      <c r="T4601" s="1334"/>
    </row>
    <row r="4602" spans="7:22">
      <c r="G4602" s="1574" t="s">
        <v>3512</v>
      </c>
      <c r="H4602" s="1574"/>
      <c r="I4602" s="1574"/>
      <c r="J4602" s="3">
        <f>N4594-J4601</f>
        <v>166000000</v>
      </c>
      <c r="K4602" s="1009"/>
      <c r="L4602" s="3"/>
      <c r="M4602" s="1528"/>
      <c r="O4602" s="1529"/>
      <c r="Q4602" s="661"/>
      <c r="T4602" s="1334"/>
    </row>
    <row r="4603" spans="7:22">
      <c r="G4603" s="1574" t="s">
        <v>3531</v>
      </c>
      <c r="H4603" s="1574"/>
      <c r="I4603" s="1574"/>
      <c r="J4603" s="3">
        <f>T4600</f>
        <v>6900</v>
      </c>
      <c r="Q4603" s="3"/>
      <c r="T4603" s="1334"/>
    </row>
    <row r="4604" spans="7:22">
      <c r="G4604" s="1564" t="s">
        <v>4455</v>
      </c>
      <c r="H4604" s="1564"/>
      <c r="I4604" s="1564"/>
      <c r="J4604" s="3">
        <f>+P4600</f>
        <v>136300000</v>
      </c>
      <c r="R4604" s="3"/>
      <c r="T4604" s="1334"/>
    </row>
    <row r="4605" spans="7:22">
      <c r="T4605" s="1334"/>
    </row>
    <row r="4607" spans="7:22">
      <c r="T4607" s="1334"/>
    </row>
    <row r="4608" spans="7:22">
      <c r="T4608" s="1334"/>
    </row>
    <row r="4609" spans="7:22">
      <c r="T4609" s="1334"/>
    </row>
    <row r="4610" spans="7:22">
      <c r="G4610" s="1008">
        <v>46086</v>
      </c>
      <c r="H4610" s="1169"/>
      <c r="I4610" s="1575" t="s">
        <v>3510</v>
      </c>
      <c r="J4610" s="1576"/>
      <c r="K4610" s="1575" t="s">
        <v>3509</v>
      </c>
      <c r="L4610" s="1576"/>
      <c r="M4610" s="1575" t="s">
        <v>3541</v>
      </c>
      <c r="N4610" s="1576"/>
      <c r="O4610" s="1577" t="s">
        <v>3598</v>
      </c>
      <c r="P4610" s="1578"/>
      <c r="Q4610" s="1579" t="s">
        <v>3599</v>
      </c>
      <c r="R4610" s="1580"/>
      <c r="S4610" s="1583" t="s">
        <v>3953</v>
      </c>
      <c r="T4610" s="1583"/>
      <c r="U4610" s="1583" t="s">
        <v>3954</v>
      </c>
      <c r="V4610" s="1583"/>
    </row>
    <row r="4611" spans="7:22">
      <c r="G4611" s="1097"/>
      <c r="H4611" s="1261"/>
      <c r="I4611" s="1342" t="s">
        <v>4882</v>
      </c>
      <c r="J4611" s="49">
        <v>0</v>
      </c>
      <c r="K4611" s="1495" t="s">
        <v>4541</v>
      </c>
      <c r="L4611" s="49">
        <v>300000</v>
      </c>
      <c r="M4611" s="1495" t="s">
        <v>4613</v>
      </c>
      <c r="N4611" s="1495">
        <v>369000000</v>
      </c>
      <c r="O4611" s="1383"/>
      <c r="P4611" s="644"/>
      <c r="Q4611" s="1279"/>
      <c r="R4611" s="644"/>
      <c r="S4611" s="1223"/>
      <c r="T4611" s="1191"/>
      <c r="U4611" s="1232"/>
      <c r="V4611" s="48"/>
    </row>
    <row r="4612" spans="7:22">
      <c r="G4612" s="1098"/>
      <c r="H4612" s="1172"/>
      <c r="I4612" s="1343" t="s">
        <v>4883</v>
      </c>
      <c r="J4612" s="49">
        <v>0</v>
      </c>
      <c r="K4612" s="1493" t="s">
        <v>4702</v>
      </c>
      <c r="L4612" s="49">
        <v>200000</v>
      </c>
      <c r="M4612" s="1495" t="s">
        <v>4891</v>
      </c>
      <c r="N4612" s="49">
        <v>5000000</v>
      </c>
      <c r="O4612" s="1383" t="s">
        <v>4712</v>
      </c>
      <c r="P4612" s="644"/>
      <c r="Q4612" s="1290"/>
      <c r="R4612" s="1290"/>
      <c r="S4612" s="1296" t="s">
        <v>4613</v>
      </c>
      <c r="T4612" s="1191">
        <v>7000</v>
      </c>
      <c r="U4612" s="48"/>
      <c r="V4612" s="49"/>
    </row>
    <row r="4613" spans="7:22">
      <c r="G4613" s="48"/>
      <c r="H4613" s="48"/>
      <c r="I4613" s="1344" t="s">
        <v>4884</v>
      </c>
      <c r="J4613" s="49">
        <v>0</v>
      </c>
      <c r="K4613" s="49"/>
      <c r="L4613" s="49"/>
      <c r="M4613" s="1495"/>
      <c r="N4613" s="49"/>
      <c r="O4613" s="1383"/>
      <c r="P4613" s="644"/>
      <c r="Q4613" s="1336"/>
      <c r="R4613" s="644"/>
      <c r="S4613" s="1332"/>
      <c r="T4613" s="1191"/>
      <c r="U4613" s="1287"/>
      <c r="V4613" s="1191"/>
    </row>
    <row r="4614" spans="7:22">
      <c r="G4614" s="48"/>
      <c r="H4614" s="48"/>
      <c r="I4614" s="1344" t="s">
        <v>4885</v>
      </c>
      <c r="J4614" s="49">
        <v>76800000</v>
      </c>
      <c r="K4614" s="1493"/>
      <c r="L4614" s="49"/>
      <c r="M4614" s="1493"/>
      <c r="N4614" s="49"/>
      <c r="O4614" s="1383"/>
      <c r="P4614" s="644"/>
      <c r="Q4614" s="1303"/>
      <c r="R4614" s="644"/>
      <c r="S4614" s="1333"/>
      <c r="T4614" s="1335"/>
      <c r="U4614" s="1289"/>
      <c r="V4614" s="1335"/>
    </row>
    <row r="4615" spans="7:22">
      <c r="G4615" s="48"/>
      <c r="H4615" s="48"/>
      <c r="I4615" s="1344" t="s">
        <v>4886</v>
      </c>
      <c r="J4615" s="49">
        <v>36800000</v>
      </c>
      <c r="K4615" s="1493"/>
      <c r="L4615" s="49"/>
      <c r="M4615" s="49"/>
      <c r="N4615" s="49"/>
      <c r="O4615" s="1383"/>
      <c r="P4615" s="644"/>
      <c r="Q4615" s="1288"/>
      <c r="R4615" s="644"/>
      <c r="S4615" s="48"/>
      <c r="T4615" s="1335"/>
      <c r="U4615" s="48"/>
      <c r="V4615" s="49"/>
    </row>
    <row r="4616" spans="7:22">
      <c r="G4616" s="48"/>
      <c r="H4616" s="48"/>
      <c r="I4616" s="1344" t="s">
        <v>4887</v>
      </c>
      <c r="J4616" s="49">
        <v>30690000</v>
      </c>
      <c r="K4616" s="1493"/>
      <c r="L4616" s="49"/>
      <c r="M4616" s="1495"/>
      <c r="N4616" s="49"/>
      <c r="O4616" s="1383"/>
      <c r="P4616" s="644"/>
      <c r="Q4616" s="1302"/>
      <c r="R4616" s="644"/>
      <c r="S4616" s="48"/>
      <c r="T4616" s="1335"/>
      <c r="U4616" s="48"/>
      <c r="V4616" s="49"/>
    </row>
    <row r="4617" spans="7:22">
      <c r="G4617" s="48"/>
      <c r="H4617" s="48"/>
      <c r="I4617" s="1344" t="s">
        <v>4888</v>
      </c>
      <c r="J4617" s="49">
        <v>46000000</v>
      </c>
      <c r="K4617" s="1493"/>
      <c r="L4617" s="49"/>
      <c r="M4617" s="1495"/>
      <c r="N4617" s="49"/>
      <c r="O4617" s="1383"/>
      <c r="P4617" s="644"/>
      <c r="Q4617" s="1290"/>
      <c r="R4617" s="644"/>
      <c r="S4617" s="48"/>
      <c r="T4617" s="1335"/>
      <c r="U4617" s="48"/>
      <c r="V4617" s="49"/>
    </row>
    <row r="4618" spans="7:22">
      <c r="G4618" s="48"/>
      <c r="H4618" s="48"/>
      <c r="I4618" s="1344" t="s">
        <v>4889</v>
      </c>
      <c r="J4618" s="49">
        <v>23000000</v>
      </c>
      <c r="K4618" s="1532"/>
      <c r="L4618" s="49"/>
      <c r="M4618" s="1498"/>
      <c r="N4618" s="49"/>
      <c r="O4618" s="1383"/>
      <c r="P4618" s="644"/>
      <c r="Q4618" s="1291"/>
      <c r="R4618" s="644"/>
      <c r="S4618" s="48"/>
      <c r="T4618" s="1335"/>
      <c r="U4618" s="48"/>
      <c r="V4618" s="49"/>
    </row>
    <row r="4619" spans="7:22">
      <c r="G4619" s="48"/>
      <c r="H4619" s="48"/>
      <c r="I4619" s="1344" t="s">
        <v>4890</v>
      </c>
      <c r="J4619" s="49">
        <v>5000000</v>
      </c>
      <c r="K4619" s="1495"/>
      <c r="L4619" s="49"/>
      <c r="M4619" s="1498"/>
      <c r="N4619" s="49"/>
      <c r="O4619" s="644"/>
      <c r="P4619" s="644"/>
      <c r="Q4619" s="1290"/>
      <c r="R4619" s="644"/>
      <c r="S4619" s="48"/>
      <c r="T4619" s="1335"/>
      <c r="U4619" s="48"/>
      <c r="V4619" s="49"/>
    </row>
    <row r="4620" spans="7:22">
      <c r="G4620" s="48"/>
      <c r="H4620" s="48"/>
      <c r="I4620" s="48"/>
      <c r="J4620" s="49"/>
      <c r="K4620" s="1498"/>
      <c r="L4620" s="49"/>
      <c r="M4620" s="1498"/>
      <c r="N4620" s="49"/>
      <c r="O4620" s="644"/>
      <c r="P4620" s="644"/>
      <c r="Q4620" s="1290"/>
      <c r="R4620" s="644"/>
      <c r="S4620" s="48"/>
      <c r="T4620" s="1335"/>
      <c r="U4620" s="48"/>
      <c r="V4620" s="49"/>
    </row>
    <row r="4621" spans="7:22">
      <c r="G4621" s="48"/>
      <c r="H4621" s="48"/>
      <c r="I4621" s="48"/>
      <c r="J4621" s="49"/>
      <c r="K4621" s="1495"/>
      <c r="L4621" s="49"/>
      <c r="M4621" s="1498"/>
      <c r="N4621" s="49"/>
      <c r="O4621" s="644"/>
      <c r="P4621" s="644"/>
      <c r="Q4621" s="1290"/>
      <c r="R4621" s="644"/>
      <c r="S4621" s="48"/>
      <c r="T4621" s="1335"/>
      <c r="U4621" s="48"/>
      <c r="V4621" s="48"/>
    </row>
    <row r="4622" spans="7:22">
      <c r="G4622" s="48"/>
      <c r="H4622" s="48"/>
      <c r="I4622" s="48"/>
      <c r="J4622" s="49"/>
      <c r="K4622" s="1498"/>
      <c r="L4622" s="49"/>
      <c r="M4622" s="1498"/>
      <c r="N4622" s="49"/>
      <c r="O4622" s="644"/>
      <c r="P4622" s="644"/>
      <c r="Q4622" s="1290"/>
      <c r="R4622" s="644"/>
      <c r="S4622" s="48"/>
      <c r="T4622" s="1335"/>
      <c r="U4622" s="48"/>
      <c r="V4622" s="48"/>
    </row>
    <row r="4623" spans="7:22">
      <c r="G4623" s="48"/>
      <c r="H4623" s="48"/>
      <c r="I4623" s="48"/>
      <c r="J4623" s="49"/>
      <c r="K4623" s="1498"/>
      <c r="L4623" s="49"/>
      <c r="M4623" s="1498"/>
      <c r="N4623" s="49"/>
      <c r="O4623" s="644"/>
      <c r="P4623" s="644"/>
      <c r="Q4623" s="1290"/>
      <c r="R4623" s="644"/>
      <c r="S4623" s="48"/>
      <c r="T4623" s="1335"/>
      <c r="U4623" s="48"/>
      <c r="V4623" s="48"/>
    </row>
    <row r="4624" spans="7:22">
      <c r="G4624" s="48"/>
      <c r="H4624" s="48"/>
      <c r="I4624" s="48"/>
      <c r="J4624" s="49"/>
      <c r="K4624" s="1498"/>
      <c r="L4624" s="49"/>
      <c r="M4624" s="1498"/>
      <c r="N4624" s="49"/>
      <c r="O4624" s="644"/>
      <c r="P4624" s="644"/>
      <c r="Q4624" s="1290"/>
      <c r="R4624" s="644"/>
      <c r="S4624" s="48"/>
      <c r="T4624" s="1335"/>
      <c r="U4624" s="48"/>
      <c r="V4624" s="48"/>
    </row>
    <row r="4625" spans="7:22">
      <c r="G4625" s="48"/>
      <c r="H4625" s="48"/>
      <c r="I4625" s="48"/>
      <c r="J4625" s="49"/>
      <c r="K4625" s="1498"/>
      <c r="L4625" s="49"/>
      <c r="M4625" s="1498"/>
      <c r="N4625" s="49"/>
      <c r="O4625" s="644"/>
      <c r="P4625" s="644"/>
      <c r="Q4625" s="1290"/>
      <c r="R4625" s="644"/>
      <c r="S4625" s="48"/>
      <c r="T4625" s="1335"/>
      <c r="U4625" s="48"/>
      <c r="V4625" s="48"/>
    </row>
    <row r="4626" spans="7:22">
      <c r="G4626" s="48"/>
      <c r="H4626" s="48"/>
      <c r="I4626" s="48"/>
      <c r="J4626" s="49"/>
      <c r="K4626" s="49"/>
      <c r="L4626" s="49"/>
      <c r="M4626" s="1498"/>
      <c r="N4626" s="49"/>
      <c r="O4626" s="644"/>
      <c r="P4626" s="644"/>
      <c r="Q4626" s="1290"/>
      <c r="R4626" s="644"/>
      <c r="S4626" s="48"/>
      <c r="T4626" s="1335"/>
      <c r="U4626" s="48"/>
      <c r="V4626" s="48"/>
    </row>
    <row r="4627" spans="7:22">
      <c r="G4627" s="48"/>
      <c r="H4627" s="48"/>
      <c r="I4627" s="48"/>
      <c r="J4627" s="954">
        <f>SUM(J4611:J4623)</f>
        <v>218290000</v>
      </c>
      <c r="K4627" s="954"/>
      <c r="L4627" s="954">
        <f>SUM(L4611:L4626)</f>
        <v>500000</v>
      </c>
      <c r="M4627" s="1498"/>
      <c r="N4627" s="954">
        <f>SUM(N4611:N4626)</f>
        <v>374000000</v>
      </c>
      <c r="O4627" s="644"/>
      <c r="P4627" s="969">
        <f>SUM(P4611:P4618)</f>
        <v>0</v>
      </c>
      <c r="Q4627" s="969"/>
      <c r="R4627" s="969">
        <f>SUM(R4611:R4626)</f>
        <v>0</v>
      </c>
      <c r="S4627" s="48"/>
      <c r="T4627" s="1178">
        <f>SUM(T4611:T4626)</f>
        <v>7000</v>
      </c>
      <c r="U4627" s="48"/>
      <c r="V4627" s="878">
        <f>SUM(V4611:V4626)</f>
        <v>0</v>
      </c>
    </row>
    <row r="4628" spans="7:22">
      <c r="T4628" s="1334"/>
    </row>
    <row r="4629" spans="7:22">
      <c r="T4629" s="1334"/>
    </row>
    <row r="4630" spans="7:22">
      <c r="R4630" s="661"/>
      <c r="T4630" s="1334"/>
    </row>
    <row r="4631" spans="7:22">
      <c r="T4631" s="1334"/>
    </row>
    <row r="4632" spans="7:22">
      <c r="T4632" s="1334"/>
    </row>
    <row r="4633" spans="7:22">
      <c r="I4633" s="946"/>
      <c r="M4633" s="1533" t="s">
        <v>3699</v>
      </c>
      <c r="O4633" s="1535" t="s">
        <v>3741</v>
      </c>
      <c r="P4633" s="1512">
        <f>P4627-R4627</f>
        <v>0</v>
      </c>
      <c r="S4633" s="906" t="s">
        <v>4049</v>
      </c>
      <c r="T4633" s="1107">
        <f>T4627-V4627</f>
        <v>7000</v>
      </c>
    </row>
    <row r="4634" spans="7:22">
      <c r="G4634" s="1574" t="s">
        <v>3530</v>
      </c>
      <c r="H4634" s="1574"/>
      <c r="I4634" s="1574"/>
      <c r="J4634" s="3">
        <f>J4627+L4627</f>
        <v>218790000</v>
      </c>
      <c r="K4634" s="1009"/>
      <c r="L4634" s="3"/>
      <c r="M4634" s="1533" t="s">
        <v>3664</v>
      </c>
      <c r="N4634" s="1527"/>
      <c r="O4634" s="1535" t="s">
        <v>4066</v>
      </c>
      <c r="P4634" s="1512"/>
      <c r="T4634" s="1334"/>
    </row>
    <row r="4635" spans="7:22">
      <c r="G4635" s="1574" t="s">
        <v>3512</v>
      </c>
      <c r="H4635" s="1574"/>
      <c r="I4635" s="1574"/>
      <c r="J4635" s="3">
        <f>N4627-J4634</f>
        <v>155210000</v>
      </c>
      <c r="K4635" s="1009"/>
      <c r="L4635" s="3"/>
      <c r="M4635" s="1528"/>
      <c r="O4635" s="1529"/>
      <c r="Q4635" s="661"/>
      <c r="T4635" s="1334"/>
    </row>
    <row r="4636" spans="7:22">
      <c r="G4636" s="1574" t="s">
        <v>3531</v>
      </c>
      <c r="H4636" s="1574"/>
      <c r="I4636" s="1574"/>
      <c r="J4636" s="3">
        <f>T4633</f>
        <v>7000</v>
      </c>
      <c r="Q4636" s="3"/>
      <c r="T4636" s="1334"/>
    </row>
    <row r="4637" spans="7:22">
      <c r="G4637" s="1564" t="s">
        <v>4455</v>
      </c>
      <c r="H4637" s="1564"/>
      <c r="I4637" s="1564"/>
      <c r="J4637" s="3">
        <f>+P4633</f>
        <v>0</v>
      </c>
      <c r="R4637" s="3"/>
      <c r="T4637" s="1334"/>
    </row>
    <row r="4638" spans="7:22">
      <c r="T4638" s="1334"/>
    </row>
    <row r="4639" spans="7:22">
      <c r="T4639" s="1334"/>
    </row>
    <row r="4640" spans="7:22">
      <c r="T4640" s="1340"/>
    </row>
    <row r="4641" spans="7:22">
      <c r="T4641" s="1340"/>
    </row>
    <row r="4642" spans="7:22">
      <c r="G4642" s="1008">
        <v>46087</v>
      </c>
      <c r="H4642" s="1169"/>
      <c r="I4642" s="1575" t="s">
        <v>3510</v>
      </c>
      <c r="J4642" s="1576"/>
      <c r="K4642" s="1575" t="s">
        <v>3509</v>
      </c>
      <c r="L4642" s="1576"/>
      <c r="M4642" s="1575" t="s">
        <v>3541</v>
      </c>
      <c r="N4642" s="1576"/>
      <c r="O4642" s="1577" t="s">
        <v>3598</v>
      </c>
      <c r="P4642" s="1578"/>
      <c r="Q4642" s="1579" t="s">
        <v>3599</v>
      </c>
      <c r="R4642" s="1580"/>
      <c r="S4642" s="1583" t="s">
        <v>3953</v>
      </c>
      <c r="T4642" s="1583"/>
      <c r="U4642" s="1583" t="s">
        <v>3954</v>
      </c>
      <c r="V4642" s="1583"/>
    </row>
    <row r="4643" spans="7:22">
      <c r="G4643" s="1097"/>
      <c r="H4643" s="1261"/>
      <c r="I4643" s="1347" t="s">
        <v>4893</v>
      </c>
      <c r="J4643" s="49">
        <v>17600000</v>
      </c>
      <c r="K4643" s="1495" t="s">
        <v>4474</v>
      </c>
      <c r="L4643" s="49">
        <v>2000000</v>
      </c>
      <c r="M4643" s="1495" t="s">
        <v>4613</v>
      </c>
      <c r="N4643" s="1495">
        <v>243000000</v>
      </c>
      <c r="O4643" s="1383"/>
      <c r="P4643" s="644"/>
      <c r="Q4643" s="1279"/>
      <c r="R4643" s="644"/>
      <c r="S4643" s="1223"/>
      <c r="T4643" s="1191"/>
      <c r="U4643" s="1232"/>
      <c r="V4643" s="48"/>
    </row>
    <row r="4644" spans="7:22">
      <c r="G4644" s="1098"/>
      <c r="H4644" s="1172"/>
      <c r="I4644" s="1348" t="s">
        <v>4894</v>
      </c>
      <c r="J4644" s="49">
        <v>32200000</v>
      </c>
      <c r="K4644" s="1493" t="s">
        <v>3058</v>
      </c>
      <c r="L4644" s="49">
        <v>40000000</v>
      </c>
      <c r="M4644" s="1495" t="s">
        <v>4892</v>
      </c>
      <c r="N4644" s="49">
        <v>880000</v>
      </c>
      <c r="O4644" s="1383" t="s">
        <v>4712</v>
      </c>
      <c r="P4644" s="644">
        <v>14300000</v>
      </c>
      <c r="Q4644" s="1290"/>
      <c r="R4644" s="1290"/>
      <c r="S4644" s="1296" t="s">
        <v>4613</v>
      </c>
      <c r="T4644" s="1191">
        <v>7000</v>
      </c>
      <c r="U4644" s="48"/>
      <c r="V4644" s="49"/>
    </row>
    <row r="4645" spans="7:22">
      <c r="G4645" s="48"/>
      <c r="H4645" s="48"/>
      <c r="I4645" s="1344"/>
      <c r="J4645" s="49"/>
      <c r="K4645" s="49" t="s">
        <v>4793</v>
      </c>
      <c r="L4645" s="49">
        <v>530000000</v>
      </c>
      <c r="M4645" s="1495" t="s">
        <v>4626</v>
      </c>
      <c r="N4645" s="49">
        <v>2500000</v>
      </c>
      <c r="O4645" s="1383"/>
      <c r="P4645" s="644"/>
      <c r="Q4645" s="1336"/>
      <c r="R4645" s="644"/>
      <c r="S4645" s="1332"/>
      <c r="T4645" s="1191"/>
      <c r="U4645" s="1287"/>
      <c r="V4645" s="1191"/>
    </row>
    <row r="4646" spans="7:22">
      <c r="G4646" s="48"/>
      <c r="H4646" s="48"/>
      <c r="I4646" s="1344"/>
      <c r="J4646" s="49"/>
      <c r="K4646" s="1493" t="s">
        <v>4736</v>
      </c>
      <c r="L4646" s="49">
        <v>6000000</v>
      </c>
      <c r="M4646" s="1493" t="s">
        <v>4734</v>
      </c>
      <c r="N4646" s="49">
        <v>500000000</v>
      </c>
      <c r="O4646" s="1383"/>
      <c r="P4646" s="644"/>
      <c r="Q4646" s="1303"/>
      <c r="R4646" s="644"/>
      <c r="S4646" s="1333"/>
      <c r="T4646" s="1341"/>
      <c r="U4646" s="1289"/>
      <c r="V4646" s="1341"/>
    </row>
    <row r="4647" spans="7:22">
      <c r="G4647" s="48"/>
      <c r="H4647" s="48"/>
      <c r="I4647" s="1344"/>
      <c r="J4647" s="49"/>
      <c r="K4647" s="1493"/>
      <c r="L4647" s="49"/>
      <c r="M4647" s="49"/>
      <c r="N4647" s="49"/>
      <c r="O4647" s="1383"/>
      <c r="P4647" s="644"/>
      <c r="Q4647" s="1288"/>
      <c r="R4647" s="644"/>
      <c r="S4647" s="48"/>
      <c r="T4647" s="1341"/>
      <c r="U4647" s="48"/>
      <c r="V4647" s="49"/>
    </row>
    <row r="4648" spans="7:22">
      <c r="G4648" s="48"/>
      <c r="H4648" s="48"/>
      <c r="I4648" s="1344"/>
      <c r="J4648" s="49"/>
      <c r="K4648" s="1493"/>
      <c r="L4648" s="49"/>
      <c r="M4648" s="1495"/>
      <c r="N4648" s="49"/>
      <c r="O4648" s="1383"/>
      <c r="P4648" s="644"/>
      <c r="Q4648" s="1302"/>
      <c r="R4648" s="644"/>
      <c r="S4648" s="48"/>
      <c r="T4648" s="1341"/>
      <c r="U4648" s="48"/>
      <c r="V4648" s="49"/>
    </row>
    <row r="4649" spans="7:22">
      <c r="G4649" s="48"/>
      <c r="H4649" s="48"/>
      <c r="I4649" s="1344"/>
      <c r="J4649" s="49"/>
      <c r="K4649" s="1493"/>
      <c r="L4649" s="49"/>
      <c r="M4649" s="1495"/>
      <c r="N4649" s="49"/>
      <c r="O4649" s="1383"/>
      <c r="P4649" s="644"/>
      <c r="Q4649" s="1290"/>
      <c r="R4649" s="644"/>
      <c r="S4649" s="48"/>
      <c r="T4649" s="1341"/>
      <c r="U4649" s="48"/>
      <c r="V4649" s="49"/>
    </row>
    <row r="4650" spans="7:22">
      <c r="G4650" s="48"/>
      <c r="H4650" s="48"/>
      <c r="I4650" s="1344"/>
      <c r="J4650" s="49"/>
      <c r="K4650" s="1532"/>
      <c r="L4650" s="49"/>
      <c r="M4650" s="1498"/>
      <c r="N4650" s="49"/>
      <c r="O4650" s="1383"/>
      <c r="P4650" s="644"/>
      <c r="Q4650" s="1291"/>
      <c r="R4650" s="644"/>
      <c r="S4650" s="48"/>
      <c r="T4650" s="1341"/>
      <c r="U4650" s="48"/>
      <c r="V4650" s="49"/>
    </row>
    <row r="4651" spans="7:22">
      <c r="G4651" s="48"/>
      <c r="H4651" s="48"/>
      <c r="I4651" s="1344"/>
      <c r="J4651" s="49"/>
      <c r="K4651" s="1495"/>
      <c r="L4651" s="49"/>
      <c r="M4651" s="1498"/>
      <c r="N4651" s="49"/>
      <c r="O4651" s="644"/>
      <c r="P4651" s="644"/>
      <c r="Q4651" s="1290"/>
      <c r="R4651" s="644"/>
      <c r="S4651" s="48"/>
      <c r="T4651" s="1341"/>
      <c r="U4651" s="48"/>
      <c r="V4651" s="49"/>
    </row>
    <row r="4652" spans="7:22">
      <c r="G4652" s="48"/>
      <c r="H4652" s="48"/>
      <c r="I4652" s="48"/>
      <c r="J4652" s="49"/>
      <c r="K4652" s="1498"/>
      <c r="L4652" s="49"/>
      <c r="M4652" s="1498"/>
      <c r="N4652" s="49"/>
      <c r="O4652" s="644"/>
      <c r="P4652" s="644"/>
      <c r="Q4652" s="1290"/>
      <c r="R4652" s="644"/>
      <c r="S4652" s="48"/>
      <c r="T4652" s="1341"/>
      <c r="U4652" s="48"/>
      <c r="V4652" s="49"/>
    </row>
    <row r="4653" spans="7:22">
      <c r="G4653" s="48"/>
      <c r="H4653" s="48"/>
      <c r="I4653" s="48"/>
      <c r="J4653" s="49"/>
      <c r="K4653" s="1495"/>
      <c r="L4653" s="49"/>
      <c r="M4653" s="1498"/>
      <c r="N4653" s="49"/>
      <c r="O4653" s="644"/>
      <c r="P4653" s="644"/>
      <c r="Q4653" s="1290"/>
      <c r="R4653" s="644"/>
      <c r="S4653" s="48"/>
      <c r="T4653" s="1341"/>
      <c r="U4653" s="48"/>
      <c r="V4653" s="48"/>
    </row>
    <row r="4654" spans="7:22">
      <c r="G4654" s="48"/>
      <c r="H4654" s="48"/>
      <c r="I4654" s="48"/>
      <c r="J4654" s="49"/>
      <c r="K4654" s="1498"/>
      <c r="L4654" s="49"/>
      <c r="M4654" s="1498"/>
      <c r="N4654" s="49"/>
      <c r="O4654" s="644"/>
      <c r="P4654" s="644"/>
      <c r="Q4654" s="1290"/>
      <c r="R4654" s="644"/>
      <c r="S4654" s="48"/>
      <c r="T4654" s="1341"/>
      <c r="U4654" s="48"/>
      <c r="V4654" s="48"/>
    </row>
    <row r="4655" spans="7:22">
      <c r="G4655" s="48"/>
      <c r="H4655" s="48"/>
      <c r="I4655" s="48"/>
      <c r="J4655" s="49"/>
      <c r="K4655" s="1498"/>
      <c r="L4655" s="49"/>
      <c r="M4655" s="1498"/>
      <c r="N4655" s="49"/>
      <c r="O4655" s="644"/>
      <c r="P4655" s="644"/>
      <c r="Q4655" s="1290"/>
      <c r="R4655" s="644"/>
      <c r="S4655" s="48"/>
      <c r="T4655" s="1341"/>
      <c r="U4655" s="48"/>
      <c r="V4655" s="48"/>
    </row>
    <row r="4656" spans="7:22">
      <c r="G4656" s="48"/>
      <c r="H4656" s="48"/>
      <c r="I4656" s="48"/>
      <c r="J4656" s="49"/>
      <c r="K4656" s="1498"/>
      <c r="L4656" s="49"/>
      <c r="M4656" s="1498"/>
      <c r="N4656" s="49"/>
      <c r="O4656" s="644"/>
      <c r="P4656" s="644"/>
      <c r="Q4656" s="1290"/>
      <c r="R4656" s="644"/>
      <c r="S4656" s="48"/>
      <c r="T4656" s="1341"/>
      <c r="U4656" s="48"/>
      <c r="V4656" s="48"/>
    </row>
    <row r="4657" spans="7:22">
      <c r="G4657" s="48"/>
      <c r="H4657" s="48"/>
      <c r="I4657" s="48"/>
      <c r="J4657" s="49"/>
      <c r="K4657" s="1498"/>
      <c r="L4657" s="49"/>
      <c r="M4657" s="1498"/>
      <c r="N4657" s="49"/>
      <c r="O4657" s="644"/>
      <c r="P4657" s="644"/>
      <c r="Q4657" s="1290"/>
      <c r="R4657" s="644"/>
      <c r="S4657" s="48"/>
      <c r="T4657" s="1341"/>
      <c r="U4657" s="48"/>
      <c r="V4657" s="48"/>
    </row>
    <row r="4658" spans="7:22">
      <c r="G4658" s="48"/>
      <c r="H4658" s="48"/>
      <c r="I4658" s="48"/>
      <c r="J4658" s="49"/>
      <c r="K4658" s="49"/>
      <c r="L4658" s="49"/>
      <c r="M4658" s="1498"/>
      <c r="N4658" s="49"/>
      <c r="O4658" s="644"/>
      <c r="P4658" s="644"/>
      <c r="Q4658" s="1290"/>
      <c r="R4658" s="644"/>
      <c r="S4658" s="48"/>
      <c r="T4658" s="1341"/>
      <c r="U4658" s="48"/>
      <c r="V4658" s="48"/>
    </row>
    <row r="4659" spans="7:22">
      <c r="G4659" s="48"/>
      <c r="H4659" s="48"/>
      <c r="I4659" s="48"/>
      <c r="J4659" s="954">
        <f>SUM(J4643:J4655)</f>
        <v>49800000</v>
      </c>
      <c r="K4659" s="954"/>
      <c r="L4659" s="954">
        <f>SUM(L4643:L4658)</f>
        <v>578000000</v>
      </c>
      <c r="M4659" s="1498"/>
      <c r="N4659" s="954">
        <f>SUM(N4643:N4658)</f>
        <v>746380000</v>
      </c>
      <c r="O4659" s="644"/>
      <c r="P4659" s="969">
        <f>SUM(P4643:P4650)</f>
        <v>14300000</v>
      </c>
      <c r="Q4659" s="969"/>
      <c r="R4659" s="969">
        <f>SUM(R4643:R4658)</f>
        <v>0</v>
      </c>
      <c r="S4659" s="48"/>
      <c r="T4659" s="1178">
        <f>SUM(T4643:T4658)</f>
        <v>7000</v>
      </c>
      <c r="U4659" s="48"/>
      <c r="V4659" s="878">
        <f>SUM(V4643:V4658)</f>
        <v>0</v>
      </c>
    </row>
    <row r="4660" spans="7:22">
      <c r="T4660" s="1340"/>
    </row>
    <row r="4661" spans="7:22">
      <c r="T4661" s="1340"/>
    </row>
    <row r="4662" spans="7:22">
      <c r="R4662" s="661"/>
      <c r="T4662" s="1340"/>
    </row>
    <row r="4663" spans="7:22">
      <c r="T4663" s="1340"/>
    </row>
    <row r="4664" spans="7:22">
      <c r="T4664" s="1340"/>
    </row>
    <row r="4665" spans="7:22">
      <c r="I4665" s="946"/>
      <c r="M4665" s="1533" t="s">
        <v>3699</v>
      </c>
      <c r="O4665" s="1535" t="s">
        <v>3741</v>
      </c>
      <c r="P4665" s="1512">
        <f>P4659-R4659</f>
        <v>14300000</v>
      </c>
      <c r="S4665" s="906" t="s">
        <v>4049</v>
      </c>
      <c r="T4665" s="1107">
        <f>T4659-V4659</f>
        <v>7000</v>
      </c>
    </row>
    <row r="4666" spans="7:22">
      <c r="G4666" s="1574" t="s">
        <v>3530</v>
      </c>
      <c r="H4666" s="1574"/>
      <c r="I4666" s="1574"/>
      <c r="J4666" s="3">
        <f>J4659+L4659</f>
        <v>627800000</v>
      </c>
      <c r="K4666" s="1009"/>
      <c r="L4666" s="3"/>
      <c r="M4666" s="1533" t="s">
        <v>3664</v>
      </c>
      <c r="N4666" s="1527"/>
      <c r="O4666" s="1535" t="s">
        <v>4066</v>
      </c>
      <c r="P4666" s="1512"/>
      <c r="T4666" s="1340"/>
    </row>
    <row r="4667" spans="7:22">
      <c r="G4667" s="1574" t="s">
        <v>3512</v>
      </c>
      <c r="H4667" s="1574"/>
      <c r="I4667" s="1574"/>
      <c r="J4667" s="3">
        <f>N4659-J4666</f>
        <v>118580000</v>
      </c>
      <c r="K4667" s="1009"/>
      <c r="L4667" s="3"/>
      <c r="M4667" s="1528"/>
      <c r="O4667" s="1529"/>
      <c r="Q4667" s="661"/>
      <c r="T4667" s="1340"/>
    </row>
    <row r="4668" spans="7:22">
      <c r="G4668" s="1574" t="s">
        <v>3531</v>
      </c>
      <c r="H4668" s="1574"/>
      <c r="I4668" s="1574"/>
      <c r="J4668" s="3">
        <f>T4665</f>
        <v>7000</v>
      </c>
      <c r="Q4668" s="3"/>
      <c r="T4668" s="1340"/>
    </row>
    <row r="4669" spans="7:22">
      <c r="G4669" s="1564" t="s">
        <v>4455</v>
      </c>
      <c r="H4669" s="1564"/>
      <c r="I4669" s="1564"/>
      <c r="J4669" s="3">
        <f>+P4665</f>
        <v>14300000</v>
      </c>
      <c r="R4669" s="3"/>
      <c r="T4669" s="1340"/>
    </row>
    <row r="4672" spans="7:22">
      <c r="T4672" s="1340"/>
    </row>
    <row r="4673" spans="7:22">
      <c r="T4673" s="1340"/>
    </row>
    <row r="4674" spans="7:22">
      <c r="G4674" s="1008">
        <v>46088</v>
      </c>
      <c r="H4674" s="1169"/>
      <c r="I4674" s="1575" t="s">
        <v>3510</v>
      </c>
      <c r="J4674" s="1576"/>
      <c r="K4674" s="1575" t="s">
        <v>3509</v>
      </c>
      <c r="L4674" s="1576"/>
      <c r="M4674" s="1575" t="s">
        <v>3541</v>
      </c>
      <c r="N4674" s="1576"/>
      <c r="O4674" s="1577" t="s">
        <v>3598</v>
      </c>
      <c r="P4674" s="1578"/>
      <c r="Q4674" s="1579" t="s">
        <v>3599</v>
      </c>
      <c r="R4674" s="1580"/>
      <c r="S4674" s="1583" t="s">
        <v>3953</v>
      </c>
      <c r="T4674" s="1583"/>
      <c r="U4674" s="1583" t="s">
        <v>3954</v>
      </c>
      <c r="V4674" s="1583"/>
    </row>
    <row r="4675" spans="7:22">
      <c r="G4675" s="1097"/>
      <c r="H4675" s="1261"/>
      <c r="I4675" s="1347" t="s">
        <v>4898</v>
      </c>
      <c r="J4675" s="49">
        <v>9200000</v>
      </c>
      <c r="K4675" s="1495" t="s">
        <v>4541</v>
      </c>
      <c r="L4675" s="49">
        <v>200000</v>
      </c>
      <c r="M4675" s="1495" t="s">
        <v>4613</v>
      </c>
      <c r="N4675" s="1495">
        <v>314500000</v>
      </c>
      <c r="O4675" s="1383"/>
      <c r="P4675" s="644"/>
      <c r="Q4675" s="1279"/>
      <c r="R4675" s="644"/>
      <c r="S4675" s="1223"/>
      <c r="T4675" s="1191"/>
      <c r="U4675" s="1232"/>
      <c r="V4675" s="48"/>
    </row>
    <row r="4676" spans="7:22">
      <c r="G4676" s="1098"/>
      <c r="H4676" s="1172"/>
      <c r="I4676" s="1348" t="s">
        <v>4899</v>
      </c>
      <c r="J4676" s="49">
        <v>30050000</v>
      </c>
      <c r="K4676" s="1493" t="s">
        <v>4801</v>
      </c>
      <c r="L4676" s="49">
        <v>500000</v>
      </c>
      <c r="M4676" s="1495" t="s">
        <v>4896</v>
      </c>
      <c r="N4676" s="49">
        <v>27600000</v>
      </c>
      <c r="O4676" s="1383" t="s">
        <v>4712</v>
      </c>
      <c r="P4676" s="644">
        <v>14300000</v>
      </c>
      <c r="Q4676" s="1290"/>
      <c r="R4676" s="1290"/>
      <c r="S4676" s="1296" t="s">
        <v>4613</v>
      </c>
      <c r="T4676" s="1191">
        <v>9800</v>
      </c>
      <c r="U4676" s="48"/>
      <c r="V4676" s="49"/>
    </row>
    <row r="4677" spans="7:22">
      <c r="G4677" s="48"/>
      <c r="H4677" s="48"/>
      <c r="I4677" s="1349" t="s">
        <v>4900</v>
      </c>
      <c r="J4677" s="49">
        <v>30050000</v>
      </c>
      <c r="K4677" s="49" t="s">
        <v>4647</v>
      </c>
      <c r="L4677" s="49">
        <v>4000000</v>
      </c>
      <c r="M4677" s="1495" t="s">
        <v>4897</v>
      </c>
      <c r="N4677" s="49">
        <v>30000000</v>
      </c>
      <c r="O4677" s="1383"/>
      <c r="P4677" s="644"/>
      <c r="Q4677" s="1336"/>
      <c r="R4677" s="644"/>
      <c r="S4677" s="1348" t="s">
        <v>2316</v>
      </c>
      <c r="T4677" s="1191">
        <v>7000</v>
      </c>
      <c r="U4677" s="1287"/>
      <c r="V4677" s="1191"/>
    </row>
    <row r="4678" spans="7:22">
      <c r="G4678" s="48"/>
      <c r="H4678" s="48"/>
      <c r="I4678" s="1349" t="s">
        <v>4901</v>
      </c>
      <c r="J4678" s="49">
        <v>31900000</v>
      </c>
      <c r="K4678" s="1493" t="s">
        <v>4541</v>
      </c>
      <c r="L4678" s="49">
        <v>600000</v>
      </c>
      <c r="M4678" s="1493"/>
      <c r="N4678" s="49"/>
      <c r="O4678" s="1383"/>
      <c r="P4678" s="644"/>
      <c r="Q4678" s="1303"/>
      <c r="R4678" s="644"/>
      <c r="S4678" s="1349" t="s">
        <v>4895</v>
      </c>
      <c r="T4678" s="1341">
        <v>100</v>
      </c>
      <c r="U4678" s="1289"/>
      <c r="V4678" s="1341"/>
    </row>
    <row r="4679" spans="7:22">
      <c r="G4679" s="48"/>
      <c r="H4679" s="48"/>
      <c r="I4679" s="1349" t="s">
        <v>4902</v>
      </c>
      <c r="J4679" s="49">
        <v>93000000</v>
      </c>
      <c r="K4679" s="1493" t="s">
        <v>4551</v>
      </c>
      <c r="L4679" s="49">
        <v>500000</v>
      </c>
      <c r="M4679" s="49"/>
      <c r="N4679" s="49"/>
      <c r="O4679" s="1383"/>
      <c r="P4679" s="644"/>
      <c r="Q4679" s="1288"/>
      <c r="R4679" s="644"/>
      <c r="S4679" s="48" t="s">
        <v>4896</v>
      </c>
      <c r="T4679" s="1341">
        <v>200</v>
      </c>
      <c r="U4679" s="48"/>
      <c r="V4679" s="49"/>
    </row>
    <row r="4680" spans="7:22">
      <c r="G4680" s="48"/>
      <c r="H4680" s="48"/>
      <c r="I4680" s="1344"/>
      <c r="J4680" s="49"/>
      <c r="K4680" s="1493" t="s">
        <v>4703</v>
      </c>
      <c r="L4680" s="49">
        <v>1800000</v>
      </c>
      <c r="M4680" s="1495"/>
      <c r="N4680" s="49"/>
      <c r="O4680" s="1383"/>
      <c r="P4680" s="644"/>
      <c r="Q4680" s="1302"/>
      <c r="R4680" s="644"/>
      <c r="S4680" s="48"/>
      <c r="T4680" s="1341"/>
      <c r="U4680" s="48"/>
      <c r="V4680" s="49"/>
    </row>
    <row r="4681" spans="7:22">
      <c r="G4681" s="48"/>
      <c r="H4681" s="48"/>
      <c r="I4681" s="1344"/>
      <c r="J4681" s="49"/>
      <c r="K4681" s="1493" t="s">
        <v>4903</v>
      </c>
      <c r="L4681" s="49">
        <v>1000000</v>
      </c>
      <c r="M4681" s="1495"/>
      <c r="N4681" s="49"/>
      <c r="O4681" s="1383"/>
      <c r="P4681" s="644"/>
      <c r="Q4681" s="1290"/>
      <c r="R4681" s="644"/>
      <c r="S4681" s="48"/>
      <c r="T4681" s="1341"/>
      <c r="U4681" s="48"/>
      <c r="V4681" s="49"/>
    </row>
    <row r="4682" spans="7:22">
      <c r="G4682" s="48"/>
      <c r="H4682" s="48"/>
      <c r="I4682" s="1344"/>
      <c r="J4682" s="49"/>
      <c r="K4682" s="1532"/>
      <c r="L4682" s="49"/>
      <c r="M4682" s="1498"/>
      <c r="N4682" s="49"/>
      <c r="O4682" s="1383"/>
      <c r="P4682" s="644"/>
      <c r="Q4682" s="1291"/>
      <c r="R4682" s="644"/>
      <c r="S4682" s="48"/>
      <c r="T4682" s="1341"/>
      <c r="U4682" s="48"/>
      <c r="V4682" s="49"/>
    </row>
    <row r="4683" spans="7:22">
      <c r="G4683" s="48"/>
      <c r="H4683" s="48"/>
      <c r="I4683" s="1344"/>
      <c r="J4683" s="49"/>
      <c r="K4683" s="1495"/>
      <c r="L4683" s="49"/>
      <c r="M4683" s="1498"/>
      <c r="N4683" s="49"/>
      <c r="O4683" s="644"/>
      <c r="P4683" s="644"/>
      <c r="Q4683" s="1290"/>
      <c r="R4683" s="644"/>
      <c r="S4683" s="48"/>
      <c r="T4683" s="1341"/>
      <c r="U4683" s="48"/>
      <c r="V4683" s="49"/>
    </row>
    <row r="4684" spans="7:22">
      <c r="G4684" s="48"/>
      <c r="H4684" s="48"/>
      <c r="I4684" s="48"/>
      <c r="J4684" s="49"/>
      <c r="K4684" s="1498"/>
      <c r="L4684" s="49"/>
      <c r="M4684" s="1498"/>
      <c r="N4684" s="49"/>
      <c r="O4684" s="644"/>
      <c r="P4684" s="644"/>
      <c r="Q4684" s="1290"/>
      <c r="R4684" s="644"/>
      <c r="S4684" s="48"/>
      <c r="T4684" s="1341"/>
      <c r="U4684" s="48"/>
      <c r="V4684" s="49"/>
    </row>
    <row r="4685" spans="7:22">
      <c r="G4685" s="48"/>
      <c r="H4685" s="48"/>
      <c r="I4685" s="48"/>
      <c r="J4685" s="49"/>
      <c r="K4685" s="1495"/>
      <c r="L4685" s="49"/>
      <c r="M4685" s="1498"/>
      <c r="N4685" s="49"/>
      <c r="O4685" s="644"/>
      <c r="P4685" s="644"/>
      <c r="Q4685" s="1290"/>
      <c r="R4685" s="644"/>
      <c r="S4685" s="48"/>
      <c r="T4685" s="1341"/>
      <c r="U4685" s="48"/>
      <c r="V4685" s="48"/>
    </row>
    <row r="4686" spans="7:22">
      <c r="G4686" s="48"/>
      <c r="H4686" s="48"/>
      <c r="I4686" s="48"/>
      <c r="J4686" s="49"/>
      <c r="K4686" s="1498"/>
      <c r="L4686" s="49"/>
      <c r="M4686" s="1498"/>
      <c r="N4686" s="49"/>
      <c r="O4686" s="644"/>
      <c r="P4686" s="644"/>
      <c r="Q4686" s="1290"/>
      <c r="R4686" s="644"/>
      <c r="S4686" s="48"/>
      <c r="T4686" s="1341"/>
      <c r="U4686" s="48"/>
      <c r="V4686" s="48"/>
    </row>
    <row r="4687" spans="7:22">
      <c r="G4687" s="48"/>
      <c r="H4687" s="48"/>
      <c r="I4687" s="48"/>
      <c r="J4687" s="49"/>
      <c r="K4687" s="1498"/>
      <c r="L4687" s="49"/>
      <c r="M4687" s="1498"/>
      <c r="N4687" s="49"/>
      <c r="O4687" s="644"/>
      <c r="P4687" s="644"/>
      <c r="Q4687" s="1290"/>
      <c r="R4687" s="644"/>
      <c r="S4687" s="48"/>
      <c r="T4687" s="1341"/>
      <c r="U4687" s="48"/>
      <c r="V4687" s="48"/>
    </row>
    <row r="4688" spans="7:22">
      <c r="G4688" s="48"/>
      <c r="H4688" s="48"/>
      <c r="I4688" s="48"/>
      <c r="J4688" s="49"/>
      <c r="K4688" s="1498"/>
      <c r="L4688" s="49"/>
      <c r="M4688" s="1498"/>
      <c r="N4688" s="49"/>
      <c r="O4688" s="644"/>
      <c r="P4688" s="644"/>
      <c r="Q4688" s="1290"/>
      <c r="R4688" s="644"/>
      <c r="S4688" s="48"/>
      <c r="T4688" s="1341"/>
      <c r="U4688" s="48"/>
      <c r="V4688" s="48"/>
    </row>
    <row r="4689" spans="7:22">
      <c r="G4689" s="48"/>
      <c r="H4689" s="48"/>
      <c r="I4689" s="48"/>
      <c r="J4689" s="49"/>
      <c r="K4689" s="1498"/>
      <c r="L4689" s="49"/>
      <c r="M4689" s="1498"/>
      <c r="N4689" s="49"/>
      <c r="O4689" s="644"/>
      <c r="P4689" s="644"/>
      <c r="Q4689" s="1290"/>
      <c r="R4689" s="644"/>
      <c r="S4689" s="48"/>
      <c r="T4689" s="1341"/>
      <c r="U4689" s="48"/>
      <c r="V4689" s="48"/>
    </row>
    <row r="4690" spans="7:22">
      <c r="G4690" s="48"/>
      <c r="H4690" s="48"/>
      <c r="I4690" s="48"/>
      <c r="J4690" s="49"/>
      <c r="K4690" s="49"/>
      <c r="L4690" s="49"/>
      <c r="M4690" s="1498"/>
      <c r="N4690" s="49"/>
      <c r="O4690" s="644"/>
      <c r="P4690" s="644"/>
      <c r="Q4690" s="1290"/>
      <c r="R4690" s="644"/>
      <c r="S4690" s="48"/>
      <c r="T4690" s="1341"/>
      <c r="U4690" s="48"/>
      <c r="V4690" s="48"/>
    </row>
    <row r="4691" spans="7:22">
      <c r="G4691" s="48"/>
      <c r="H4691" s="48"/>
      <c r="I4691" s="48"/>
      <c r="J4691" s="954">
        <f>SUM(J4675:J4687)</f>
        <v>194200000</v>
      </c>
      <c r="K4691" s="954"/>
      <c r="L4691" s="954">
        <f>SUM(L4675:L4690)</f>
        <v>8600000</v>
      </c>
      <c r="M4691" s="1498"/>
      <c r="N4691" s="954">
        <f>SUM(N4675:N4690)</f>
        <v>372100000</v>
      </c>
      <c r="O4691" s="644"/>
      <c r="P4691" s="969">
        <f>SUM(P4675:P4682)</f>
        <v>14300000</v>
      </c>
      <c r="Q4691" s="969"/>
      <c r="R4691" s="969">
        <f>SUM(R4675:R4690)</f>
        <v>0</v>
      </c>
      <c r="S4691" s="48"/>
      <c r="T4691" s="1178">
        <f>SUM(T4675:T4690)</f>
        <v>17100</v>
      </c>
      <c r="U4691" s="48"/>
      <c r="V4691" s="878">
        <f>SUM(V4675:V4690)</f>
        <v>0</v>
      </c>
    </row>
    <row r="4692" spans="7:22">
      <c r="T4692" s="1340"/>
    </row>
    <row r="4693" spans="7:22">
      <c r="T4693" s="1340"/>
    </row>
    <row r="4694" spans="7:22">
      <c r="R4694" s="661"/>
      <c r="T4694" s="1340"/>
    </row>
    <row r="4695" spans="7:22">
      <c r="T4695" s="1340"/>
    </row>
    <row r="4696" spans="7:22">
      <c r="T4696" s="1340"/>
    </row>
    <row r="4697" spans="7:22">
      <c r="I4697" s="946"/>
      <c r="M4697" s="1533" t="s">
        <v>3699</v>
      </c>
      <c r="O4697" s="1535" t="s">
        <v>3741</v>
      </c>
      <c r="P4697" s="1512">
        <f>P4691-R4691</f>
        <v>14300000</v>
      </c>
      <c r="S4697" s="906" t="s">
        <v>4049</v>
      </c>
      <c r="T4697" s="1107">
        <f>T4691-V4691</f>
        <v>17100</v>
      </c>
    </row>
    <row r="4698" spans="7:22">
      <c r="G4698" s="1574" t="s">
        <v>3530</v>
      </c>
      <c r="H4698" s="1574"/>
      <c r="I4698" s="1574"/>
      <c r="J4698" s="3">
        <f>J4691+L4691</f>
        <v>202800000</v>
      </c>
      <c r="K4698" s="1009"/>
      <c r="L4698" s="3"/>
      <c r="M4698" s="1533" t="s">
        <v>3664</v>
      </c>
      <c r="N4698" s="1527"/>
      <c r="O4698" s="1535" t="s">
        <v>4066</v>
      </c>
      <c r="P4698" s="1512"/>
      <c r="T4698" s="1340"/>
    </row>
    <row r="4699" spans="7:22">
      <c r="G4699" s="1574" t="s">
        <v>3512</v>
      </c>
      <c r="H4699" s="1574"/>
      <c r="I4699" s="1574"/>
      <c r="J4699" s="3">
        <f>N4691-J4698</f>
        <v>169300000</v>
      </c>
      <c r="K4699" s="1009"/>
      <c r="L4699" s="3"/>
      <c r="M4699" s="1528"/>
      <c r="O4699" s="1529"/>
      <c r="Q4699" s="661"/>
      <c r="T4699" s="1340"/>
    </row>
    <row r="4700" spans="7:22">
      <c r="G4700" s="1574" t="s">
        <v>3531</v>
      </c>
      <c r="H4700" s="1574"/>
      <c r="I4700" s="1574"/>
      <c r="J4700" s="3">
        <f>T4697</f>
        <v>17100</v>
      </c>
      <c r="Q4700" s="3"/>
      <c r="T4700" s="1340"/>
    </row>
    <row r="4701" spans="7:22">
      <c r="G4701" s="1564" t="s">
        <v>4455</v>
      </c>
      <c r="H4701" s="1564"/>
      <c r="I4701" s="1564"/>
      <c r="J4701" s="3">
        <f>+P4697</f>
        <v>14300000</v>
      </c>
      <c r="R4701" s="3"/>
      <c r="T4701" s="1340"/>
    </row>
    <row r="4702" spans="7:22">
      <c r="T4702" s="1340"/>
    </row>
    <row r="4704" spans="7:22">
      <c r="T4704" s="1340"/>
    </row>
    <row r="4705" spans="7:22">
      <c r="T4705" s="1340"/>
    </row>
    <row r="4706" spans="7:22">
      <c r="G4706" s="1008">
        <v>46089</v>
      </c>
      <c r="H4706" s="1169"/>
      <c r="I4706" s="1575" t="s">
        <v>3510</v>
      </c>
      <c r="J4706" s="1576"/>
      <c r="K4706" s="1575" t="s">
        <v>3509</v>
      </c>
      <c r="L4706" s="1576"/>
      <c r="M4706" s="1575" t="s">
        <v>3541</v>
      </c>
      <c r="N4706" s="1576"/>
      <c r="O4706" s="1577" t="s">
        <v>3598</v>
      </c>
      <c r="P4706" s="1578"/>
      <c r="Q4706" s="1579" t="s">
        <v>3599</v>
      </c>
      <c r="R4706" s="1580"/>
      <c r="S4706" s="1583" t="s">
        <v>3953</v>
      </c>
      <c r="T4706" s="1583"/>
      <c r="U4706" s="1583" t="s">
        <v>3954</v>
      </c>
      <c r="V4706" s="1583"/>
    </row>
    <row r="4707" spans="7:22">
      <c r="G4707" s="1097"/>
      <c r="H4707" s="1261"/>
      <c r="I4707" s="1347"/>
      <c r="J4707" s="49"/>
      <c r="K4707" s="1495" t="s">
        <v>4474</v>
      </c>
      <c r="L4707" s="49">
        <v>2000000</v>
      </c>
      <c r="M4707" s="1495" t="s">
        <v>4613</v>
      </c>
      <c r="N4707" s="1495">
        <v>47000000</v>
      </c>
      <c r="O4707" s="1383"/>
      <c r="P4707" s="644"/>
      <c r="Q4707" s="1279"/>
      <c r="R4707" s="644"/>
      <c r="S4707" s="1223"/>
      <c r="T4707" s="1191"/>
      <c r="U4707" s="1232"/>
      <c r="V4707" s="48"/>
    </row>
    <row r="4708" spans="7:22">
      <c r="G4708" s="1098"/>
      <c r="H4708" s="1172"/>
      <c r="I4708" s="1348"/>
      <c r="J4708" s="49"/>
      <c r="K4708" s="1493" t="s">
        <v>3537</v>
      </c>
      <c r="L4708" s="49">
        <v>1000000</v>
      </c>
      <c r="M4708" s="1495" t="s">
        <v>4904</v>
      </c>
      <c r="N4708" s="49">
        <v>33000000</v>
      </c>
      <c r="O4708" s="1383" t="s">
        <v>4712</v>
      </c>
      <c r="P4708" s="644">
        <v>14300000</v>
      </c>
      <c r="Q4708" s="1290"/>
      <c r="R4708" s="1290"/>
      <c r="S4708" s="1296" t="s">
        <v>4613</v>
      </c>
      <c r="T4708" s="1191">
        <v>17100</v>
      </c>
      <c r="U4708" s="48"/>
      <c r="V4708" s="49"/>
    </row>
    <row r="4709" spans="7:22">
      <c r="G4709" s="48"/>
      <c r="H4709" s="48"/>
      <c r="I4709" s="1349"/>
      <c r="J4709" s="49"/>
      <c r="K4709" s="49"/>
      <c r="L4709" s="49"/>
      <c r="M4709" s="1495" t="s">
        <v>4905</v>
      </c>
      <c r="N4709" s="49">
        <v>2000000</v>
      </c>
      <c r="O4709" s="1383"/>
      <c r="P4709" s="644"/>
      <c r="Q4709" s="1336"/>
      <c r="R4709" s="644"/>
      <c r="S4709" s="1348"/>
      <c r="T4709" s="1191"/>
      <c r="U4709" s="1287"/>
      <c r="V4709" s="1191"/>
    </row>
    <row r="4710" spans="7:22">
      <c r="G4710" s="48"/>
      <c r="H4710" s="48"/>
      <c r="I4710" s="1349"/>
      <c r="J4710" s="49"/>
      <c r="K4710" s="1493"/>
      <c r="L4710" s="49"/>
      <c r="M4710" s="1493"/>
      <c r="N4710" s="49"/>
      <c r="O4710" s="1383"/>
      <c r="P4710" s="644"/>
      <c r="Q4710" s="1303"/>
      <c r="R4710" s="644"/>
      <c r="S4710" s="1349"/>
      <c r="T4710" s="1341"/>
      <c r="U4710" s="1289"/>
      <c r="V4710" s="1341"/>
    </row>
    <row r="4711" spans="7:22">
      <c r="G4711" s="48"/>
      <c r="H4711" s="48"/>
      <c r="I4711" s="1349"/>
      <c r="J4711" s="49"/>
      <c r="K4711" s="1493"/>
      <c r="L4711" s="49"/>
      <c r="M4711" s="49"/>
      <c r="N4711" s="49"/>
      <c r="O4711" s="1383"/>
      <c r="P4711" s="644"/>
      <c r="Q4711" s="1288"/>
      <c r="R4711" s="644"/>
      <c r="S4711" s="48"/>
      <c r="T4711" s="1341"/>
      <c r="U4711" s="48"/>
      <c r="V4711" s="49"/>
    </row>
    <row r="4712" spans="7:22">
      <c r="G4712" s="48"/>
      <c r="H4712" s="48"/>
      <c r="I4712" s="1344"/>
      <c r="J4712" s="49"/>
      <c r="K4712" s="1493"/>
      <c r="L4712" s="49"/>
      <c r="M4712" s="1495"/>
      <c r="N4712" s="49"/>
      <c r="O4712" s="1383"/>
      <c r="P4712" s="644"/>
      <c r="Q4712" s="1302"/>
      <c r="R4712" s="644"/>
      <c r="S4712" s="48"/>
      <c r="T4712" s="1341"/>
      <c r="U4712" s="48"/>
      <c r="V4712" s="49"/>
    </row>
    <row r="4713" spans="7:22">
      <c r="G4713" s="48"/>
      <c r="H4713" s="48"/>
      <c r="I4713" s="1344"/>
      <c r="J4713" s="49"/>
      <c r="K4713" s="1493"/>
      <c r="L4713" s="49"/>
      <c r="M4713" s="1495"/>
      <c r="N4713" s="49"/>
      <c r="O4713" s="1383"/>
      <c r="P4713" s="644"/>
      <c r="Q4713" s="1290"/>
      <c r="R4713" s="644"/>
      <c r="S4713" s="48"/>
      <c r="T4713" s="1341"/>
      <c r="U4713" s="48"/>
      <c r="V4713" s="49"/>
    </row>
    <row r="4714" spans="7:22">
      <c r="G4714" s="48"/>
      <c r="H4714" s="48"/>
      <c r="I4714" s="1344"/>
      <c r="J4714" s="49"/>
      <c r="K4714" s="1532"/>
      <c r="L4714" s="49"/>
      <c r="M4714" s="1498"/>
      <c r="N4714" s="49"/>
      <c r="O4714" s="1383"/>
      <c r="P4714" s="644"/>
      <c r="Q4714" s="1291"/>
      <c r="R4714" s="644"/>
      <c r="S4714" s="48"/>
      <c r="T4714" s="1341"/>
      <c r="U4714" s="48"/>
      <c r="V4714" s="49"/>
    </row>
    <row r="4715" spans="7:22">
      <c r="G4715" s="48"/>
      <c r="H4715" s="48"/>
      <c r="I4715" s="1344"/>
      <c r="J4715" s="49"/>
      <c r="K4715" s="1495"/>
      <c r="L4715" s="49"/>
      <c r="M4715" s="1498"/>
      <c r="N4715" s="49"/>
      <c r="O4715" s="644"/>
      <c r="P4715" s="644"/>
      <c r="Q4715" s="1290"/>
      <c r="R4715" s="644"/>
      <c r="S4715" s="48"/>
      <c r="T4715" s="1341"/>
      <c r="U4715" s="48"/>
      <c r="V4715" s="49"/>
    </row>
    <row r="4716" spans="7:22">
      <c r="G4716" s="48"/>
      <c r="H4716" s="48"/>
      <c r="I4716" s="48"/>
      <c r="J4716" s="49"/>
      <c r="K4716" s="1498"/>
      <c r="L4716" s="49"/>
      <c r="M4716" s="1498"/>
      <c r="N4716" s="49"/>
      <c r="O4716" s="644"/>
      <c r="P4716" s="644"/>
      <c r="Q4716" s="1290"/>
      <c r="R4716" s="644"/>
      <c r="S4716" s="48"/>
      <c r="T4716" s="1341"/>
      <c r="U4716" s="48"/>
      <c r="V4716" s="49"/>
    </row>
    <row r="4717" spans="7:22">
      <c r="G4717" s="48"/>
      <c r="H4717" s="48"/>
      <c r="I4717" s="48"/>
      <c r="J4717" s="49"/>
      <c r="K4717" s="1495"/>
      <c r="L4717" s="49"/>
      <c r="M4717" s="1498"/>
      <c r="N4717" s="49"/>
      <c r="O4717" s="644"/>
      <c r="P4717" s="644"/>
      <c r="Q4717" s="1290"/>
      <c r="R4717" s="644"/>
      <c r="S4717" s="48"/>
      <c r="T4717" s="1341"/>
      <c r="U4717" s="48"/>
      <c r="V4717" s="48"/>
    </row>
    <row r="4718" spans="7:22">
      <c r="G4718" s="48"/>
      <c r="H4718" s="48"/>
      <c r="I4718" s="48"/>
      <c r="J4718" s="49"/>
      <c r="K4718" s="1498"/>
      <c r="L4718" s="49"/>
      <c r="M4718" s="1498"/>
      <c r="N4718" s="49"/>
      <c r="O4718" s="644"/>
      <c r="P4718" s="644"/>
      <c r="Q4718" s="1290"/>
      <c r="R4718" s="644"/>
      <c r="S4718" s="48"/>
      <c r="T4718" s="1341"/>
      <c r="U4718" s="48"/>
      <c r="V4718" s="48"/>
    </row>
    <row r="4719" spans="7:22">
      <c r="G4719" s="48"/>
      <c r="H4719" s="48"/>
      <c r="I4719" s="48"/>
      <c r="J4719" s="49"/>
      <c r="K4719" s="1498"/>
      <c r="L4719" s="49"/>
      <c r="M4719" s="1498"/>
      <c r="N4719" s="49"/>
      <c r="O4719" s="644"/>
      <c r="P4719" s="644"/>
      <c r="Q4719" s="1290"/>
      <c r="R4719" s="644"/>
      <c r="S4719" s="48"/>
      <c r="T4719" s="1341"/>
      <c r="U4719" s="48"/>
      <c r="V4719" s="48"/>
    </row>
    <row r="4720" spans="7:22">
      <c r="G4720" s="48"/>
      <c r="H4720" s="48"/>
      <c r="I4720" s="48"/>
      <c r="J4720" s="49"/>
      <c r="K4720" s="1498"/>
      <c r="L4720" s="49"/>
      <c r="M4720" s="1498"/>
      <c r="N4720" s="49"/>
      <c r="O4720" s="644"/>
      <c r="P4720" s="644"/>
      <c r="Q4720" s="1290"/>
      <c r="R4720" s="644"/>
      <c r="S4720" s="48"/>
      <c r="T4720" s="1341"/>
      <c r="U4720" s="48"/>
      <c r="V4720" s="48"/>
    </row>
    <row r="4721" spans="7:22">
      <c r="G4721" s="48"/>
      <c r="H4721" s="48"/>
      <c r="I4721" s="48"/>
      <c r="J4721" s="49"/>
      <c r="K4721" s="1498"/>
      <c r="L4721" s="49"/>
      <c r="M4721" s="1498"/>
      <c r="N4721" s="49"/>
      <c r="O4721" s="644"/>
      <c r="P4721" s="644"/>
      <c r="Q4721" s="1290"/>
      <c r="R4721" s="644"/>
      <c r="S4721" s="48"/>
      <c r="T4721" s="1341"/>
      <c r="U4721" s="48"/>
      <c r="V4721" s="48"/>
    </row>
    <row r="4722" spans="7:22">
      <c r="G4722" s="48"/>
      <c r="H4722" s="48"/>
      <c r="I4722" s="48"/>
      <c r="J4722" s="49"/>
      <c r="K4722" s="49"/>
      <c r="L4722" s="49"/>
      <c r="M4722" s="1498"/>
      <c r="N4722" s="49"/>
      <c r="O4722" s="644"/>
      <c r="P4722" s="644"/>
      <c r="Q4722" s="1290"/>
      <c r="R4722" s="644"/>
      <c r="S4722" s="48"/>
      <c r="T4722" s="1341"/>
      <c r="U4722" s="48"/>
      <c r="V4722" s="48"/>
    </row>
    <row r="4723" spans="7:22">
      <c r="G4723" s="48"/>
      <c r="H4723" s="48"/>
      <c r="I4723" s="48"/>
      <c r="J4723" s="954">
        <f>SUM(J4707:J4719)</f>
        <v>0</v>
      </c>
      <c r="K4723" s="954"/>
      <c r="L4723" s="954">
        <f>SUM(L4707:L4722)</f>
        <v>3000000</v>
      </c>
      <c r="M4723" s="1498"/>
      <c r="N4723" s="954">
        <f>SUM(N4707:N4722)</f>
        <v>82000000</v>
      </c>
      <c r="O4723" s="644"/>
      <c r="P4723" s="969">
        <f>SUM(P4707:P4714)</f>
        <v>14300000</v>
      </c>
      <c r="Q4723" s="969"/>
      <c r="R4723" s="969">
        <f>SUM(R4707:R4722)</f>
        <v>0</v>
      </c>
      <c r="S4723" s="48"/>
      <c r="T4723" s="1178">
        <f>SUM(T4707:T4722)</f>
        <v>17100</v>
      </c>
      <c r="U4723" s="48"/>
      <c r="V4723" s="878">
        <f>SUM(V4707:V4722)</f>
        <v>0</v>
      </c>
    </row>
    <row r="4724" spans="7:22">
      <c r="T4724" s="1340"/>
    </row>
    <row r="4725" spans="7:22">
      <c r="T4725" s="1340"/>
    </row>
    <row r="4726" spans="7:22">
      <c r="R4726" s="661"/>
      <c r="T4726" s="1340"/>
    </row>
    <row r="4727" spans="7:22">
      <c r="T4727" s="1340"/>
    </row>
    <row r="4728" spans="7:22">
      <c r="T4728" s="1340"/>
    </row>
    <row r="4729" spans="7:22">
      <c r="I4729" s="946"/>
      <c r="M4729" s="1533" t="s">
        <v>3699</v>
      </c>
      <c r="O4729" s="1535" t="s">
        <v>3741</v>
      </c>
      <c r="P4729" s="1512">
        <f>P4723-R4723</f>
        <v>14300000</v>
      </c>
      <c r="S4729" s="906" t="s">
        <v>4049</v>
      </c>
      <c r="T4729" s="1107">
        <f>T4723-V4723</f>
        <v>17100</v>
      </c>
    </row>
    <row r="4730" spans="7:22">
      <c r="G4730" s="1574" t="s">
        <v>3530</v>
      </c>
      <c r="H4730" s="1574"/>
      <c r="I4730" s="1574"/>
      <c r="J4730" s="3">
        <f>J4723+L4723</f>
        <v>3000000</v>
      </c>
      <c r="K4730" s="1009"/>
      <c r="L4730" s="3"/>
      <c r="M4730" s="1533" t="s">
        <v>3664</v>
      </c>
      <c r="N4730" s="1527"/>
      <c r="O4730" s="1535" t="s">
        <v>4066</v>
      </c>
      <c r="P4730" s="1512"/>
      <c r="T4730" s="1340"/>
    </row>
    <row r="4731" spans="7:22">
      <c r="G4731" s="1574" t="s">
        <v>3512</v>
      </c>
      <c r="H4731" s="1574"/>
      <c r="I4731" s="1574"/>
      <c r="J4731" s="3">
        <f>N4723-J4730</f>
        <v>79000000</v>
      </c>
      <c r="K4731" s="1009"/>
      <c r="L4731" s="3"/>
      <c r="M4731" s="1528"/>
      <c r="O4731" s="1529"/>
      <c r="Q4731" s="661"/>
      <c r="T4731" s="1340"/>
    </row>
    <row r="4732" spans="7:22">
      <c r="G4732" s="1574" t="s">
        <v>3531</v>
      </c>
      <c r="H4732" s="1574"/>
      <c r="I4732" s="1574"/>
      <c r="J4732" s="3">
        <f>T4729</f>
        <v>17100</v>
      </c>
      <c r="Q4732" s="3"/>
      <c r="T4732" s="1340"/>
    </row>
    <row r="4733" spans="7:22">
      <c r="G4733" s="1564" t="s">
        <v>4455</v>
      </c>
      <c r="H4733" s="1564"/>
      <c r="I4733" s="1564"/>
      <c r="J4733" s="3">
        <f>+P4729</f>
        <v>14300000</v>
      </c>
      <c r="R4733" s="3"/>
      <c r="T4733" s="1340"/>
    </row>
    <row r="4734" spans="7:22">
      <c r="T4734" s="1340"/>
    </row>
    <row r="4735" spans="7:22">
      <c r="T4735" s="1340"/>
    </row>
    <row r="4736" spans="7:22" ht="13.8" customHeight="1">
      <c r="T4736" s="1340"/>
    </row>
    <row r="4737" spans="7:22">
      <c r="T4737" s="1340"/>
    </row>
    <row r="4738" spans="7:22">
      <c r="G4738" s="1008">
        <v>46090</v>
      </c>
      <c r="H4738" s="1169"/>
      <c r="I4738" s="1575" t="s">
        <v>3510</v>
      </c>
      <c r="J4738" s="1576"/>
      <c r="K4738" s="1575" t="s">
        <v>3509</v>
      </c>
      <c r="L4738" s="1576"/>
      <c r="M4738" s="1575" t="s">
        <v>3541</v>
      </c>
      <c r="N4738" s="1576"/>
      <c r="O4738" s="1577" t="s">
        <v>3598</v>
      </c>
      <c r="P4738" s="1578"/>
      <c r="Q4738" s="1579" t="s">
        <v>3599</v>
      </c>
      <c r="R4738" s="1580"/>
      <c r="S4738" s="1583" t="s">
        <v>3953</v>
      </c>
      <c r="T4738" s="1583"/>
      <c r="U4738" s="1583" t="s">
        <v>3954</v>
      </c>
      <c r="V4738" s="1583"/>
    </row>
    <row r="4739" spans="7:22">
      <c r="G4739" s="1097"/>
      <c r="H4739" s="1261"/>
      <c r="I4739" s="1352" t="s">
        <v>4907</v>
      </c>
      <c r="J4739" s="49">
        <v>37200000</v>
      </c>
      <c r="K4739" s="1495" t="s">
        <v>4735</v>
      </c>
      <c r="L4739" s="49">
        <v>700000</v>
      </c>
      <c r="M4739" s="1495" t="s">
        <v>4613</v>
      </c>
      <c r="N4739" s="1495">
        <v>41000000</v>
      </c>
      <c r="O4739" s="1383"/>
      <c r="P4739" s="644"/>
      <c r="Q4739" s="1279"/>
      <c r="R4739" s="644"/>
      <c r="S4739" s="1223"/>
      <c r="T4739" s="1191"/>
      <c r="U4739" s="1232"/>
      <c r="V4739" s="48"/>
    </row>
    <row r="4740" spans="7:22">
      <c r="G4740" s="1098"/>
      <c r="H4740" s="1172"/>
      <c r="I4740" s="1348"/>
      <c r="J4740" s="49"/>
      <c r="K4740" s="1493" t="s">
        <v>4777</v>
      </c>
      <c r="L4740" s="49">
        <v>3000000</v>
      </c>
      <c r="M4740" s="1495" t="s">
        <v>4906</v>
      </c>
      <c r="N4740" s="49">
        <v>14000000</v>
      </c>
      <c r="O4740" s="1383" t="s">
        <v>4712</v>
      </c>
      <c r="P4740" s="644">
        <v>4790000</v>
      </c>
      <c r="Q4740" s="1290"/>
      <c r="R4740" s="1290"/>
      <c r="S4740" s="1296" t="s">
        <v>4613</v>
      </c>
      <c r="T4740" s="1191">
        <v>17100</v>
      </c>
      <c r="U4740" s="48"/>
      <c r="V4740" s="49"/>
    </row>
    <row r="4741" spans="7:22">
      <c r="G4741" s="48"/>
      <c r="H4741" s="48"/>
      <c r="I4741" s="1349"/>
      <c r="J4741" s="49"/>
      <c r="K4741" s="49"/>
      <c r="L4741" s="49"/>
      <c r="M4741" s="1495"/>
      <c r="N4741" s="49"/>
      <c r="O4741" s="1383"/>
      <c r="P4741" s="644"/>
      <c r="Q4741" s="1336"/>
      <c r="R4741" s="644"/>
      <c r="S4741" s="1348"/>
      <c r="T4741" s="1191">
        <v>4500</v>
      </c>
      <c r="U4741" s="1287"/>
      <c r="V4741" s="1191"/>
    </row>
    <row r="4742" spans="7:22">
      <c r="G4742" s="48"/>
      <c r="H4742" s="48"/>
      <c r="I4742" s="1349"/>
      <c r="J4742" s="49"/>
      <c r="K4742" s="1493"/>
      <c r="L4742" s="49"/>
      <c r="M4742" s="1493"/>
      <c r="N4742" s="49"/>
      <c r="O4742" s="1383"/>
      <c r="P4742" s="644"/>
      <c r="Q4742" s="1303"/>
      <c r="R4742" s="644"/>
      <c r="S4742" s="1349"/>
      <c r="T4742" s="1341"/>
      <c r="U4742" s="1289"/>
      <c r="V4742" s="1341"/>
    </row>
    <row r="4743" spans="7:22">
      <c r="G4743" s="48"/>
      <c r="H4743" s="48"/>
      <c r="I4743" s="1349"/>
      <c r="J4743" s="49"/>
      <c r="K4743" s="1493"/>
      <c r="L4743" s="49"/>
      <c r="M4743" s="49"/>
      <c r="N4743" s="49"/>
      <c r="O4743" s="1383"/>
      <c r="P4743" s="644"/>
      <c r="Q4743" s="1288"/>
      <c r="R4743" s="644"/>
      <c r="S4743" s="48"/>
      <c r="T4743" s="1341"/>
      <c r="U4743" s="48"/>
      <c r="V4743" s="49"/>
    </row>
    <row r="4744" spans="7:22">
      <c r="G4744" s="48"/>
      <c r="H4744" s="48"/>
      <c r="I4744" s="1344"/>
      <c r="J4744" s="49"/>
      <c r="K4744" s="1493"/>
      <c r="L4744" s="49"/>
      <c r="M4744" s="1495"/>
      <c r="N4744" s="49"/>
      <c r="O4744" s="1383"/>
      <c r="P4744" s="644"/>
      <c r="Q4744" s="1302"/>
      <c r="R4744" s="644"/>
      <c r="S4744" s="48"/>
      <c r="T4744" s="1341"/>
      <c r="U4744" s="48"/>
      <c r="V4744" s="49"/>
    </row>
    <row r="4745" spans="7:22">
      <c r="G4745" s="48"/>
      <c r="H4745" s="48"/>
      <c r="I4745" s="1344"/>
      <c r="J4745" s="49"/>
      <c r="K4745" s="1493"/>
      <c r="L4745" s="49"/>
      <c r="M4745" s="1495"/>
      <c r="N4745" s="49"/>
      <c r="O4745" s="1383"/>
      <c r="P4745" s="644"/>
      <c r="Q4745" s="1290"/>
      <c r="R4745" s="644"/>
      <c r="S4745" s="48"/>
      <c r="T4745" s="1341"/>
      <c r="U4745" s="48"/>
      <c r="V4745" s="49"/>
    </row>
    <row r="4746" spans="7:22">
      <c r="G4746" s="48"/>
      <c r="H4746" s="48"/>
      <c r="I4746" s="1344"/>
      <c r="J4746" s="49"/>
      <c r="K4746" s="1532"/>
      <c r="L4746" s="49"/>
      <c r="M4746" s="1498"/>
      <c r="N4746" s="49"/>
      <c r="O4746" s="1383"/>
      <c r="P4746" s="644"/>
      <c r="Q4746" s="1291"/>
      <c r="R4746" s="644"/>
      <c r="S4746" s="48"/>
      <c r="T4746" s="1341"/>
      <c r="U4746" s="48"/>
      <c r="V4746" s="49"/>
    </row>
    <row r="4747" spans="7:22">
      <c r="G4747" s="48"/>
      <c r="H4747" s="48"/>
      <c r="I4747" s="1344"/>
      <c r="J4747" s="49"/>
      <c r="K4747" s="1495"/>
      <c r="L4747" s="49"/>
      <c r="M4747" s="1498"/>
      <c r="N4747" s="49"/>
      <c r="O4747" s="644"/>
      <c r="P4747" s="644"/>
      <c r="Q4747" s="1290"/>
      <c r="R4747" s="644"/>
      <c r="S4747" s="48"/>
      <c r="T4747" s="1341"/>
      <c r="U4747" s="48"/>
      <c r="V4747" s="49"/>
    </row>
    <row r="4748" spans="7:22">
      <c r="G4748" s="48"/>
      <c r="H4748" s="48"/>
      <c r="I4748" s="48"/>
      <c r="J4748" s="49"/>
      <c r="K4748" s="1498"/>
      <c r="L4748" s="49"/>
      <c r="M4748" s="1498"/>
      <c r="N4748" s="49"/>
      <c r="O4748" s="644"/>
      <c r="P4748" s="644"/>
      <c r="Q4748" s="1290"/>
      <c r="R4748" s="644"/>
      <c r="S4748" s="48"/>
      <c r="T4748" s="1341"/>
      <c r="U4748" s="48"/>
      <c r="V4748" s="49"/>
    </row>
    <row r="4749" spans="7:22">
      <c r="G4749" s="48"/>
      <c r="H4749" s="48"/>
      <c r="I4749" s="48"/>
      <c r="J4749" s="49"/>
      <c r="K4749" s="1495"/>
      <c r="L4749" s="49"/>
      <c r="M4749" s="1498"/>
      <c r="N4749" s="49"/>
      <c r="O4749" s="644"/>
      <c r="P4749" s="644"/>
      <c r="Q4749" s="1290"/>
      <c r="R4749" s="644"/>
      <c r="S4749" s="48"/>
      <c r="T4749" s="1341"/>
      <c r="U4749" s="48"/>
      <c r="V4749" s="48"/>
    </row>
    <row r="4750" spans="7:22">
      <c r="G4750" s="48"/>
      <c r="H4750" s="48"/>
      <c r="I4750" s="48"/>
      <c r="J4750" s="49"/>
      <c r="K4750" s="1498"/>
      <c r="L4750" s="49"/>
      <c r="M4750" s="1498"/>
      <c r="N4750" s="49"/>
      <c r="O4750" s="644"/>
      <c r="P4750" s="644"/>
      <c r="Q4750" s="1290"/>
      <c r="R4750" s="644"/>
      <c r="S4750" s="48"/>
      <c r="T4750" s="1341"/>
      <c r="U4750" s="48"/>
      <c r="V4750" s="48"/>
    </row>
    <row r="4751" spans="7:22">
      <c r="G4751" s="48"/>
      <c r="H4751" s="48"/>
      <c r="I4751" s="48"/>
      <c r="J4751" s="49"/>
      <c r="K4751" s="1498"/>
      <c r="L4751" s="49"/>
      <c r="M4751" s="1498"/>
      <c r="N4751" s="49"/>
      <c r="O4751" s="644"/>
      <c r="P4751" s="644"/>
      <c r="Q4751" s="1290"/>
      <c r="R4751" s="644"/>
      <c r="S4751" s="48"/>
      <c r="T4751" s="1341"/>
      <c r="U4751" s="48"/>
      <c r="V4751" s="48"/>
    </row>
    <row r="4752" spans="7:22">
      <c r="G4752" s="48"/>
      <c r="H4752" s="48"/>
      <c r="I4752" s="48"/>
      <c r="J4752" s="49"/>
      <c r="K4752" s="1498"/>
      <c r="L4752" s="49"/>
      <c r="M4752" s="1498"/>
      <c r="N4752" s="49"/>
      <c r="O4752" s="644"/>
      <c r="P4752" s="644"/>
      <c r="Q4752" s="1290"/>
      <c r="R4752" s="644"/>
      <c r="S4752" s="48"/>
      <c r="T4752" s="1341"/>
      <c r="U4752" s="48"/>
      <c r="V4752" s="48"/>
    </row>
    <row r="4753" spans="7:22">
      <c r="G4753" s="48"/>
      <c r="H4753" s="48"/>
      <c r="I4753" s="48"/>
      <c r="J4753" s="49"/>
      <c r="K4753" s="1498"/>
      <c r="L4753" s="49"/>
      <c r="M4753" s="1498"/>
      <c r="N4753" s="49"/>
      <c r="O4753" s="644"/>
      <c r="P4753" s="644"/>
      <c r="Q4753" s="1290"/>
      <c r="R4753" s="644"/>
      <c r="S4753" s="48"/>
      <c r="T4753" s="1341"/>
      <c r="U4753" s="48"/>
      <c r="V4753" s="48"/>
    </row>
    <row r="4754" spans="7:22">
      <c r="G4754" s="48"/>
      <c r="H4754" s="48"/>
      <c r="I4754" s="48"/>
      <c r="J4754" s="49"/>
      <c r="K4754" s="49"/>
      <c r="L4754" s="49"/>
      <c r="M4754" s="1498"/>
      <c r="N4754" s="49"/>
      <c r="O4754" s="644"/>
      <c r="P4754" s="644"/>
      <c r="Q4754" s="1290"/>
      <c r="R4754" s="644"/>
      <c r="S4754" s="48"/>
      <c r="T4754" s="1341"/>
      <c r="U4754" s="48"/>
      <c r="V4754" s="48"/>
    </row>
    <row r="4755" spans="7:22">
      <c r="G4755" s="48"/>
      <c r="H4755" s="48"/>
      <c r="I4755" s="48"/>
      <c r="J4755" s="954">
        <f>SUM(J4739:J4751)</f>
        <v>37200000</v>
      </c>
      <c r="K4755" s="954"/>
      <c r="L4755" s="954">
        <f>SUM(L4739:L4754)</f>
        <v>3700000</v>
      </c>
      <c r="M4755" s="1498"/>
      <c r="N4755" s="954">
        <f>SUM(N4739:N4754)</f>
        <v>55000000</v>
      </c>
      <c r="O4755" s="644"/>
      <c r="P4755" s="969">
        <f>SUM(P4739:P4746)</f>
        <v>4790000</v>
      </c>
      <c r="Q4755" s="969"/>
      <c r="R4755" s="969">
        <f>SUM(R4739:R4754)</f>
        <v>0</v>
      </c>
      <c r="S4755" s="48"/>
      <c r="T4755" s="1178">
        <f>SUM(T4739:T4754)</f>
        <v>21600</v>
      </c>
      <c r="U4755" s="48"/>
      <c r="V4755" s="878">
        <f>SUM(V4739:V4754)</f>
        <v>0</v>
      </c>
    </row>
    <row r="4756" spans="7:22">
      <c r="T4756" s="1340"/>
    </row>
    <row r="4757" spans="7:22">
      <c r="T4757" s="1340"/>
    </row>
    <row r="4758" spans="7:22">
      <c r="R4758" s="661"/>
      <c r="T4758" s="1340"/>
    </row>
    <row r="4759" spans="7:22">
      <c r="T4759" s="1340"/>
    </row>
    <row r="4760" spans="7:22">
      <c r="T4760" s="1340"/>
    </row>
    <row r="4761" spans="7:22">
      <c r="I4761" s="946"/>
      <c r="M4761" s="1533" t="s">
        <v>3699</v>
      </c>
      <c r="O4761" s="1535" t="s">
        <v>3741</v>
      </c>
      <c r="P4761" s="1512">
        <f>P4755-R4755</f>
        <v>4790000</v>
      </c>
      <c r="S4761" s="906" t="s">
        <v>4049</v>
      </c>
      <c r="T4761" s="1107">
        <f>T4755-V4755</f>
        <v>21600</v>
      </c>
    </row>
    <row r="4762" spans="7:22">
      <c r="G4762" s="1574" t="s">
        <v>3530</v>
      </c>
      <c r="H4762" s="1574"/>
      <c r="I4762" s="1574"/>
      <c r="J4762" s="3">
        <f>J4755+L4755</f>
        <v>40900000</v>
      </c>
      <c r="K4762" s="1009"/>
      <c r="L4762" s="3"/>
      <c r="M4762" s="1533" t="s">
        <v>3664</v>
      </c>
      <c r="N4762" s="1527"/>
      <c r="O4762" s="1535" t="s">
        <v>4066</v>
      </c>
      <c r="P4762" s="1512"/>
      <c r="T4762" s="1340"/>
    </row>
    <row r="4763" spans="7:22">
      <c r="G4763" s="1574" t="s">
        <v>3512</v>
      </c>
      <c r="H4763" s="1574"/>
      <c r="I4763" s="1574"/>
      <c r="J4763" s="3">
        <f>N4755-J4762</f>
        <v>14100000</v>
      </c>
      <c r="K4763" s="1009"/>
      <c r="L4763" s="3"/>
      <c r="M4763" s="1528"/>
      <c r="O4763" s="1529"/>
      <c r="Q4763" s="661"/>
      <c r="T4763" s="1340"/>
    </row>
    <row r="4764" spans="7:22">
      <c r="G4764" s="1574" t="s">
        <v>3531</v>
      </c>
      <c r="H4764" s="1574"/>
      <c r="I4764" s="1574"/>
      <c r="J4764" s="3">
        <f>T4761</f>
        <v>21600</v>
      </c>
      <c r="Q4764" s="3"/>
      <c r="T4764" s="1340"/>
    </row>
    <row r="4765" spans="7:22">
      <c r="G4765" s="1564" t="s">
        <v>4455</v>
      </c>
      <c r="H4765" s="1564"/>
      <c r="I4765" s="1564"/>
      <c r="J4765" s="3">
        <f>+P4761</f>
        <v>4790000</v>
      </c>
      <c r="R4765" s="3"/>
      <c r="T4765" s="1340"/>
    </row>
    <row r="4766" spans="7:22">
      <c r="T4766" s="1340"/>
    </row>
    <row r="4769" spans="7:22" ht="13.8" customHeight="1">
      <c r="T4769" s="1345"/>
    </row>
    <row r="4770" spans="7:22">
      <c r="T4770" s="1345"/>
    </row>
    <row r="4771" spans="7:22">
      <c r="G4771" s="1008">
        <v>46091</v>
      </c>
      <c r="H4771" s="1169"/>
      <c r="I4771" s="1575" t="s">
        <v>3510</v>
      </c>
      <c r="J4771" s="1576"/>
      <c r="K4771" s="1575" t="s">
        <v>3509</v>
      </c>
      <c r="L4771" s="1576"/>
      <c r="M4771" s="1575" t="s">
        <v>3541</v>
      </c>
      <c r="N4771" s="1576"/>
      <c r="O4771" s="1577" t="s">
        <v>3598</v>
      </c>
      <c r="P4771" s="1578"/>
      <c r="Q4771" s="1579" t="s">
        <v>3599</v>
      </c>
      <c r="R4771" s="1580"/>
      <c r="S4771" s="1583" t="s">
        <v>3953</v>
      </c>
      <c r="T4771" s="1583"/>
      <c r="U4771" s="1583" t="s">
        <v>3954</v>
      </c>
      <c r="V4771" s="1583"/>
    </row>
    <row r="4772" spans="7:22">
      <c r="G4772" s="1097"/>
      <c r="H4772" s="1261"/>
      <c r="I4772" s="1352" t="s">
        <v>4912</v>
      </c>
      <c r="J4772" s="49">
        <v>46500000</v>
      </c>
      <c r="K4772" s="1495" t="s">
        <v>4541</v>
      </c>
      <c r="L4772" s="49">
        <v>400000</v>
      </c>
      <c r="M4772" s="1495" t="s">
        <v>4613</v>
      </c>
      <c r="N4772" s="1495">
        <v>201000000</v>
      </c>
      <c r="O4772" s="1383"/>
      <c r="P4772" s="644"/>
      <c r="Q4772" s="1279"/>
      <c r="R4772" s="644"/>
      <c r="S4772" s="1223"/>
      <c r="T4772" s="1191"/>
      <c r="U4772" s="1232"/>
      <c r="V4772" s="48"/>
    </row>
    <row r="4773" spans="7:22">
      <c r="G4773" s="1098"/>
      <c r="H4773" s="1172"/>
      <c r="I4773" s="1353" t="s">
        <v>4914</v>
      </c>
      <c r="J4773" s="49">
        <v>30030000</v>
      </c>
      <c r="K4773" s="1493" t="s">
        <v>4913</v>
      </c>
      <c r="L4773" s="49">
        <v>2000000</v>
      </c>
      <c r="M4773" s="1495" t="s">
        <v>4908</v>
      </c>
      <c r="N4773" s="49">
        <v>28000000</v>
      </c>
      <c r="O4773" s="1383" t="s">
        <v>4712</v>
      </c>
      <c r="P4773" s="644">
        <v>4790000</v>
      </c>
      <c r="Q4773" s="1290"/>
      <c r="R4773" s="1290"/>
      <c r="S4773" s="1296" t="s">
        <v>4613</v>
      </c>
      <c r="T4773" s="1191">
        <v>21600</v>
      </c>
      <c r="U4773" s="48"/>
      <c r="V4773" s="49"/>
    </row>
    <row r="4774" spans="7:22">
      <c r="G4774" s="48"/>
      <c r="H4774" s="48"/>
      <c r="I4774" s="1354" t="s">
        <v>4915</v>
      </c>
      <c r="J4774" s="49">
        <v>92500000</v>
      </c>
      <c r="K4774" s="49" t="s">
        <v>4455</v>
      </c>
      <c r="L4774" s="49">
        <v>20000000</v>
      </c>
      <c r="M4774" s="1495" t="s">
        <v>4909</v>
      </c>
      <c r="N4774" s="49">
        <v>13500000</v>
      </c>
      <c r="O4774" s="1383"/>
      <c r="P4774" s="644"/>
      <c r="Q4774" s="1336"/>
      <c r="R4774" s="644"/>
      <c r="S4774" s="1353" t="s">
        <v>4923</v>
      </c>
      <c r="T4774" s="1191">
        <v>4400</v>
      </c>
      <c r="U4774" s="1353" t="s">
        <v>4922</v>
      </c>
      <c r="V4774" s="1191">
        <v>5000</v>
      </c>
    </row>
    <row r="4775" spans="7:22">
      <c r="G4775" s="48"/>
      <c r="H4775" s="48"/>
      <c r="I4775" s="1354" t="s">
        <v>4916</v>
      </c>
      <c r="J4775" s="49">
        <v>45600000</v>
      </c>
      <c r="K4775" s="1493" t="s">
        <v>4472</v>
      </c>
      <c r="L4775" s="49">
        <v>230000</v>
      </c>
      <c r="M4775" s="1493" t="s">
        <v>4910</v>
      </c>
      <c r="N4775" s="49">
        <v>17080000</v>
      </c>
      <c r="O4775" s="1383"/>
      <c r="P4775" s="644"/>
      <c r="Q4775" s="1303"/>
      <c r="R4775" s="644"/>
      <c r="S4775" s="1349"/>
      <c r="T4775" s="1346"/>
      <c r="U4775" s="1289"/>
      <c r="V4775" s="1346"/>
    </row>
    <row r="4776" spans="7:22">
      <c r="G4776" s="48"/>
      <c r="H4776" s="48"/>
      <c r="I4776" s="1354" t="s">
        <v>4917</v>
      </c>
      <c r="J4776" s="49">
        <v>46000000</v>
      </c>
      <c r="K4776" s="1493"/>
      <c r="L4776" s="49"/>
      <c r="M4776" s="49" t="s">
        <v>4455</v>
      </c>
      <c r="N4776" s="49">
        <v>1000000</v>
      </c>
      <c r="O4776" s="1383"/>
      <c r="P4776" s="644"/>
      <c r="Q4776" s="1288"/>
      <c r="R4776" s="644"/>
      <c r="S4776" s="48"/>
      <c r="T4776" s="1346"/>
      <c r="U4776" s="48"/>
      <c r="V4776" s="49"/>
    </row>
    <row r="4777" spans="7:22">
      <c r="G4777" s="48"/>
      <c r="H4777" s="48"/>
      <c r="I4777" s="1354" t="s">
        <v>4919</v>
      </c>
      <c r="J4777" s="49">
        <v>162200000</v>
      </c>
      <c r="K4777" s="1493"/>
      <c r="L4777" s="49"/>
      <c r="M4777" s="1495" t="s">
        <v>4911</v>
      </c>
      <c r="N4777" s="49">
        <v>30300000</v>
      </c>
      <c r="O4777" s="1383"/>
      <c r="P4777" s="644"/>
      <c r="Q4777" s="1302"/>
      <c r="R4777" s="644"/>
      <c r="S4777" s="48"/>
      <c r="T4777" s="1346"/>
      <c r="U4777" s="48"/>
      <c r="V4777" s="49"/>
    </row>
    <row r="4778" spans="7:22">
      <c r="G4778" s="48"/>
      <c r="H4778" s="48"/>
      <c r="I4778" s="1354" t="s">
        <v>4920</v>
      </c>
      <c r="J4778" s="49">
        <v>46000000</v>
      </c>
      <c r="K4778" s="1493"/>
      <c r="L4778" s="49"/>
      <c r="M4778" s="1495" t="s">
        <v>4495</v>
      </c>
      <c r="N4778" s="49">
        <v>700000000</v>
      </c>
      <c r="O4778" s="1383"/>
      <c r="P4778" s="644"/>
      <c r="Q4778" s="1290"/>
      <c r="R4778" s="644"/>
      <c r="S4778" s="48"/>
      <c r="T4778" s="1346"/>
      <c r="U4778" s="48"/>
      <c r="V4778" s="49"/>
    </row>
    <row r="4779" spans="7:22">
      <c r="G4779" s="48"/>
      <c r="H4779" s="48"/>
      <c r="I4779" s="1354" t="s">
        <v>4921</v>
      </c>
      <c r="J4779" s="49">
        <v>13950000</v>
      </c>
      <c r="K4779" s="1532"/>
      <c r="L4779" s="49"/>
      <c r="M4779" s="1498" t="s">
        <v>4918</v>
      </c>
      <c r="N4779" s="49">
        <v>2000000</v>
      </c>
      <c r="O4779" s="1383"/>
      <c r="P4779" s="644"/>
      <c r="Q4779" s="1291"/>
      <c r="R4779" s="644"/>
      <c r="S4779" s="48"/>
      <c r="T4779" s="1346"/>
      <c r="U4779" s="48"/>
      <c r="V4779" s="49"/>
    </row>
    <row r="4780" spans="7:22">
      <c r="G4780" s="48"/>
      <c r="H4780" s="48"/>
      <c r="I4780" s="1344"/>
      <c r="J4780" s="49"/>
      <c r="K4780" s="1495"/>
      <c r="L4780" s="49"/>
      <c r="M4780" s="1498"/>
      <c r="N4780" s="49"/>
      <c r="O4780" s="644"/>
      <c r="P4780" s="644"/>
      <c r="Q4780" s="1290"/>
      <c r="R4780" s="644"/>
      <c r="S4780" s="48"/>
      <c r="T4780" s="1346"/>
      <c r="U4780" s="48"/>
      <c r="V4780" s="49"/>
    </row>
    <row r="4781" spans="7:22">
      <c r="G4781" s="48"/>
      <c r="H4781" s="48"/>
      <c r="I4781" s="48"/>
      <c r="J4781" s="49"/>
      <c r="K4781" s="1498"/>
      <c r="L4781" s="49"/>
      <c r="M4781" s="1498"/>
      <c r="N4781" s="49"/>
      <c r="O4781" s="644"/>
      <c r="P4781" s="644"/>
      <c r="Q4781" s="1290"/>
      <c r="R4781" s="644"/>
      <c r="S4781" s="48"/>
      <c r="T4781" s="1346"/>
      <c r="U4781" s="48"/>
      <c r="V4781" s="49"/>
    </row>
    <row r="4782" spans="7:22">
      <c r="G4782" s="48"/>
      <c r="H4782" s="48"/>
      <c r="I4782" s="48"/>
      <c r="J4782" s="49"/>
      <c r="K4782" s="1495"/>
      <c r="L4782" s="49"/>
      <c r="M4782" s="1498"/>
      <c r="N4782" s="49"/>
      <c r="O4782" s="644"/>
      <c r="P4782" s="644"/>
      <c r="Q4782" s="1290"/>
      <c r="R4782" s="644"/>
      <c r="S4782" s="48"/>
      <c r="T4782" s="1346"/>
      <c r="U4782" s="48"/>
      <c r="V4782" s="48"/>
    </row>
    <row r="4783" spans="7:22">
      <c r="G4783" s="48"/>
      <c r="H4783" s="48"/>
      <c r="I4783" s="48"/>
      <c r="J4783" s="49"/>
      <c r="K4783" s="1498"/>
      <c r="L4783" s="49"/>
      <c r="M4783" s="1498"/>
      <c r="N4783" s="49"/>
      <c r="O4783" s="644"/>
      <c r="P4783" s="644"/>
      <c r="Q4783" s="1290"/>
      <c r="R4783" s="644"/>
      <c r="S4783" s="48"/>
      <c r="T4783" s="1346"/>
      <c r="U4783" s="48"/>
      <c r="V4783" s="48"/>
    </row>
    <row r="4784" spans="7:22">
      <c r="G4784" s="48"/>
      <c r="H4784" s="48"/>
      <c r="I4784" s="48"/>
      <c r="J4784" s="49"/>
      <c r="K4784" s="1498"/>
      <c r="L4784" s="49"/>
      <c r="M4784" s="1498"/>
      <c r="N4784" s="49"/>
      <c r="O4784" s="644"/>
      <c r="P4784" s="644"/>
      <c r="Q4784" s="1290"/>
      <c r="R4784" s="644"/>
      <c r="S4784" s="48"/>
      <c r="T4784" s="1346"/>
      <c r="U4784" s="48"/>
      <c r="V4784" s="48"/>
    </row>
    <row r="4785" spans="7:22">
      <c r="G4785" s="48"/>
      <c r="H4785" s="48"/>
      <c r="I4785" s="48"/>
      <c r="J4785" s="49"/>
      <c r="K4785" s="1498"/>
      <c r="L4785" s="49"/>
      <c r="M4785" s="1498"/>
      <c r="N4785" s="49"/>
      <c r="O4785" s="644"/>
      <c r="P4785" s="644"/>
      <c r="Q4785" s="1290"/>
      <c r="R4785" s="644"/>
      <c r="S4785" s="48"/>
      <c r="T4785" s="1346"/>
      <c r="U4785" s="48"/>
      <c r="V4785" s="48"/>
    </row>
    <row r="4786" spans="7:22">
      <c r="G4786" s="48"/>
      <c r="H4786" s="48"/>
      <c r="I4786" s="48"/>
      <c r="J4786" s="49"/>
      <c r="K4786" s="1498"/>
      <c r="L4786" s="49"/>
      <c r="M4786" s="1498"/>
      <c r="N4786" s="49"/>
      <c r="O4786" s="644"/>
      <c r="P4786" s="644"/>
      <c r="Q4786" s="1290"/>
      <c r="R4786" s="644"/>
      <c r="S4786" s="48"/>
      <c r="T4786" s="1346"/>
      <c r="U4786" s="48"/>
      <c r="V4786" s="48"/>
    </row>
    <row r="4787" spans="7:22">
      <c r="G4787" s="48"/>
      <c r="H4787" s="48"/>
      <c r="I4787" s="48"/>
      <c r="J4787" s="49"/>
      <c r="K4787" s="49"/>
      <c r="L4787" s="49"/>
      <c r="M4787" s="1498"/>
      <c r="N4787" s="49"/>
      <c r="O4787" s="644"/>
      <c r="P4787" s="644"/>
      <c r="Q4787" s="1290"/>
      <c r="R4787" s="644"/>
      <c r="S4787" s="48"/>
      <c r="T4787" s="1346"/>
      <c r="U4787" s="48"/>
      <c r="V4787" s="48"/>
    </row>
    <row r="4788" spans="7:22">
      <c r="G4788" s="48"/>
      <c r="H4788" s="48"/>
      <c r="I4788" s="48"/>
      <c r="J4788" s="954">
        <f>SUM(J4772:J4784)</f>
        <v>482780000</v>
      </c>
      <c r="K4788" s="954"/>
      <c r="L4788" s="954">
        <f>SUM(L4772:L4787)</f>
        <v>22630000</v>
      </c>
      <c r="M4788" s="1498"/>
      <c r="N4788" s="954">
        <f>SUM(N4772:N4787)</f>
        <v>992880000</v>
      </c>
      <c r="O4788" s="644"/>
      <c r="P4788" s="969">
        <f>SUM(P4772:P4779)</f>
        <v>4790000</v>
      </c>
      <c r="Q4788" s="969"/>
      <c r="R4788" s="969">
        <f>SUM(R4772:R4787)</f>
        <v>0</v>
      </c>
      <c r="S4788" s="48"/>
      <c r="T4788" s="1178">
        <f>SUM(T4772:T4787)</f>
        <v>26000</v>
      </c>
      <c r="U4788" s="48"/>
      <c r="V4788" s="878">
        <f>SUM(V4772:V4787)</f>
        <v>5000</v>
      </c>
    </row>
    <row r="4789" spans="7:22">
      <c r="T4789" s="1345"/>
    </row>
    <row r="4790" spans="7:22">
      <c r="T4790" s="1345"/>
    </row>
    <row r="4791" spans="7:22">
      <c r="R4791" s="661"/>
      <c r="T4791" s="1345"/>
    </row>
    <row r="4792" spans="7:22">
      <c r="T4792" s="1345"/>
    </row>
    <row r="4793" spans="7:22">
      <c r="T4793" s="1345"/>
    </row>
    <row r="4794" spans="7:22">
      <c r="I4794" s="946"/>
      <c r="M4794" s="1533" t="s">
        <v>3699</v>
      </c>
      <c r="O4794" s="1535" t="s">
        <v>3741</v>
      </c>
      <c r="P4794" s="1512">
        <f>P4788-R4788</f>
        <v>4790000</v>
      </c>
      <c r="S4794" s="906" t="s">
        <v>4049</v>
      </c>
      <c r="T4794" s="1107">
        <f>T4788-V4788</f>
        <v>21000</v>
      </c>
    </row>
    <row r="4795" spans="7:22">
      <c r="G4795" s="1574" t="s">
        <v>3530</v>
      </c>
      <c r="H4795" s="1574"/>
      <c r="I4795" s="1574"/>
      <c r="J4795" s="3">
        <f>J4788+L4788</f>
        <v>505410000</v>
      </c>
      <c r="K4795" s="1009"/>
      <c r="L4795" s="3"/>
      <c r="M4795" s="1533" t="s">
        <v>3664</v>
      </c>
      <c r="N4795" s="1527"/>
      <c r="O4795" s="1535" t="s">
        <v>4066</v>
      </c>
      <c r="P4795" s="1512"/>
      <c r="T4795" s="1345"/>
    </row>
    <row r="4796" spans="7:22">
      <c r="G4796" s="1574" t="s">
        <v>3512</v>
      </c>
      <c r="H4796" s="1574"/>
      <c r="I4796" s="1574"/>
      <c r="J4796" s="3">
        <f>N4788-J4795</f>
        <v>487470000</v>
      </c>
      <c r="K4796" s="1009"/>
      <c r="L4796" s="3"/>
      <c r="M4796" s="1528"/>
      <c r="O4796" s="1529"/>
      <c r="Q4796" s="661"/>
      <c r="T4796" s="1345"/>
    </row>
    <row r="4797" spans="7:22">
      <c r="G4797" s="1574" t="s">
        <v>3531</v>
      </c>
      <c r="H4797" s="1574"/>
      <c r="I4797" s="1574"/>
      <c r="J4797" s="3">
        <f>T4794</f>
        <v>21000</v>
      </c>
      <c r="Q4797" s="3"/>
      <c r="T4797" s="1345"/>
    </row>
    <row r="4798" spans="7:22">
      <c r="G4798" s="1564" t="s">
        <v>4455</v>
      </c>
      <c r="H4798" s="1564"/>
      <c r="I4798" s="1564"/>
      <c r="J4798" s="3">
        <f>+P4794</f>
        <v>4790000</v>
      </c>
      <c r="R4798" s="3"/>
      <c r="T4798" s="1345"/>
    </row>
    <row r="4799" spans="7:22">
      <c r="T4799" s="1345"/>
    </row>
    <row r="4802" spans="7:22" ht="13.8" customHeight="1">
      <c r="T4802" s="1345"/>
    </row>
    <row r="4803" spans="7:22">
      <c r="T4803" s="1345"/>
    </row>
    <row r="4804" spans="7:22">
      <c r="G4804" s="1008">
        <v>46092</v>
      </c>
      <c r="H4804" s="1169"/>
      <c r="I4804" s="1575" t="s">
        <v>3510</v>
      </c>
      <c r="J4804" s="1576"/>
      <c r="K4804" s="1575" t="s">
        <v>3509</v>
      </c>
      <c r="L4804" s="1576"/>
      <c r="M4804" s="1575" t="s">
        <v>3541</v>
      </c>
      <c r="N4804" s="1576"/>
      <c r="O4804" s="1577" t="s">
        <v>3598</v>
      </c>
      <c r="P4804" s="1578"/>
      <c r="Q4804" s="1579" t="s">
        <v>3599</v>
      </c>
      <c r="R4804" s="1580"/>
      <c r="S4804" s="1583" t="s">
        <v>3953</v>
      </c>
      <c r="T4804" s="1583"/>
      <c r="U4804" s="1583" t="s">
        <v>3954</v>
      </c>
      <c r="V4804" s="1583"/>
    </row>
    <row r="4805" spans="7:22">
      <c r="G4805" s="1097"/>
      <c r="H4805" s="1261"/>
      <c r="I4805" s="1352" t="s">
        <v>4925</v>
      </c>
      <c r="J4805" s="49">
        <v>45500000</v>
      </c>
      <c r="K4805" s="1495" t="s">
        <v>4541</v>
      </c>
      <c r="L4805" s="49">
        <v>1500000</v>
      </c>
      <c r="M4805" s="1495" t="s">
        <v>4613</v>
      </c>
      <c r="N4805" s="1495">
        <v>271000000</v>
      </c>
      <c r="O4805" s="1383"/>
      <c r="P4805" s="644"/>
      <c r="Q4805" s="1279"/>
      <c r="R4805" s="644"/>
      <c r="S4805" s="1223"/>
      <c r="T4805" s="1191"/>
      <c r="U4805" s="1232"/>
      <c r="V4805" s="48"/>
    </row>
    <row r="4806" spans="7:22">
      <c r="G4806" s="1098"/>
      <c r="H4806" s="1172"/>
      <c r="I4806" s="1353" t="s">
        <v>4926</v>
      </c>
      <c r="J4806" s="49">
        <v>26680000</v>
      </c>
      <c r="K4806" s="1493" t="s">
        <v>4463</v>
      </c>
      <c r="L4806" s="49">
        <v>2000000</v>
      </c>
      <c r="M4806" s="1495" t="s">
        <v>4924</v>
      </c>
      <c r="N4806" s="49">
        <v>1370000</v>
      </c>
      <c r="O4806" s="1383" t="s">
        <v>4712</v>
      </c>
      <c r="P4806" s="644">
        <v>4790000</v>
      </c>
      <c r="Q4806" s="1290"/>
      <c r="R4806" s="1290"/>
      <c r="S4806" s="1296" t="s">
        <v>4613</v>
      </c>
      <c r="T4806" s="1191">
        <v>21600</v>
      </c>
      <c r="U4806" s="48"/>
      <c r="V4806" s="49"/>
    </row>
    <row r="4807" spans="7:22">
      <c r="G4807" s="48"/>
      <c r="H4807" s="48"/>
      <c r="I4807" s="1354" t="s">
        <v>4927</v>
      </c>
      <c r="J4807" s="49">
        <v>92000000</v>
      </c>
      <c r="K4807" s="49" t="s">
        <v>4551</v>
      </c>
      <c r="L4807" s="49">
        <v>500000</v>
      </c>
      <c r="M4807" s="1495" t="s">
        <v>4924</v>
      </c>
      <c r="N4807" s="49">
        <v>1540000</v>
      </c>
      <c r="O4807" s="1383"/>
      <c r="P4807" s="644"/>
      <c r="Q4807" s="1336"/>
      <c r="R4807" s="644"/>
      <c r="S4807" s="1353" t="s">
        <v>4923</v>
      </c>
      <c r="T4807" s="1191">
        <v>4400</v>
      </c>
      <c r="U4807" s="1353" t="s">
        <v>4922</v>
      </c>
      <c r="V4807" s="1191">
        <v>5000</v>
      </c>
    </row>
    <row r="4808" spans="7:22">
      <c r="G4808" s="48"/>
      <c r="H4808" s="48"/>
      <c r="I4808" s="1354" t="s">
        <v>4929</v>
      </c>
      <c r="J4808" s="49">
        <v>47000000</v>
      </c>
      <c r="K4808" s="1493" t="s">
        <v>4928</v>
      </c>
      <c r="L4808" s="49">
        <v>3645000</v>
      </c>
      <c r="M4808" s="1493" t="s">
        <v>4896</v>
      </c>
      <c r="N4808" s="49">
        <v>600000</v>
      </c>
      <c r="O4808" s="1383"/>
      <c r="P4808" s="644"/>
      <c r="Q4808" s="1303"/>
      <c r="R4808" s="644"/>
      <c r="S4808" s="1349"/>
      <c r="T4808" s="1346"/>
      <c r="U4808" s="1289"/>
      <c r="V4808" s="1346"/>
    </row>
    <row r="4809" spans="7:22">
      <c r="G4809" s="48"/>
      <c r="H4809" s="48"/>
      <c r="I4809" s="1354" t="s">
        <v>4930</v>
      </c>
      <c r="J4809" s="49">
        <v>17670000</v>
      </c>
      <c r="K4809" s="1493" t="s">
        <v>4913</v>
      </c>
      <c r="L4809" s="49">
        <v>2000000</v>
      </c>
      <c r="M4809" s="49"/>
      <c r="N4809" s="49"/>
      <c r="O4809" s="1383"/>
      <c r="P4809" s="644"/>
      <c r="Q4809" s="1288"/>
      <c r="R4809" s="644"/>
      <c r="S4809" s="48"/>
      <c r="T4809" s="1346"/>
      <c r="U4809" s="48"/>
      <c r="V4809" s="49"/>
    </row>
    <row r="4810" spans="7:22">
      <c r="G4810" s="48"/>
      <c r="H4810" s="48"/>
      <c r="I4810" s="1354"/>
      <c r="J4810" s="49"/>
      <c r="K4810" s="1493"/>
      <c r="L4810" s="49"/>
      <c r="M4810" s="1495"/>
      <c r="N4810" s="49"/>
      <c r="O4810" s="1383"/>
      <c r="P4810" s="644"/>
      <c r="Q4810" s="1302"/>
      <c r="R4810" s="644"/>
      <c r="S4810" s="48"/>
      <c r="T4810" s="1346"/>
      <c r="U4810" s="48"/>
      <c r="V4810" s="49"/>
    </row>
    <row r="4811" spans="7:22">
      <c r="G4811" s="48"/>
      <c r="H4811" s="48"/>
      <c r="I4811" s="1354"/>
      <c r="J4811" s="49"/>
      <c r="K4811" s="1493"/>
      <c r="L4811" s="49"/>
      <c r="M4811" s="1495"/>
      <c r="N4811" s="49"/>
      <c r="O4811" s="1383"/>
      <c r="P4811" s="644"/>
      <c r="Q4811" s="1290"/>
      <c r="R4811" s="644"/>
      <c r="S4811" s="48"/>
      <c r="T4811" s="1346"/>
      <c r="U4811" s="48"/>
      <c r="V4811" s="49"/>
    </row>
    <row r="4812" spans="7:22">
      <c r="G4812" s="48"/>
      <c r="H4812" s="48"/>
      <c r="I4812" s="1354"/>
      <c r="J4812" s="49"/>
      <c r="K4812" s="1532"/>
      <c r="L4812" s="49"/>
      <c r="M4812" s="1498"/>
      <c r="N4812" s="49"/>
      <c r="O4812" s="1383"/>
      <c r="P4812" s="644"/>
      <c r="Q4812" s="1291"/>
      <c r="R4812" s="644"/>
      <c r="S4812" s="48"/>
      <c r="T4812" s="1346"/>
      <c r="U4812" s="48"/>
      <c r="V4812" s="49"/>
    </row>
    <row r="4813" spans="7:22">
      <c r="G4813" s="48"/>
      <c r="H4813" s="48"/>
      <c r="I4813" s="1344"/>
      <c r="J4813" s="49"/>
      <c r="K4813" s="1495"/>
      <c r="L4813" s="49"/>
      <c r="M4813" s="1498"/>
      <c r="N4813" s="49"/>
      <c r="O4813" s="644"/>
      <c r="P4813" s="644"/>
      <c r="Q4813" s="1290"/>
      <c r="R4813" s="644"/>
      <c r="S4813" s="48"/>
      <c r="T4813" s="1346"/>
      <c r="U4813" s="48"/>
      <c r="V4813" s="49"/>
    </row>
    <row r="4814" spans="7:22">
      <c r="G4814" s="48"/>
      <c r="H4814" s="48"/>
      <c r="I4814" s="48"/>
      <c r="J4814" s="49"/>
      <c r="K4814" s="1498"/>
      <c r="L4814" s="49"/>
      <c r="M4814" s="1498"/>
      <c r="N4814" s="49"/>
      <c r="O4814" s="644"/>
      <c r="P4814" s="644"/>
      <c r="Q4814" s="1290"/>
      <c r="R4814" s="644"/>
      <c r="S4814" s="48"/>
      <c r="T4814" s="1346"/>
      <c r="U4814" s="48"/>
      <c r="V4814" s="49"/>
    </row>
    <row r="4815" spans="7:22">
      <c r="G4815" s="48"/>
      <c r="H4815" s="48"/>
      <c r="I4815" s="48"/>
      <c r="J4815" s="49"/>
      <c r="K4815" s="1495"/>
      <c r="L4815" s="49"/>
      <c r="M4815" s="1498"/>
      <c r="N4815" s="49"/>
      <c r="O4815" s="644"/>
      <c r="P4815" s="644"/>
      <c r="Q4815" s="1290"/>
      <c r="R4815" s="644"/>
      <c r="S4815" s="48"/>
      <c r="T4815" s="1346"/>
      <c r="U4815" s="48"/>
      <c r="V4815" s="48"/>
    </row>
    <row r="4816" spans="7:22">
      <c r="G4816" s="48"/>
      <c r="H4816" s="48"/>
      <c r="I4816" s="48"/>
      <c r="J4816" s="49"/>
      <c r="K4816" s="1498"/>
      <c r="L4816" s="49"/>
      <c r="M4816" s="1498"/>
      <c r="N4816" s="49"/>
      <c r="O4816" s="644"/>
      <c r="P4816" s="644"/>
      <c r="Q4816" s="1290"/>
      <c r="R4816" s="644"/>
      <c r="S4816" s="48"/>
      <c r="T4816" s="1346"/>
      <c r="U4816" s="48"/>
      <c r="V4816" s="48"/>
    </row>
    <row r="4817" spans="7:22">
      <c r="G4817" s="48"/>
      <c r="H4817" s="48"/>
      <c r="I4817" s="48"/>
      <c r="J4817" s="49"/>
      <c r="K4817" s="1498"/>
      <c r="L4817" s="49"/>
      <c r="M4817" s="1498"/>
      <c r="N4817" s="49"/>
      <c r="O4817" s="644"/>
      <c r="P4817" s="644"/>
      <c r="Q4817" s="1290"/>
      <c r="R4817" s="644"/>
      <c r="S4817" s="48"/>
      <c r="T4817" s="1346"/>
      <c r="U4817" s="48"/>
      <c r="V4817" s="48"/>
    </row>
    <row r="4818" spans="7:22">
      <c r="G4818" s="48"/>
      <c r="H4818" s="48"/>
      <c r="I4818" s="48"/>
      <c r="J4818" s="49"/>
      <c r="K4818" s="1498"/>
      <c r="L4818" s="49"/>
      <c r="M4818" s="1498"/>
      <c r="N4818" s="49"/>
      <c r="O4818" s="644"/>
      <c r="P4818" s="644"/>
      <c r="Q4818" s="1290"/>
      <c r="R4818" s="644"/>
      <c r="S4818" s="48"/>
      <c r="T4818" s="1346"/>
      <c r="U4818" s="48"/>
      <c r="V4818" s="48"/>
    </row>
    <row r="4819" spans="7:22">
      <c r="G4819" s="48"/>
      <c r="H4819" s="48"/>
      <c r="I4819" s="48"/>
      <c r="J4819" s="49"/>
      <c r="K4819" s="1498"/>
      <c r="L4819" s="49"/>
      <c r="M4819" s="1498"/>
      <c r="N4819" s="49"/>
      <c r="O4819" s="644"/>
      <c r="P4819" s="644"/>
      <c r="Q4819" s="1290"/>
      <c r="R4819" s="644"/>
      <c r="S4819" s="48"/>
      <c r="T4819" s="1346"/>
      <c r="U4819" s="48"/>
      <c r="V4819" s="48"/>
    </row>
    <row r="4820" spans="7:22">
      <c r="G4820" s="48"/>
      <c r="H4820" s="48"/>
      <c r="I4820" s="48"/>
      <c r="J4820" s="49"/>
      <c r="K4820" s="49"/>
      <c r="L4820" s="49"/>
      <c r="M4820" s="1498"/>
      <c r="N4820" s="49"/>
      <c r="O4820" s="644"/>
      <c r="P4820" s="644"/>
      <c r="Q4820" s="1290"/>
      <c r="R4820" s="644"/>
      <c r="S4820" s="48"/>
      <c r="T4820" s="1346"/>
      <c r="U4820" s="48"/>
      <c r="V4820" s="48"/>
    </row>
    <row r="4821" spans="7:22">
      <c r="G4821" s="48"/>
      <c r="H4821" s="48"/>
      <c r="I4821" s="48"/>
      <c r="J4821" s="954">
        <f>SUM(J4805:J4817)</f>
        <v>228850000</v>
      </c>
      <c r="K4821" s="954"/>
      <c r="L4821" s="954">
        <f>SUM(L4805:L4820)</f>
        <v>9645000</v>
      </c>
      <c r="M4821" s="1498"/>
      <c r="N4821" s="954">
        <f>SUM(N4805:N4820)</f>
        <v>274510000</v>
      </c>
      <c r="O4821" s="644"/>
      <c r="P4821" s="969">
        <f>SUM(P4805:P4812)</f>
        <v>4790000</v>
      </c>
      <c r="Q4821" s="969"/>
      <c r="R4821" s="969">
        <f>SUM(R4805:R4820)</f>
        <v>0</v>
      </c>
      <c r="S4821" s="48"/>
      <c r="T4821" s="1178">
        <f>SUM(T4805:T4820)</f>
        <v>26000</v>
      </c>
      <c r="U4821" s="48"/>
      <c r="V4821" s="878">
        <f>SUM(V4805:V4820)</f>
        <v>5000</v>
      </c>
    </row>
    <row r="4822" spans="7:22">
      <c r="T4822" s="1345"/>
    </row>
    <row r="4823" spans="7:22">
      <c r="T4823" s="1345"/>
    </row>
    <row r="4824" spans="7:22">
      <c r="R4824" s="661"/>
      <c r="T4824" s="1345"/>
    </row>
    <row r="4825" spans="7:22">
      <c r="T4825" s="1345"/>
    </row>
    <row r="4826" spans="7:22">
      <c r="T4826" s="1345"/>
    </row>
    <row r="4827" spans="7:22">
      <c r="I4827" s="946"/>
      <c r="M4827" s="1533" t="s">
        <v>3699</v>
      </c>
      <c r="O4827" s="1535" t="s">
        <v>3741</v>
      </c>
      <c r="P4827" s="1512">
        <f>P4821-R4821</f>
        <v>4790000</v>
      </c>
      <c r="S4827" s="906" t="s">
        <v>4049</v>
      </c>
      <c r="T4827" s="1107">
        <f>T4821-V4821</f>
        <v>21000</v>
      </c>
    </row>
    <row r="4828" spans="7:22">
      <c r="G4828" s="1574" t="s">
        <v>3530</v>
      </c>
      <c r="H4828" s="1574"/>
      <c r="I4828" s="1574"/>
      <c r="J4828" s="3">
        <f>J4821+L4821</f>
        <v>238495000</v>
      </c>
      <c r="K4828" s="1009"/>
      <c r="L4828" s="3"/>
      <c r="M4828" s="1533" t="s">
        <v>3664</v>
      </c>
      <c r="N4828" s="1527"/>
      <c r="O4828" s="1535" t="s">
        <v>4066</v>
      </c>
      <c r="P4828" s="1512"/>
      <c r="T4828" s="1345"/>
    </row>
    <row r="4829" spans="7:22">
      <c r="G4829" s="1574" t="s">
        <v>3512</v>
      </c>
      <c r="H4829" s="1574"/>
      <c r="I4829" s="1574"/>
      <c r="J4829" s="3">
        <f>N4821-J4828</f>
        <v>36015000</v>
      </c>
      <c r="K4829" s="1009"/>
      <c r="L4829" s="3"/>
      <c r="M4829" s="1528"/>
      <c r="O4829" s="1529"/>
      <c r="Q4829" s="661"/>
      <c r="T4829" s="1345"/>
    </row>
    <row r="4830" spans="7:22">
      <c r="G4830" s="1574" t="s">
        <v>3531</v>
      </c>
      <c r="H4830" s="1574"/>
      <c r="I4830" s="1574"/>
      <c r="J4830" s="3">
        <f>T4827</f>
        <v>21000</v>
      </c>
      <c r="Q4830" s="3"/>
      <c r="T4830" s="1345"/>
    </row>
    <row r="4831" spans="7:22">
      <c r="G4831" s="1564" t="s">
        <v>4455</v>
      </c>
      <c r="H4831" s="1564"/>
      <c r="I4831" s="1564"/>
      <c r="J4831" s="3">
        <f>+P4827</f>
        <v>4790000</v>
      </c>
      <c r="R4831" s="3"/>
      <c r="T4831" s="1345"/>
    </row>
    <row r="4832" spans="7:22">
      <c r="T4832" s="1345"/>
    </row>
    <row r="4833" spans="7:22">
      <c r="T4833" s="1345"/>
    </row>
    <row r="4834" spans="7:22" ht="13.8" customHeight="1">
      <c r="T4834" s="1350"/>
    </row>
    <row r="4835" spans="7:22">
      <c r="T4835" s="1350"/>
    </row>
    <row r="4836" spans="7:22">
      <c r="G4836" s="1008">
        <v>46093</v>
      </c>
      <c r="H4836" s="1169"/>
      <c r="I4836" s="1575" t="s">
        <v>3510</v>
      </c>
      <c r="J4836" s="1576"/>
      <c r="K4836" s="1575" t="s">
        <v>3509</v>
      </c>
      <c r="L4836" s="1576"/>
      <c r="M4836" s="1575" t="s">
        <v>3541</v>
      </c>
      <c r="N4836" s="1576"/>
      <c r="O4836" s="1577" t="s">
        <v>3598</v>
      </c>
      <c r="P4836" s="1578"/>
      <c r="Q4836" s="1579" t="s">
        <v>3599</v>
      </c>
      <c r="R4836" s="1580"/>
      <c r="S4836" s="1583" t="s">
        <v>3953</v>
      </c>
      <c r="T4836" s="1583"/>
      <c r="U4836" s="1583" t="s">
        <v>3954</v>
      </c>
      <c r="V4836" s="1583"/>
    </row>
    <row r="4837" spans="7:22">
      <c r="G4837" s="1097"/>
      <c r="H4837" s="1261"/>
      <c r="I4837" s="1359" t="s">
        <v>4936</v>
      </c>
      <c r="J4837" s="49">
        <v>28050000</v>
      </c>
      <c r="K4837" s="1495" t="s">
        <v>4935</v>
      </c>
      <c r="L4837" s="49">
        <v>30000000</v>
      </c>
      <c r="M4837" s="1495" t="s">
        <v>4613</v>
      </c>
      <c r="N4837" s="1495">
        <v>397000000</v>
      </c>
      <c r="O4837" s="1383"/>
      <c r="P4837" s="644"/>
      <c r="Q4837" s="1279"/>
      <c r="R4837" s="644"/>
      <c r="S4837" s="1223"/>
      <c r="T4837" s="1191"/>
      <c r="U4837" s="1232"/>
      <c r="V4837" s="48"/>
    </row>
    <row r="4838" spans="7:22">
      <c r="G4838" s="1098"/>
      <c r="H4838" s="1172"/>
      <c r="I4838" s="1357" t="s">
        <v>4937</v>
      </c>
      <c r="J4838" s="49">
        <v>19800000</v>
      </c>
      <c r="K4838" s="1493" t="s">
        <v>4473</v>
      </c>
      <c r="L4838" s="49">
        <v>700000</v>
      </c>
      <c r="M4838" s="1495" t="s">
        <v>4933</v>
      </c>
      <c r="N4838" s="49">
        <v>750000</v>
      </c>
      <c r="O4838" s="1383" t="s">
        <v>4712</v>
      </c>
      <c r="P4838" s="644">
        <v>4790000</v>
      </c>
      <c r="Q4838" s="1290"/>
      <c r="R4838" s="1290"/>
      <c r="S4838" s="1296" t="s">
        <v>4613</v>
      </c>
      <c r="T4838" s="1191">
        <v>21000</v>
      </c>
      <c r="U4838" s="48"/>
      <c r="V4838" s="49"/>
    </row>
    <row r="4839" spans="7:22">
      <c r="G4839" s="48"/>
      <c r="H4839" s="48"/>
      <c r="I4839" s="1358" t="s">
        <v>4938</v>
      </c>
      <c r="J4839" s="49">
        <v>30360000</v>
      </c>
      <c r="K4839" s="49" t="s">
        <v>4541</v>
      </c>
      <c r="L4839" s="49">
        <v>500000</v>
      </c>
      <c r="M4839" s="1495" t="s">
        <v>4924</v>
      </c>
      <c r="N4839" s="49">
        <v>1054000</v>
      </c>
      <c r="O4839" s="1383"/>
      <c r="P4839" s="644"/>
      <c r="Q4839" s="1336"/>
      <c r="R4839" s="644"/>
      <c r="S4839" s="1357" t="s">
        <v>4440</v>
      </c>
      <c r="T4839" s="1191">
        <v>100</v>
      </c>
      <c r="U4839" s="1353" t="s">
        <v>4922</v>
      </c>
      <c r="V4839" s="1191">
        <v>5000</v>
      </c>
    </row>
    <row r="4840" spans="7:22">
      <c r="G4840" s="48"/>
      <c r="H4840" s="48"/>
      <c r="I4840" s="1358" t="s">
        <v>4939</v>
      </c>
      <c r="J4840" s="49">
        <v>36800000</v>
      </c>
      <c r="K4840" s="1493" t="s">
        <v>4541</v>
      </c>
      <c r="L4840" s="49">
        <v>600000</v>
      </c>
      <c r="M4840" s="1493" t="s">
        <v>4931</v>
      </c>
      <c r="N4840" s="49">
        <v>3600000</v>
      </c>
      <c r="O4840" s="1383"/>
      <c r="P4840" s="644"/>
      <c r="Q4840" s="1303"/>
      <c r="R4840" s="644"/>
      <c r="S4840" s="1358" t="s">
        <v>4682</v>
      </c>
      <c r="T4840" s="1351">
        <v>300</v>
      </c>
      <c r="U4840" s="1289"/>
      <c r="V4840" s="1351"/>
    </row>
    <row r="4841" spans="7:22">
      <c r="G4841" s="48"/>
      <c r="H4841" s="48"/>
      <c r="I4841" s="1358" t="s">
        <v>4940</v>
      </c>
      <c r="J4841" s="49">
        <v>36800000</v>
      </c>
      <c r="K4841" s="1493" t="s">
        <v>4941</v>
      </c>
      <c r="L4841" s="49">
        <v>3200000</v>
      </c>
      <c r="M4841" s="49" t="s">
        <v>4807</v>
      </c>
      <c r="N4841" s="49">
        <v>6950000</v>
      </c>
      <c r="O4841" s="1383"/>
      <c r="P4841" s="644"/>
      <c r="Q4841" s="1288"/>
      <c r="R4841" s="644"/>
      <c r="S4841" s="48" t="s">
        <v>4931</v>
      </c>
      <c r="T4841" s="1351">
        <v>2000</v>
      </c>
      <c r="U4841" s="48"/>
      <c r="V4841" s="49"/>
    </row>
    <row r="4842" spans="7:22">
      <c r="G4842" s="48"/>
      <c r="H4842" s="48"/>
      <c r="I4842" s="1354"/>
      <c r="J4842" s="49"/>
      <c r="K4842" s="1493"/>
      <c r="L4842" s="49"/>
      <c r="M4842" s="1495" t="s">
        <v>4895</v>
      </c>
      <c r="N4842" s="49">
        <v>350000</v>
      </c>
      <c r="O4842" s="1383"/>
      <c r="P4842" s="644"/>
      <c r="Q4842" s="1302"/>
      <c r="R4842" s="644"/>
      <c r="S4842" s="48" t="s">
        <v>4932</v>
      </c>
      <c r="T4842" s="1351">
        <v>1500</v>
      </c>
      <c r="U4842" s="48"/>
      <c r="V4842" s="49"/>
    </row>
    <row r="4843" spans="7:22">
      <c r="G4843" s="48"/>
      <c r="H4843" s="48"/>
      <c r="I4843" s="1354"/>
      <c r="J4843" s="49"/>
      <c r="K4843" s="1493"/>
      <c r="L4843" s="49"/>
      <c r="M4843" s="1495" t="s">
        <v>4934</v>
      </c>
      <c r="N4843" s="49">
        <v>25480000</v>
      </c>
      <c r="O4843" s="1383"/>
      <c r="P4843" s="644"/>
      <c r="Q4843" s="1290"/>
      <c r="R4843" s="644"/>
      <c r="S4843" s="48"/>
      <c r="T4843" s="1351"/>
      <c r="U4843" s="48"/>
      <c r="V4843" s="49"/>
    </row>
    <row r="4844" spans="7:22">
      <c r="G4844" s="48"/>
      <c r="H4844" s="48"/>
      <c r="I4844" s="1354"/>
      <c r="J4844" s="49"/>
      <c r="K4844" s="1532"/>
      <c r="L4844" s="49"/>
      <c r="M4844" s="1498"/>
      <c r="N4844" s="49"/>
      <c r="O4844" s="1383"/>
      <c r="P4844" s="644"/>
      <c r="Q4844" s="1291"/>
      <c r="R4844" s="644"/>
      <c r="S4844" s="48"/>
      <c r="T4844" s="1351"/>
      <c r="U4844" s="48"/>
      <c r="V4844" s="49"/>
    </row>
    <row r="4845" spans="7:22">
      <c r="G4845" s="48"/>
      <c r="H4845" s="48"/>
      <c r="I4845" s="1344"/>
      <c r="J4845" s="49"/>
      <c r="K4845" s="1495"/>
      <c r="L4845" s="49"/>
      <c r="M4845" s="1498"/>
      <c r="N4845" s="49"/>
      <c r="O4845" s="644"/>
      <c r="P4845" s="644"/>
      <c r="Q4845" s="1290"/>
      <c r="R4845" s="644"/>
      <c r="S4845" s="48"/>
      <c r="T4845" s="1351"/>
      <c r="U4845" s="48"/>
      <c r="V4845" s="49"/>
    </row>
    <row r="4846" spans="7:22">
      <c r="G4846" s="48"/>
      <c r="H4846" s="48"/>
      <c r="I4846" s="48"/>
      <c r="J4846" s="49"/>
      <c r="K4846" s="1498"/>
      <c r="L4846" s="49"/>
      <c r="M4846" s="1498"/>
      <c r="N4846" s="49"/>
      <c r="O4846" s="644"/>
      <c r="P4846" s="644"/>
      <c r="Q4846" s="1290"/>
      <c r="R4846" s="644"/>
      <c r="S4846" s="48"/>
      <c r="T4846" s="1351"/>
      <c r="U4846" s="48"/>
      <c r="V4846" s="49"/>
    </row>
    <row r="4847" spans="7:22">
      <c r="G4847" s="48"/>
      <c r="H4847" s="48"/>
      <c r="I4847" s="48"/>
      <c r="J4847" s="49"/>
      <c r="K4847" s="1495"/>
      <c r="L4847" s="49"/>
      <c r="M4847" s="1498"/>
      <c r="N4847" s="49"/>
      <c r="O4847" s="644"/>
      <c r="P4847" s="644"/>
      <c r="Q4847" s="1290"/>
      <c r="R4847" s="644"/>
      <c r="S4847" s="48"/>
      <c r="T4847" s="1351"/>
      <c r="U4847" s="48"/>
      <c r="V4847" s="48"/>
    </row>
    <row r="4848" spans="7:22">
      <c r="G4848" s="48"/>
      <c r="H4848" s="48"/>
      <c r="I4848" s="48"/>
      <c r="J4848" s="49"/>
      <c r="K4848" s="1498"/>
      <c r="L4848" s="49"/>
      <c r="M4848" s="1498"/>
      <c r="N4848" s="49"/>
      <c r="O4848" s="644"/>
      <c r="P4848" s="644"/>
      <c r="Q4848" s="1290"/>
      <c r="R4848" s="644"/>
      <c r="S4848" s="48"/>
      <c r="T4848" s="1351"/>
      <c r="U4848" s="48"/>
      <c r="V4848" s="48"/>
    </row>
    <row r="4849" spans="7:22">
      <c r="G4849" s="48"/>
      <c r="H4849" s="48"/>
      <c r="I4849" s="48"/>
      <c r="J4849" s="49"/>
      <c r="K4849" s="1498"/>
      <c r="L4849" s="49"/>
      <c r="M4849" s="1498"/>
      <c r="N4849" s="49"/>
      <c r="O4849" s="644"/>
      <c r="P4849" s="644"/>
      <c r="Q4849" s="1290"/>
      <c r="R4849" s="644"/>
      <c r="S4849" s="48"/>
      <c r="T4849" s="1351"/>
      <c r="U4849" s="48"/>
      <c r="V4849" s="48"/>
    </row>
    <row r="4850" spans="7:22">
      <c r="G4850" s="48"/>
      <c r="H4850" s="48"/>
      <c r="I4850" s="48"/>
      <c r="J4850" s="49"/>
      <c r="K4850" s="1498"/>
      <c r="L4850" s="49"/>
      <c r="M4850" s="1498"/>
      <c r="N4850" s="49"/>
      <c r="O4850" s="644"/>
      <c r="P4850" s="644"/>
      <c r="Q4850" s="1290"/>
      <c r="R4850" s="644"/>
      <c r="S4850" s="48"/>
      <c r="T4850" s="1351"/>
      <c r="U4850" s="48"/>
      <c r="V4850" s="48"/>
    </row>
    <row r="4851" spans="7:22">
      <c r="G4851" s="48"/>
      <c r="H4851" s="48"/>
      <c r="I4851" s="48"/>
      <c r="J4851" s="49"/>
      <c r="K4851" s="1498"/>
      <c r="L4851" s="49"/>
      <c r="M4851" s="1498"/>
      <c r="N4851" s="49"/>
      <c r="O4851" s="644"/>
      <c r="P4851" s="644"/>
      <c r="Q4851" s="1290"/>
      <c r="R4851" s="644"/>
      <c r="S4851" s="48"/>
      <c r="T4851" s="1351"/>
      <c r="U4851" s="48"/>
      <c r="V4851" s="48"/>
    </row>
    <row r="4852" spans="7:22">
      <c r="G4852" s="48"/>
      <c r="H4852" s="48"/>
      <c r="I4852" s="48"/>
      <c r="J4852" s="49"/>
      <c r="K4852" s="49"/>
      <c r="L4852" s="49"/>
      <c r="M4852" s="1498"/>
      <c r="N4852" s="49"/>
      <c r="O4852" s="644"/>
      <c r="P4852" s="644"/>
      <c r="Q4852" s="1290"/>
      <c r="R4852" s="644"/>
      <c r="S4852" s="48"/>
      <c r="T4852" s="1351"/>
      <c r="U4852" s="48"/>
      <c r="V4852" s="48"/>
    </row>
    <row r="4853" spans="7:22">
      <c r="G4853" s="48"/>
      <c r="H4853" s="48"/>
      <c r="I4853" s="48"/>
      <c r="J4853" s="954">
        <f>SUM(J4837:J4849)</f>
        <v>151810000</v>
      </c>
      <c r="K4853" s="954"/>
      <c r="L4853" s="954">
        <f>SUM(L4837:L4852)</f>
        <v>35000000</v>
      </c>
      <c r="M4853" s="1498"/>
      <c r="N4853" s="954">
        <f>SUM(N4837:N4852)</f>
        <v>435184000</v>
      </c>
      <c r="O4853" s="644"/>
      <c r="P4853" s="969">
        <f>SUM(P4837:P4844)</f>
        <v>4790000</v>
      </c>
      <c r="Q4853" s="969"/>
      <c r="R4853" s="969">
        <f>SUM(R4837:R4852)</f>
        <v>0</v>
      </c>
      <c r="S4853" s="48"/>
      <c r="T4853" s="1178">
        <f>SUM(T4837:T4852)</f>
        <v>24900</v>
      </c>
      <c r="U4853" s="48"/>
      <c r="V4853" s="878">
        <f>SUM(V4837:V4852)</f>
        <v>5000</v>
      </c>
    </row>
    <row r="4854" spans="7:22">
      <c r="T4854" s="1350"/>
    </row>
    <row r="4855" spans="7:22">
      <c r="T4855" s="1350"/>
    </row>
    <row r="4856" spans="7:22">
      <c r="R4856" s="661"/>
      <c r="T4856" s="1350"/>
    </row>
    <row r="4857" spans="7:22">
      <c r="T4857" s="1350"/>
    </row>
    <row r="4858" spans="7:22">
      <c r="T4858" s="1350"/>
    </row>
    <row r="4859" spans="7:22">
      <c r="I4859" s="946"/>
      <c r="M4859" s="1533" t="s">
        <v>3699</v>
      </c>
      <c r="O4859" s="1535" t="s">
        <v>3741</v>
      </c>
      <c r="P4859" s="1512">
        <f>P4853-R4853</f>
        <v>4790000</v>
      </c>
      <c r="S4859" s="906" t="s">
        <v>4049</v>
      </c>
      <c r="T4859" s="1107">
        <f>T4853-V4853</f>
        <v>19900</v>
      </c>
    </row>
    <row r="4860" spans="7:22">
      <c r="G4860" s="1574" t="s">
        <v>3530</v>
      </c>
      <c r="H4860" s="1574"/>
      <c r="I4860" s="1574"/>
      <c r="J4860" s="3">
        <f>J4853+L4853</f>
        <v>186810000</v>
      </c>
      <c r="K4860" s="1009"/>
      <c r="L4860" s="3"/>
      <c r="M4860" s="1533" t="s">
        <v>3664</v>
      </c>
      <c r="N4860" s="1527"/>
      <c r="O4860" s="1535" t="s">
        <v>4066</v>
      </c>
      <c r="P4860" s="1512"/>
      <c r="T4860" s="1350"/>
    </row>
    <row r="4861" spans="7:22">
      <c r="G4861" s="1574" t="s">
        <v>3512</v>
      </c>
      <c r="H4861" s="1574"/>
      <c r="I4861" s="1574"/>
      <c r="J4861" s="3">
        <f>N4853-J4860</f>
        <v>248374000</v>
      </c>
      <c r="K4861" s="1009"/>
      <c r="L4861" s="3"/>
      <c r="M4861" s="1528"/>
      <c r="O4861" s="1529"/>
      <c r="Q4861" s="661"/>
      <c r="T4861" s="1350"/>
    </row>
    <row r="4862" spans="7:22">
      <c r="G4862" s="1574" t="s">
        <v>3531</v>
      </c>
      <c r="H4862" s="1574"/>
      <c r="I4862" s="1574"/>
      <c r="J4862" s="3">
        <f>T4859</f>
        <v>19900</v>
      </c>
      <c r="Q4862" s="3"/>
      <c r="T4862" s="1350"/>
    </row>
    <row r="4863" spans="7:22">
      <c r="G4863" s="1564" t="s">
        <v>4455</v>
      </c>
      <c r="H4863" s="1564"/>
      <c r="I4863" s="1564"/>
      <c r="J4863" s="3">
        <f>+P4859</f>
        <v>4790000</v>
      </c>
      <c r="R4863" s="3"/>
      <c r="T4863" s="1350"/>
    </row>
    <row r="4864" spans="7:22">
      <c r="T4864" s="1350"/>
    </row>
    <row r="4866" spans="7:22" ht="13.8" customHeight="1">
      <c r="T4866" s="1350"/>
    </row>
    <row r="4867" spans="7:22">
      <c r="T4867" s="1350"/>
    </row>
    <row r="4868" spans="7:22">
      <c r="G4868" s="1008">
        <v>46094</v>
      </c>
      <c r="H4868" s="1169"/>
      <c r="I4868" s="1575" t="s">
        <v>3510</v>
      </c>
      <c r="J4868" s="1576"/>
      <c r="K4868" s="1575" t="s">
        <v>3509</v>
      </c>
      <c r="L4868" s="1576"/>
      <c r="M4868" s="1575" t="s">
        <v>3541</v>
      </c>
      <c r="N4868" s="1576"/>
      <c r="O4868" s="1577" t="s">
        <v>3598</v>
      </c>
      <c r="P4868" s="1578"/>
      <c r="Q4868" s="1579" t="s">
        <v>3599</v>
      </c>
      <c r="R4868" s="1580"/>
      <c r="S4868" s="1583" t="s">
        <v>3953</v>
      </c>
      <c r="T4868" s="1583"/>
      <c r="U4868" s="1583" t="s">
        <v>3954</v>
      </c>
      <c r="V4868" s="1583"/>
    </row>
    <row r="4869" spans="7:22">
      <c r="G4869" s="1097"/>
      <c r="H4869" s="1261"/>
      <c r="I4869" s="1359" t="s">
        <v>4948</v>
      </c>
      <c r="J4869" s="49">
        <v>30080000</v>
      </c>
      <c r="K4869" s="1495" t="s">
        <v>4946</v>
      </c>
      <c r="L4869" s="49">
        <v>300000</v>
      </c>
      <c r="M4869" s="1495" t="s">
        <v>4613</v>
      </c>
      <c r="N4869" s="1495">
        <v>207600000</v>
      </c>
      <c r="O4869" s="1383"/>
      <c r="P4869" s="644"/>
      <c r="Q4869" s="1279"/>
      <c r="R4869" s="644"/>
      <c r="S4869" s="1223"/>
      <c r="T4869" s="1191"/>
      <c r="U4869" s="1232"/>
      <c r="V4869" s="48"/>
    </row>
    <row r="4870" spans="7:22">
      <c r="G4870" s="1098"/>
      <c r="H4870" s="1172"/>
      <c r="I4870" s="1357" t="s">
        <v>4949</v>
      </c>
      <c r="J4870" s="49">
        <v>19740000</v>
      </c>
      <c r="K4870" s="1493" t="s">
        <v>4947</v>
      </c>
      <c r="L4870" s="49">
        <v>500000</v>
      </c>
      <c r="M4870" s="1495" t="s">
        <v>4944</v>
      </c>
      <c r="N4870" s="49">
        <v>30000000</v>
      </c>
      <c r="O4870" s="1383" t="s">
        <v>4712</v>
      </c>
      <c r="P4870" s="644">
        <v>4790000</v>
      </c>
      <c r="Q4870" s="1290"/>
      <c r="R4870" s="1290"/>
      <c r="S4870" s="1296" t="s">
        <v>4613</v>
      </c>
      <c r="T4870" s="1191">
        <v>22000</v>
      </c>
      <c r="U4870" s="48"/>
      <c r="V4870" s="49"/>
    </row>
    <row r="4871" spans="7:22">
      <c r="G4871" s="48"/>
      <c r="H4871" s="48"/>
      <c r="I4871" s="1358" t="s">
        <v>4495</v>
      </c>
      <c r="J4871" s="49">
        <v>7600000</v>
      </c>
      <c r="K4871" s="49" t="s">
        <v>4943</v>
      </c>
      <c r="L4871" s="49">
        <v>1000000</v>
      </c>
      <c r="M4871" s="1495" t="s">
        <v>4945</v>
      </c>
      <c r="N4871" s="49">
        <v>27480000</v>
      </c>
      <c r="O4871" s="1383"/>
      <c r="P4871" s="644"/>
      <c r="Q4871" s="1336"/>
      <c r="R4871" s="644"/>
      <c r="S4871" s="1357" t="s">
        <v>4943</v>
      </c>
      <c r="T4871" s="1191">
        <v>300</v>
      </c>
      <c r="U4871" s="1357" t="s">
        <v>4942</v>
      </c>
      <c r="V4871" s="1191">
        <v>300</v>
      </c>
    </row>
    <row r="4872" spans="7:22">
      <c r="G4872" s="48"/>
      <c r="H4872" s="48"/>
      <c r="I4872" s="1358" t="s">
        <v>4950</v>
      </c>
      <c r="J4872" s="49">
        <v>21390000</v>
      </c>
      <c r="K4872" s="1493"/>
      <c r="L4872" s="49"/>
      <c r="M4872" s="1493"/>
      <c r="N4872" s="49"/>
      <c r="O4872" s="1383"/>
      <c r="P4872" s="644"/>
      <c r="Q4872" s="1303"/>
      <c r="R4872" s="644"/>
      <c r="S4872" s="1358"/>
      <c r="T4872" s="1351"/>
      <c r="U4872" s="1358" t="s">
        <v>4529</v>
      </c>
      <c r="V4872" s="1351">
        <v>10000</v>
      </c>
    </row>
    <row r="4873" spans="7:22">
      <c r="G4873" s="48"/>
      <c r="H4873" s="48"/>
      <c r="I4873" s="1358" t="s">
        <v>4951</v>
      </c>
      <c r="J4873" s="49">
        <v>21300000</v>
      </c>
      <c r="K4873" s="1493"/>
      <c r="L4873" s="49"/>
      <c r="M4873" s="49"/>
      <c r="N4873" s="49"/>
      <c r="O4873" s="1383"/>
      <c r="P4873" s="644"/>
      <c r="Q4873" s="1288"/>
      <c r="R4873" s="644"/>
      <c r="S4873" s="48"/>
      <c r="T4873" s="1351"/>
      <c r="U4873" s="48"/>
      <c r="V4873" s="49"/>
    </row>
    <row r="4874" spans="7:22">
      <c r="G4874" s="48"/>
      <c r="H4874" s="48"/>
      <c r="I4874" s="1354"/>
      <c r="J4874" s="49"/>
      <c r="K4874" s="1493"/>
      <c r="L4874" s="49"/>
      <c r="M4874" s="1495"/>
      <c r="N4874" s="49"/>
      <c r="O4874" s="1383"/>
      <c r="P4874" s="644"/>
      <c r="Q4874" s="1302"/>
      <c r="R4874" s="644"/>
      <c r="S4874" s="48"/>
      <c r="T4874" s="1351"/>
      <c r="U4874" s="48"/>
      <c r="V4874" s="49"/>
    </row>
    <row r="4875" spans="7:22">
      <c r="G4875" s="48"/>
      <c r="H4875" s="48"/>
      <c r="I4875" s="1354"/>
      <c r="J4875" s="49"/>
      <c r="K4875" s="1493"/>
      <c r="L4875" s="49"/>
      <c r="M4875" s="1495"/>
      <c r="N4875" s="49"/>
      <c r="O4875" s="1383"/>
      <c r="P4875" s="644"/>
      <c r="Q4875" s="1290"/>
      <c r="R4875" s="644"/>
      <c r="S4875" s="48"/>
      <c r="T4875" s="1351"/>
      <c r="U4875" s="48"/>
      <c r="V4875" s="49"/>
    </row>
    <row r="4876" spans="7:22">
      <c r="G4876" s="48"/>
      <c r="H4876" s="48"/>
      <c r="I4876" s="1354"/>
      <c r="J4876" s="49"/>
      <c r="K4876" s="1532"/>
      <c r="L4876" s="49"/>
      <c r="M4876" s="1498"/>
      <c r="N4876" s="49"/>
      <c r="O4876" s="1383"/>
      <c r="P4876" s="644"/>
      <c r="Q4876" s="1291"/>
      <c r="R4876" s="644"/>
      <c r="S4876" s="48"/>
      <c r="T4876" s="1351"/>
      <c r="U4876" s="48"/>
      <c r="V4876" s="49"/>
    </row>
    <row r="4877" spans="7:22">
      <c r="G4877" s="48"/>
      <c r="H4877" s="48"/>
      <c r="I4877" s="1344"/>
      <c r="J4877" s="49"/>
      <c r="K4877" s="1495"/>
      <c r="L4877" s="49"/>
      <c r="M4877" s="1498"/>
      <c r="N4877" s="49"/>
      <c r="O4877" s="644"/>
      <c r="P4877" s="644"/>
      <c r="Q4877" s="1290"/>
      <c r="R4877" s="644"/>
      <c r="S4877" s="48"/>
      <c r="T4877" s="1351"/>
      <c r="U4877" s="48"/>
      <c r="V4877" s="49"/>
    </row>
    <row r="4878" spans="7:22">
      <c r="G4878" s="48"/>
      <c r="H4878" s="48"/>
      <c r="I4878" s="48"/>
      <c r="J4878" s="49"/>
      <c r="K4878" s="1498"/>
      <c r="L4878" s="49"/>
      <c r="M4878" s="1498"/>
      <c r="N4878" s="49"/>
      <c r="O4878" s="644"/>
      <c r="P4878" s="644"/>
      <c r="Q4878" s="1290"/>
      <c r="R4878" s="644"/>
      <c r="S4878" s="48"/>
      <c r="T4878" s="1351"/>
      <c r="U4878" s="48"/>
      <c r="V4878" s="49"/>
    </row>
    <row r="4879" spans="7:22">
      <c r="G4879" s="48"/>
      <c r="H4879" s="48"/>
      <c r="I4879" s="48"/>
      <c r="J4879" s="49"/>
      <c r="K4879" s="1495"/>
      <c r="L4879" s="49"/>
      <c r="M4879" s="1498"/>
      <c r="N4879" s="49"/>
      <c r="O4879" s="644"/>
      <c r="P4879" s="644"/>
      <c r="Q4879" s="1290"/>
      <c r="R4879" s="644"/>
      <c r="S4879" s="48"/>
      <c r="T4879" s="1351"/>
      <c r="U4879" s="48"/>
      <c r="V4879" s="48"/>
    </row>
    <row r="4880" spans="7:22">
      <c r="G4880" s="48"/>
      <c r="H4880" s="48"/>
      <c r="I4880" s="48"/>
      <c r="J4880" s="49"/>
      <c r="K4880" s="1498"/>
      <c r="L4880" s="49"/>
      <c r="M4880" s="1498"/>
      <c r="N4880" s="49"/>
      <c r="O4880" s="644"/>
      <c r="P4880" s="644"/>
      <c r="Q4880" s="1290"/>
      <c r="R4880" s="644"/>
      <c r="S4880" s="48"/>
      <c r="T4880" s="1351"/>
      <c r="U4880" s="48"/>
      <c r="V4880" s="48"/>
    </row>
    <row r="4881" spans="7:22">
      <c r="G4881" s="48"/>
      <c r="H4881" s="48"/>
      <c r="I4881" s="48"/>
      <c r="J4881" s="49"/>
      <c r="K4881" s="1498"/>
      <c r="L4881" s="49"/>
      <c r="M4881" s="1498"/>
      <c r="N4881" s="49"/>
      <c r="O4881" s="644"/>
      <c r="P4881" s="644"/>
      <c r="Q4881" s="1290"/>
      <c r="R4881" s="644"/>
      <c r="S4881" s="48"/>
      <c r="T4881" s="1351"/>
      <c r="U4881" s="48"/>
      <c r="V4881" s="48"/>
    </row>
    <row r="4882" spans="7:22">
      <c r="G4882" s="48"/>
      <c r="H4882" s="48"/>
      <c r="I4882" s="48"/>
      <c r="J4882" s="49"/>
      <c r="K4882" s="1498"/>
      <c r="L4882" s="49"/>
      <c r="M4882" s="1498"/>
      <c r="N4882" s="49"/>
      <c r="O4882" s="644"/>
      <c r="P4882" s="644"/>
      <c r="Q4882" s="1290"/>
      <c r="R4882" s="644"/>
      <c r="S4882" s="48"/>
      <c r="T4882" s="1351"/>
      <c r="U4882" s="48"/>
      <c r="V4882" s="48"/>
    </row>
    <row r="4883" spans="7:22">
      <c r="G4883" s="48"/>
      <c r="H4883" s="48"/>
      <c r="I4883" s="48"/>
      <c r="J4883" s="49"/>
      <c r="K4883" s="1498"/>
      <c r="L4883" s="49"/>
      <c r="M4883" s="1498"/>
      <c r="N4883" s="49"/>
      <c r="O4883" s="644"/>
      <c r="P4883" s="644"/>
      <c r="Q4883" s="1290"/>
      <c r="R4883" s="644"/>
      <c r="S4883" s="48"/>
      <c r="T4883" s="1351"/>
      <c r="U4883" s="48"/>
      <c r="V4883" s="48"/>
    </row>
    <row r="4884" spans="7:22">
      <c r="G4884" s="48"/>
      <c r="H4884" s="48"/>
      <c r="I4884" s="48"/>
      <c r="J4884" s="49"/>
      <c r="K4884" s="49"/>
      <c r="L4884" s="49"/>
      <c r="M4884" s="1498"/>
      <c r="N4884" s="49"/>
      <c r="O4884" s="644"/>
      <c r="P4884" s="644"/>
      <c r="Q4884" s="1290"/>
      <c r="R4884" s="644"/>
      <c r="S4884" s="48"/>
      <c r="T4884" s="1351"/>
      <c r="U4884" s="48"/>
      <c r="V4884" s="48"/>
    </row>
    <row r="4885" spans="7:22">
      <c r="G4885" s="48"/>
      <c r="H4885" s="48"/>
      <c r="I4885" s="48"/>
      <c r="J4885" s="954">
        <f>SUM(J4869:J4881)</f>
        <v>100110000</v>
      </c>
      <c r="K4885" s="954"/>
      <c r="L4885" s="954">
        <f>SUM(L4869:L4884)</f>
        <v>1800000</v>
      </c>
      <c r="M4885" s="1498"/>
      <c r="N4885" s="954">
        <f>SUM(N4869:N4884)</f>
        <v>265080000</v>
      </c>
      <c r="O4885" s="644"/>
      <c r="P4885" s="969">
        <f>SUM(P4869:P4876)</f>
        <v>4790000</v>
      </c>
      <c r="Q4885" s="969"/>
      <c r="R4885" s="969">
        <f>SUM(R4869:R4884)</f>
        <v>0</v>
      </c>
      <c r="S4885" s="48"/>
      <c r="T4885" s="1178">
        <f>SUM(T4869:T4884)</f>
        <v>22300</v>
      </c>
      <c r="U4885" s="48"/>
      <c r="V4885" s="878">
        <f>SUM(V4869:V4884)</f>
        <v>10300</v>
      </c>
    </row>
    <row r="4886" spans="7:22">
      <c r="T4886" s="1350"/>
    </row>
    <row r="4887" spans="7:22">
      <c r="T4887" s="1350"/>
    </row>
    <row r="4888" spans="7:22">
      <c r="R4888" s="661"/>
      <c r="T4888" s="1350"/>
    </row>
    <row r="4889" spans="7:22">
      <c r="T4889" s="1350"/>
    </row>
    <row r="4890" spans="7:22">
      <c r="T4890" s="1350"/>
    </row>
    <row r="4891" spans="7:22">
      <c r="I4891" s="946"/>
      <c r="M4891" s="1533" t="s">
        <v>3699</v>
      </c>
      <c r="O4891" s="1535" t="s">
        <v>3741</v>
      </c>
      <c r="P4891" s="1512">
        <f>P4885-R4885</f>
        <v>4790000</v>
      </c>
      <c r="S4891" s="906" t="s">
        <v>4049</v>
      </c>
      <c r="T4891" s="1107">
        <f>T4885-V4885</f>
        <v>12000</v>
      </c>
    </row>
    <row r="4892" spans="7:22">
      <c r="G4892" s="1574" t="s">
        <v>3530</v>
      </c>
      <c r="H4892" s="1574"/>
      <c r="I4892" s="1574"/>
      <c r="J4892" s="3">
        <f>J4885+L4885</f>
        <v>101910000</v>
      </c>
      <c r="K4892" s="1009"/>
      <c r="L4892" s="3"/>
      <c r="M4892" s="1533" t="s">
        <v>3664</v>
      </c>
      <c r="N4892" s="1527"/>
      <c r="O4892" s="1535" t="s">
        <v>4066</v>
      </c>
      <c r="P4892" s="1512"/>
      <c r="T4892" s="1350"/>
    </row>
    <row r="4893" spans="7:22">
      <c r="G4893" s="1574" t="s">
        <v>3512</v>
      </c>
      <c r="H4893" s="1574"/>
      <c r="I4893" s="1574"/>
      <c r="J4893" s="3">
        <f>N4885-J4892</f>
        <v>163170000</v>
      </c>
      <c r="K4893" s="1009"/>
      <c r="L4893" s="3"/>
      <c r="M4893" s="1528"/>
      <c r="O4893" s="1529"/>
      <c r="Q4893" s="661"/>
      <c r="T4893" s="1350"/>
    </row>
    <row r="4894" spans="7:22">
      <c r="G4894" s="1574" t="s">
        <v>3531</v>
      </c>
      <c r="H4894" s="1574"/>
      <c r="I4894" s="1574"/>
      <c r="J4894" s="3">
        <f>T4891</f>
        <v>12000</v>
      </c>
      <c r="Q4894" s="3"/>
      <c r="T4894" s="1350"/>
    </row>
    <row r="4895" spans="7:22">
      <c r="G4895" s="1564" t="s">
        <v>4455</v>
      </c>
      <c r="H4895" s="1564"/>
      <c r="I4895" s="1564"/>
      <c r="J4895" s="3">
        <f>+P4891</f>
        <v>4790000</v>
      </c>
      <c r="R4895" s="3"/>
      <c r="T4895" s="1350"/>
    </row>
    <row r="4896" spans="7:22">
      <c r="T4896" s="1350"/>
    </row>
    <row r="4897" spans="7:22">
      <c r="T4897" s="1350"/>
    </row>
    <row r="4899" spans="7:22">
      <c r="T4899" s="1350"/>
    </row>
    <row r="4900" spans="7:22">
      <c r="G4900" s="1008">
        <v>46095</v>
      </c>
      <c r="H4900" s="1169"/>
      <c r="I4900" s="1575" t="s">
        <v>3510</v>
      </c>
      <c r="J4900" s="1576"/>
      <c r="K4900" s="1575" t="s">
        <v>3509</v>
      </c>
      <c r="L4900" s="1576"/>
      <c r="M4900" s="1575" t="s">
        <v>3541</v>
      </c>
      <c r="N4900" s="1576"/>
      <c r="O4900" s="1577" t="s">
        <v>3598</v>
      </c>
      <c r="P4900" s="1578"/>
      <c r="Q4900" s="1579" t="s">
        <v>3599</v>
      </c>
      <c r="R4900" s="1580"/>
      <c r="S4900" s="1583" t="s">
        <v>3953</v>
      </c>
      <c r="T4900" s="1583"/>
      <c r="U4900" s="1583" t="s">
        <v>3954</v>
      </c>
      <c r="V4900" s="1583"/>
    </row>
    <row r="4901" spans="7:22">
      <c r="G4901" s="1097"/>
      <c r="H4901" s="1261"/>
      <c r="I4901" s="1359" t="s">
        <v>4952</v>
      </c>
      <c r="J4901" s="49">
        <v>46000000</v>
      </c>
      <c r="K4901" s="1495" t="s">
        <v>4555</v>
      </c>
      <c r="L4901" s="49">
        <v>300000</v>
      </c>
      <c r="M4901" s="1495" t="s">
        <v>4613</v>
      </c>
      <c r="N4901" s="1495">
        <v>263800000</v>
      </c>
      <c r="O4901" s="1383"/>
      <c r="P4901" s="644"/>
      <c r="Q4901" s="1279"/>
      <c r="R4901" s="644"/>
      <c r="S4901" s="1223"/>
      <c r="T4901" s="1191"/>
      <c r="U4901" s="1232"/>
      <c r="V4901" s="48"/>
    </row>
    <row r="4902" spans="7:22">
      <c r="G4902" s="1098"/>
      <c r="H4902" s="1172"/>
      <c r="I4902" s="1357" t="s">
        <v>4955</v>
      </c>
      <c r="J4902" s="49">
        <v>23650000</v>
      </c>
      <c r="K4902" s="1493" t="s">
        <v>4822</v>
      </c>
      <c r="L4902" s="49">
        <v>100000</v>
      </c>
      <c r="M4902" s="1495" t="s">
        <v>4924</v>
      </c>
      <c r="N4902" s="49">
        <v>800000</v>
      </c>
      <c r="O4902" s="1383" t="s">
        <v>4712</v>
      </c>
      <c r="P4902" s="644">
        <v>18200000</v>
      </c>
      <c r="Q4902" s="1290"/>
      <c r="R4902" s="1290"/>
      <c r="S4902" s="1296" t="s">
        <v>4613</v>
      </c>
      <c r="T4902" s="1191">
        <v>12000</v>
      </c>
      <c r="U4902" s="48"/>
      <c r="V4902" s="49"/>
    </row>
    <row r="4903" spans="7:22">
      <c r="G4903" s="48"/>
      <c r="H4903" s="48"/>
      <c r="I4903" s="1358" t="s">
        <v>4956</v>
      </c>
      <c r="J4903" s="49">
        <v>45800000</v>
      </c>
      <c r="K4903" s="1495" t="s">
        <v>4541</v>
      </c>
      <c r="L4903" s="49">
        <v>500000</v>
      </c>
      <c r="M4903" s="1495" t="s">
        <v>4450</v>
      </c>
      <c r="N4903" s="49">
        <v>645000</v>
      </c>
      <c r="O4903" s="1383"/>
      <c r="P4903" s="644"/>
      <c r="Q4903" s="1360" t="s">
        <v>4954</v>
      </c>
      <c r="R4903" s="644">
        <v>3000000</v>
      </c>
      <c r="S4903" s="1357" t="s">
        <v>1962</v>
      </c>
      <c r="T4903" s="1191">
        <v>1500</v>
      </c>
      <c r="U4903" s="1357" t="s">
        <v>4953</v>
      </c>
      <c r="V4903" s="1191">
        <v>200</v>
      </c>
    </row>
    <row r="4904" spans="7:22">
      <c r="G4904" s="48"/>
      <c r="H4904" s="48"/>
      <c r="I4904" s="1358" t="s">
        <v>4957</v>
      </c>
      <c r="J4904" s="49">
        <v>93000000</v>
      </c>
      <c r="K4904" s="1493" t="s">
        <v>4555</v>
      </c>
      <c r="L4904" s="49">
        <v>3000000</v>
      </c>
      <c r="M4904" s="1493" t="s">
        <v>4959</v>
      </c>
      <c r="N4904" s="49">
        <v>2200000</v>
      </c>
      <c r="O4904" s="1383"/>
      <c r="P4904" s="644"/>
      <c r="Q4904" s="1360" t="s">
        <v>4913</v>
      </c>
      <c r="R4904" s="644">
        <f>2250000+2020000</f>
        <v>4270000</v>
      </c>
      <c r="S4904" s="1358" t="s">
        <v>4960</v>
      </c>
      <c r="T4904" s="1351">
        <v>2500</v>
      </c>
      <c r="U4904" s="1358"/>
      <c r="V4904" s="1351"/>
    </row>
    <row r="4905" spans="7:22">
      <c r="G4905" s="48"/>
      <c r="H4905" s="48"/>
      <c r="I4905" s="1358" t="s">
        <v>4958</v>
      </c>
      <c r="J4905" s="49">
        <v>27600000</v>
      </c>
      <c r="K4905" s="1493" t="s">
        <v>4474</v>
      </c>
      <c r="L4905" s="49">
        <v>630000</v>
      </c>
      <c r="M4905" s="1495" t="s">
        <v>4538</v>
      </c>
      <c r="N4905" s="49">
        <v>1750000</v>
      </c>
      <c r="O4905" s="1383"/>
      <c r="P4905" s="644"/>
      <c r="Q4905" s="1360" t="s">
        <v>4962</v>
      </c>
      <c r="R4905" s="644">
        <v>1750000</v>
      </c>
      <c r="S4905" s="1358" t="s">
        <v>4959</v>
      </c>
      <c r="T4905" s="1351">
        <v>2000</v>
      </c>
      <c r="U4905" s="48"/>
      <c r="V4905" s="49"/>
    </row>
    <row r="4906" spans="7:22">
      <c r="G4906" s="48"/>
      <c r="H4906" s="48"/>
      <c r="I4906" s="1354"/>
      <c r="J4906" s="49"/>
      <c r="K4906" s="1493" t="s">
        <v>4551</v>
      </c>
      <c r="L4906" s="49">
        <v>5000000</v>
      </c>
      <c r="M4906" s="1495"/>
      <c r="N4906" s="49"/>
      <c r="O4906" s="1383"/>
      <c r="P4906" s="644"/>
      <c r="Q4906" s="1302"/>
      <c r="R4906" s="644"/>
      <c r="S4906" s="1358" t="s">
        <v>4961</v>
      </c>
      <c r="T4906" s="1351">
        <v>600</v>
      </c>
      <c r="U4906" s="48"/>
      <c r="V4906" s="49"/>
    </row>
    <row r="4907" spans="7:22">
      <c r="G4907" s="48"/>
      <c r="H4907" s="48"/>
      <c r="I4907" s="1354"/>
      <c r="J4907" s="49"/>
      <c r="K4907" s="1493"/>
      <c r="L4907" s="49"/>
      <c r="M4907" s="1495"/>
      <c r="N4907" s="49"/>
      <c r="O4907" s="1383"/>
      <c r="P4907" s="644"/>
      <c r="Q4907" s="1290"/>
      <c r="R4907" s="644"/>
      <c r="S4907" s="48"/>
      <c r="T4907" s="1351"/>
      <c r="U4907" s="48"/>
      <c r="V4907" s="49"/>
    </row>
    <row r="4908" spans="7:22">
      <c r="G4908" s="48"/>
      <c r="H4908" s="48"/>
      <c r="I4908" s="1354"/>
      <c r="J4908" s="49"/>
      <c r="K4908" s="1532"/>
      <c r="L4908" s="49"/>
      <c r="M4908" s="1498"/>
      <c r="N4908" s="49"/>
      <c r="O4908" s="1383"/>
      <c r="P4908" s="644"/>
      <c r="Q4908" s="1291"/>
      <c r="R4908" s="644"/>
      <c r="S4908" s="48"/>
      <c r="T4908" s="1351"/>
      <c r="U4908" s="48"/>
      <c r="V4908" s="49"/>
    </row>
    <row r="4909" spans="7:22">
      <c r="G4909" s="48"/>
      <c r="H4909" s="48"/>
      <c r="I4909" s="1344"/>
      <c r="J4909" s="49"/>
      <c r="K4909" s="1495"/>
      <c r="L4909" s="49"/>
      <c r="M4909" s="1498"/>
      <c r="N4909" s="49"/>
      <c r="O4909" s="644"/>
      <c r="P4909" s="644"/>
      <c r="Q4909" s="1290"/>
      <c r="R4909" s="644"/>
      <c r="S4909" s="48"/>
      <c r="T4909" s="1351"/>
      <c r="U4909" s="48"/>
      <c r="V4909" s="49"/>
    </row>
    <row r="4910" spans="7:22">
      <c r="G4910" s="48"/>
      <c r="H4910" s="48"/>
      <c r="I4910" s="48"/>
      <c r="J4910" s="49"/>
      <c r="K4910" s="1498"/>
      <c r="L4910" s="49"/>
      <c r="M4910" s="1498"/>
      <c r="N4910" s="49"/>
      <c r="O4910" s="644"/>
      <c r="P4910" s="644"/>
      <c r="Q4910" s="1290"/>
      <c r="R4910" s="644"/>
      <c r="S4910" s="48"/>
      <c r="T4910" s="1351"/>
      <c r="U4910" s="48"/>
      <c r="V4910" s="49"/>
    </row>
    <row r="4911" spans="7:22">
      <c r="G4911" s="48"/>
      <c r="H4911" s="48"/>
      <c r="I4911" s="48"/>
      <c r="J4911" s="49"/>
      <c r="K4911" s="1495"/>
      <c r="L4911" s="49"/>
      <c r="M4911" s="1498"/>
      <c r="N4911" s="49"/>
      <c r="O4911" s="644"/>
      <c r="P4911" s="644"/>
      <c r="Q4911" s="1290"/>
      <c r="R4911" s="644"/>
      <c r="S4911" s="48"/>
      <c r="T4911" s="1351"/>
      <c r="U4911" s="48"/>
      <c r="V4911" s="48"/>
    </row>
    <row r="4912" spans="7:22">
      <c r="G4912" s="48"/>
      <c r="H4912" s="48"/>
      <c r="I4912" s="48"/>
      <c r="J4912" s="49"/>
      <c r="K4912" s="1498"/>
      <c r="L4912" s="49"/>
      <c r="M4912" s="1498"/>
      <c r="N4912" s="49"/>
      <c r="O4912" s="644"/>
      <c r="P4912" s="644"/>
      <c r="Q4912" s="1290"/>
      <c r="R4912" s="644"/>
      <c r="S4912" s="48"/>
      <c r="T4912" s="1351"/>
      <c r="U4912" s="48"/>
      <c r="V4912" s="48"/>
    </row>
    <row r="4913" spans="7:22">
      <c r="G4913" s="48"/>
      <c r="H4913" s="48"/>
      <c r="I4913" s="48"/>
      <c r="J4913" s="49"/>
      <c r="K4913" s="1498"/>
      <c r="L4913" s="49"/>
      <c r="M4913" s="1498"/>
      <c r="N4913" s="49"/>
      <c r="O4913" s="644"/>
      <c r="P4913" s="644"/>
      <c r="Q4913" s="1290"/>
      <c r="R4913" s="644"/>
      <c r="S4913" s="48"/>
      <c r="T4913" s="1351"/>
      <c r="U4913" s="48"/>
      <c r="V4913" s="48"/>
    </row>
    <row r="4914" spans="7:22">
      <c r="G4914" s="48"/>
      <c r="H4914" s="48"/>
      <c r="I4914" s="48"/>
      <c r="J4914" s="49"/>
      <c r="K4914" s="1498"/>
      <c r="L4914" s="49"/>
      <c r="M4914" s="1498"/>
      <c r="N4914" s="49"/>
      <c r="O4914" s="644"/>
      <c r="P4914" s="644"/>
      <c r="Q4914" s="1290"/>
      <c r="R4914" s="644"/>
      <c r="S4914" s="48"/>
      <c r="T4914" s="1351"/>
      <c r="U4914" s="48"/>
      <c r="V4914" s="48"/>
    </row>
    <row r="4915" spans="7:22">
      <c r="G4915" s="48"/>
      <c r="H4915" s="48"/>
      <c r="I4915" s="48"/>
      <c r="J4915" s="49"/>
      <c r="K4915" s="1498"/>
      <c r="L4915" s="49"/>
      <c r="M4915" s="1498"/>
      <c r="N4915" s="49"/>
      <c r="O4915" s="644"/>
      <c r="P4915" s="644"/>
      <c r="Q4915" s="1290"/>
      <c r="R4915" s="644"/>
      <c r="S4915" s="48"/>
      <c r="T4915" s="1351"/>
      <c r="U4915" s="48"/>
      <c r="V4915" s="48"/>
    </row>
    <row r="4916" spans="7:22">
      <c r="G4916" s="48"/>
      <c r="H4916" s="48"/>
      <c r="I4916" s="48"/>
      <c r="J4916" s="49"/>
      <c r="K4916" s="49"/>
      <c r="L4916" s="49"/>
      <c r="M4916" s="1498"/>
      <c r="N4916" s="49"/>
      <c r="O4916" s="644"/>
      <c r="P4916" s="644"/>
      <c r="Q4916" s="1290"/>
      <c r="R4916" s="644"/>
      <c r="S4916" s="48"/>
      <c r="T4916" s="1351"/>
      <c r="U4916" s="48"/>
      <c r="V4916" s="48"/>
    </row>
    <row r="4917" spans="7:22">
      <c r="G4917" s="48"/>
      <c r="H4917" s="48"/>
      <c r="I4917" s="48"/>
      <c r="J4917" s="954">
        <f>SUM(J4901:J4913)</f>
        <v>236050000</v>
      </c>
      <c r="K4917" s="954"/>
      <c r="L4917" s="954">
        <f>SUM(L4901:L4916)</f>
        <v>9530000</v>
      </c>
      <c r="M4917" s="1498"/>
      <c r="N4917" s="954">
        <f>SUM(N4901:N4916)</f>
        <v>269195000</v>
      </c>
      <c r="O4917" s="644"/>
      <c r="P4917" s="969">
        <f>SUM(P4901:P4908)</f>
        <v>18200000</v>
      </c>
      <c r="Q4917" s="969"/>
      <c r="R4917" s="969">
        <f>SUM(R4901:R4916)</f>
        <v>9020000</v>
      </c>
      <c r="S4917" s="48"/>
      <c r="T4917" s="1178">
        <f>SUM(T4901:T4916)</f>
        <v>18600</v>
      </c>
      <c r="U4917" s="48"/>
      <c r="V4917" s="878">
        <f>SUM(V4901:V4916)</f>
        <v>200</v>
      </c>
    </row>
    <row r="4918" spans="7:22">
      <c r="T4918" s="1350"/>
    </row>
    <row r="4919" spans="7:22">
      <c r="T4919" s="1350"/>
    </row>
    <row r="4920" spans="7:22">
      <c r="R4920" s="661"/>
      <c r="T4920" s="1350"/>
    </row>
    <row r="4921" spans="7:22">
      <c r="T4921" s="1350"/>
    </row>
    <row r="4922" spans="7:22">
      <c r="T4922" s="1350"/>
    </row>
    <row r="4923" spans="7:22">
      <c r="I4923" s="946"/>
      <c r="M4923" s="1533" t="s">
        <v>3699</v>
      </c>
      <c r="O4923" s="1535" t="s">
        <v>3741</v>
      </c>
      <c r="P4923" s="1512">
        <f>P4917-R4917</f>
        <v>9180000</v>
      </c>
      <c r="S4923" s="906" t="s">
        <v>4049</v>
      </c>
      <c r="T4923" s="1107">
        <f>T4917-V4917</f>
        <v>18400</v>
      </c>
    </row>
    <row r="4924" spans="7:22">
      <c r="G4924" s="1574" t="s">
        <v>3530</v>
      </c>
      <c r="H4924" s="1574"/>
      <c r="I4924" s="1574"/>
      <c r="J4924" s="3">
        <f>J4917+L4917</f>
        <v>245580000</v>
      </c>
      <c r="K4924" s="1009"/>
      <c r="L4924" s="3"/>
      <c r="M4924" s="1533" t="s">
        <v>3664</v>
      </c>
      <c r="N4924" s="1527"/>
      <c r="O4924" s="1535" t="s">
        <v>4066</v>
      </c>
      <c r="P4924" s="1512"/>
      <c r="T4924" s="1350"/>
    </row>
    <row r="4925" spans="7:22">
      <c r="G4925" s="1574" t="s">
        <v>3512</v>
      </c>
      <c r="H4925" s="1574"/>
      <c r="I4925" s="1574"/>
      <c r="J4925" s="3">
        <f>N4917-J4924</f>
        <v>23615000</v>
      </c>
      <c r="K4925" s="1009"/>
      <c r="L4925" s="3"/>
      <c r="M4925" s="1528"/>
      <c r="O4925" s="1529"/>
      <c r="Q4925" s="661"/>
      <c r="T4925" s="1350"/>
    </row>
    <row r="4926" spans="7:22">
      <c r="G4926" s="1574" t="s">
        <v>3531</v>
      </c>
      <c r="H4926" s="1574"/>
      <c r="I4926" s="1574"/>
      <c r="J4926" s="3">
        <f>T4923</f>
        <v>18400</v>
      </c>
      <c r="Q4926" s="3"/>
      <c r="T4926" s="1350"/>
    </row>
    <row r="4927" spans="7:22">
      <c r="G4927" s="1564" t="s">
        <v>4455</v>
      </c>
      <c r="H4927" s="1564"/>
      <c r="I4927" s="1564"/>
      <c r="J4927" s="3">
        <f>+P4923</f>
        <v>9180000</v>
      </c>
      <c r="R4927" s="3"/>
      <c r="T4927" s="1350"/>
    </row>
    <row r="4928" spans="7:22">
      <c r="T4928" s="1350"/>
    </row>
    <row r="4929" spans="7:22">
      <c r="T4929" s="1350"/>
    </row>
    <row r="4930" spans="7:22">
      <c r="T4930" s="1350"/>
    </row>
    <row r="4931" spans="7:22">
      <c r="G4931" s="1008">
        <v>46096</v>
      </c>
      <c r="H4931" s="1169"/>
      <c r="I4931" s="1575" t="s">
        <v>3510</v>
      </c>
      <c r="J4931" s="1576"/>
      <c r="K4931" s="1575" t="s">
        <v>3509</v>
      </c>
      <c r="L4931" s="1576"/>
      <c r="M4931" s="1575" t="s">
        <v>3541</v>
      </c>
      <c r="N4931" s="1576"/>
      <c r="O4931" s="1577" t="s">
        <v>3598</v>
      </c>
      <c r="P4931" s="1578"/>
      <c r="Q4931" s="1579" t="s">
        <v>3599</v>
      </c>
      <c r="R4931" s="1580"/>
      <c r="S4931" s="1583" t="s">
        <v>3953</v>
      </c>
      <c r="T4931" s="1583"/>
      <c r="U4931" s="1583" t="s">
        <v>3954</v>
      </c>
      <c r="V4931" s="1583"/>
    </row>
    <row r="4932" spans="7:22">
      <c r="G4932" s="1097"/>
      <c r="H4932" s="1261"/>
      <c r="I4932" s="1359"/>
      <c r="J4932" s="49"/>
      <c r="K4932" s="1495" t="s">
        <v>4913</v>
      </c>
      <c r="L4932" s="49">
        <v>2000000</v>
      </c>
      <c r="M4932" s="1495" t="s">
        <v>4613</v>
      </c>
      <c r="N4932" s="1495">
        <v>23300000</v>
      </c>
      <c r="O4932" s="1383"/>
      <c r="P4932" s="644"/>
      <c r="Q4932" s="1279"/>
      <c r="R4932" s="644"/>
      <c r="S4932" s="1223"/>
      <c r="T4932" s="1191"/>
      <c r="U4932" s="1232"/>
      <c r="V4932" s="48"/>
    </row>
    <row r="4933" spans="7:22">
      <c r="G4933" s="1098"/>
      <c r="H4933" s="1172"/>
      <c r="I4933" s="1357"/>
      <c r="J4933" s="49"/>
      <c r="K4933" s="1493" t="s">
        <v>4801</v>
      </c>
      <c r="L4933" s="49">
        <v>100000</v>
      </c>
      <c r="M4933" s="1495" t="s">
        <v>4963</v>
      </c>
      <c r="N4933" s="49">
        <v>4000000</v>
      </c>
      <c r="O4933" s="1383" t="s">
        <v>4712</v>
      </c>
      <c r="P4933" s="644">
        <v>9180000</v>
      </c>
      <c r="Q4933" s="1290"/>
      <c r="R4933" s="1290"/>
      <c r="S4933" s="1296" t="s">
        <v>4613</v>
      </c>
      <c r="T4933" s="1191">
        <v>18400</v>
      </c>
      <c r="U4933" s="48"/>
      <c r="V4933" s="49"/>
    </row>
    <row r="4934" spans="7:22">
      <c r="G4934" s="48"/>
      <c r="H4934" s="48"/>
      <c r="I4934" s="1358"/>
      <c r="J4934" s="49"/>
      <c r="K4934" s="1495" t="s">
        <v>4646</v>
      </c>
      <c r="L4934" s="49">
        <v>4200000</v>
      </c>
      <c r="M4934" s="1495" t="s">
        <v>4924</v>
      </c>
      <c r="N4934" s="49">
        <v>770000</v>
      </c>
      <c r="O4934" s="1383"/>
      <c r="P4934" s="644"/>
      <c r="Q4934" s="1360"/>
      <c r="R4934" s="644"/>
      <c r="S4934" s="1364" t="s">
        <v>4473</v>
      </c>
      <c r="T4934" s="1191">
        <v>300</v>
      </c>
      <c r="U4934" s="1357"/>
      <c r="V4934" s="1191"/>
    </row>
    <row r="4935" spans="7:22">
      <c r="G4935" s="48"/>
      <c r="H4935" s="48"/>
      <c r="I4935" s="1358"/>
      <c r="J4935" s="49"/>
      <c r="K4935" s="1493" t="s">
        <v>4965</v>
      </c>
      <c r="L4935" s="49">
        <v>18000000</v>
      </c>
      <c r="M4935" s="1493" t="s">
        <v>4734</v>
      </c>
      <c r="N4935" s="49">
        <v>1147500000</v>
      </c>
      <c r="O4935" s="1383"/>
      <c r="P4935" s="644"/>
      <c r="Q4935" s="1360"/>
      <c r="R4935" s="644"/>
      <c r="S4935" s="1358"/>
      <c r="T4935" s="1351"/>
      <c r="U4935" s="1358"/>
      <c r="V4935" s="1351"/>
    </row>
    <row r="4936" spans="7:22">
      <c r="G4936" s="48"/>
      <c r="H4936" s="48"/>
      <c r="I4936" s="1358"/>
      <c r="J4936" s="49"/>
      <c r="K4936" s="1493" t="s">
        <v>4966</v>
      </c>
      <c r="L4936" s="49">
        <v>5000000</v>
      </c>
      <c r="M4936" s="1495" t="s">
        <v>4964</v>
      </c>
      <c r="N4936" s="49">
        <v>58000000</v>
      </c>
      <c r="O4936" s="1383"/>
      <c r="P4936" s="644"/>
      <c r="Q4936" s="1360"/>
      <c r="R4936" s="644"/>
      <c r="S4936" s="1358"/>
      <c r="T4936" s="1351"/>
      <c r="U4936" s="48"/>
      <c r="V4936" s="49"/>
    </row>
    <row r="4937" spans="7:22">
      <c r="G4937" s="48"/>
      <c r="H4937" s="48"/>
      <c r="I4937" s="1354"/>
      <c r="J4937" s="49"/>
      <c r="K4937" s="1493"/>
      <c r="L4937" s="49"/>
      <c r="M4937" s="1495" t="s">
        <v>4463</v>
      </c>
      <c r="N4937" s="49">
        <v>1000000</v>
      </c>
      <c r="O4937" s="1383"/>
      <c r="P4937" s="644"/>
      <c r="Q4937" s="1302"/>
      <c r="R4937" s="644"/>
      <c r="S4937" s="1358"/>
      <c r="T4937" s="1351"/>
      <c r="U4937" s="48"/>
      <c r="V4937" s="49"/>
    </row>
    <row r="4938" spans="7:22">
      <c r="G4938" s="48"/>
      <c r="H4938" s="48"/>
      <c r="I4938" s="1354"/>
      <c r="J4938" s="49"/>
      <c r="K4938" s="1493"/>
      <c r="L4938" s="49"/>
      <c r="M4938" s="1495"/>
      <c r="N4938" s="49"/>
      <c r="O4938" s="1383"/>
      <c r="P4938" s="644"/>
      <c r="Q4938" s="1290"/>
      <c r="R4938" s="644"/>
      <c r="S4938" s="48"/>
      <c r="T4938" s="1351"/>
      <c r="U4938" s="48"/>
      <c r="V4938" s="49"/>
    </row>
    <row r="4939" spans="7:22">
      <c r="G4939" s="48"/>
      <c r="H4939" s="48"/>
      <c r="I4939" s="1354"/>
      <c r="J4939" s="49"/>
      <c r="K4939" s="1532"/>
      <c r="L4939" s="49"/>
      <c r="M4939" s="1498"/>
      <c r="N4939" s="49"/>
      <c r="O4939" s="1383"/>
      <c r="P4939" s="644"/>
      <c r="Q4939" s="1291"/>
      <c r="R4939" s="644"/>
      <c r="S4939" s="48"/>
      <c r="T4939" s="1351"/>
      <c r="U4939" s="48"/>
      <c r="V4939" s="49"/>
    </row>
    <row r="4940" spans="7:22">
      <c r="G4940" s="48"/>
      <c r="H4940" s="48"/>
      <c r="I4940" s="1344"/>
      <c r="J4940" s="49"/>
      <c r="K4940" s="1495"/>
      <c r="L4940" s="49"/>
      <c r="M4940" s="1498"/>
      <c r="N4940" s="49"/>
      <c r="O4940" s="644"/>
      <c r="P4940" s="644"/>
      <c r="Q4940" s="1290"/>
      <c r="R4940" s="644"/>
      <c r="S4940" s="48"/>
      <c r="T4940" s="1351"/>
      <c r="U4940" s="48"/>
      <c r="V4940" s="49"/>
    </row>
    <row r="4941" spans="7:22">
      <c r="G4941" s="48"/>
      <c r="H4941" s="48"/>
      <c r="I4941" s="48"/>
      <c r="J4941" s="49"/>
      <c r="K4941" s="1498"/>
      <c r="L4941" s="49"/>
      <c r="M4941" s="1498"/>
      <c r="N4941" s="49"/>
      <c r="O4941" s="644"/>
      <c r="P4941" s="644"/>
      <c r="Q4941" s="1290"/>
      <c r="R4941" s="644"/>
      <c r="S4941" s="48"/>
      <c r="T4941" s="1351"/>
      <c r="U4941" s="48"/>
      <c r="V4941" s="49"/>
    </row>
    <row r="4942" spans="7:22">
      <c r="G4942" s="48"/>
      <c r="H4942" s="48"/>
      <c r="I4942" s="48"/>
      <c r="J4942" s="49"/>
      <c r="K4942" s="1495"/>
      <c r="L4942" s="49"/>
      <c r="M4942" s="1498"/>
      <c r="N4942" s="49"/>
      <c r="O4942" s="644"/>
      <c r="P4942" s="644"/>
      <c r="Q4942" s="1290"/>
      <c r="R4942" s="644"/>
      <c r="S4942" s="48"/>
      <c r="T4942" s="1351"/>
      <c r="U4942" s="48"/>
      <c r="V4942" s="48"/>
    </row>
    <row r="4943" spans="7:22">
      <c r="G4943" s="48"/>
      <c r="H4943" s="48"/>
      <c r="I4943" s="48"/>
      <c r="J4943" s="49"/>
      <c r="K4943" s="1498"/>
      <c r="L4943" s="49"/>
      <c r="M4943" s="1498"/>
      <c r="N4943" s="49"/>
      <c r="O4943" s="644"/>
      <c r="P4943" s="644"/>
      <c r="Q4943" s="1290"/>
      <c r="R4943" s="644"/>
      <c r="S4943" s="48"/>
      <c r="T4943" s="1351"/>
      <c r="U4943" s="48"/>
      <c r="V4943" s="48"/>
    </row>
    <row r="4944" spans="7:22">
      <c r="G4944" s="48"/>
      <c r="H4944" s="48"/>
      <c r="I4944" s="48"/>
      <c r="J4944" s="49"/>
      <c r="K4944" s="1498"/>
      <c r="L4944" s="49"/>
      <c r="M4944" s="1498"/>
      <c r="N4944" s="49"/>
      <c r="O4944" s="644"/>
      <c r="P4944" s="644"/>
      <c r="Q4944" s="1290"/>
      <c r="R4944" s="644"/>
      <c r="S4944" s="48"/>
      <c r="T4944" s="1351"/>
      <c r="U4944" s="48"/>
      <c r="V4944" s="48"/>
    </row>
    <row r="4945" spans="7:22">
      <c r="G4945" s="48"/>
      <c r="H4945" s="48"/>
      <c r="I4945" s="48"/>
      <c r="J4945" s="49"/>
      <c r="K4945" s="1498"/>
      <c r="L4945" s="49"/>
      <c r="M4945" s="1498"/>
      <c r="N4945" s="49"/>
      <c r="O4945" s="644"/>
      <c r="P4945" s="644"/>
      <c r="Q4945" s="1290"/>
      <c r="R4945" s="644"/>
      <c r="S4945" s="48"/>
      <c r="T4945" s="1351"/>
      <c r="U4945" s="48"/>
      <c r="V4945" s="48"/>
    </row>
    <row r="4946" spans="7:22">
      <c r="G4946" s="48"/>
      <c r="H4946" s="48"/>
      <c r="I4946" s="48"/>
      <c r="J4946" s="49"/>
      <c r="K4946" s="1498"/>
      <c r="L4946" s="49"/>
      <c r="M4946" s="1498"/>
      <c r="N4946" s="49"/>
      <c r="O4946" s="644"/>
      <c r="P4946" s="644"/>
      <c r="Q4946" s="1290"/>
      <c r="R4946" s="644"/>
      <c r="S4946" s="48"/>
      <c r="T4946" s="1351"/>
      <c r="U4946" s="48"/>
      <c r="V4946" s="48"/>
    </row>
    <row r="4947" spans="7:22">
      <c r="G4947" s="48"/>
      <c r="H4947" s="48"/>
      <c r="I4947" s="48"/>
      <c r="J4947" s="49"/>
      <c r="K4947" s="49"/>
      <c r="L4947" s="49"/>
      <c r="M4947" s="1498"/>
      <c r="N4947" s="49"/>
      <c r="O4947" s="644"/>
      <c r="P4947" s="644"/>
      <c r="Q4947" s="1290"/>
      <c r="R4947" s="644"/>
      <c r="S4947" s="48"/>
      <c r="T4947" s="1351"/>
      <c r="U4947" s="48"/>
      <c r="V4947" s="48"/>
    </row>
    <row r="4948" spans="7:22">
      <c r="G4948" s="48"/>
      <c r="H4948" s="48"/>
      <c r="I4948" s="48"/>
      <c r="J4948" s="954">
        <f>SUM(J4932:J4944)</f>
        <v>0</v>
      </c>
      <c r="K4948" s="954"/>
      <c r="L4948" s="954">
        <f>SUM(L4932:L4947)</f>
        <v>29300000</v>
      </c>
      <c r="M4948" s="1498"/>
      <c r="N4948" s="954">
        <f>SUM(N4932:N4947)</f>
        <v>1234570000</v>
      </c>
      <c r="O4948" s="644"/>
      <c r="P4948" s="969">
        <f>SUM(P4932:P4939)</f>
        <v>9180000</v>
      </c>
      <c r="Q4948" s="969"/>
      <c r="R4948" s="969">
        <f>SUM(R4932:R4947)</f>
        <v>0</v>
      </c>
      <c r="S4948" s="48"/>
      <c r="T4948" s="1178">
        <f>SUM(T4932:T4947)</f>
        <v>18700</v>
      </c>
      <c r="U4948" s="48"/>
      <c r="V4948" s="878">
        <f>SUM(V4932:V4947)</f>
        <v>0</v>
      </c>
    </row>
    <row r="4949" spans="7:22">
      <c r="T4949" s="1350"/>
    </row>
    <row r="4950" spans="7:22">
      <c r="T4950" s="1350"/>
    </row>
    <row r="4951" spans="7:22">
      <c r="R4951" s="661"/>
      <c r="T4951" s="1350"/>
    </row>
    <row r="4952" spans="7:22">
      <c r="T4952" s="1350"/>
    </row>
    <row r="4953" spans="7:22">
      <c r="T4953" s="1350"/>
    </row>
    <row r="4954" spans="7:22">
      <c r="I4954" s="946"/>
      <c r="M4954" s="1533" t="s">
        <v>3699</v>
      </c>
      <c r="O4954" s="1535" t="s">
        <v>3741</v>
      </c>
      <c r="P4954" s="1512">
        <f>P4948-R4948</f>
        <v>9180000</v>
      </c>
      <c r="S4954" s="906" t="s">
        <v>4049</v>
      </c>
      <c r="T4954" s="1107">
        <f>T4948-V4948</f>
        <v>18700</v>
      </c>
    </row>
    <row r="4955" spans="7:22">
      <c r="G4955" s="1574" t="s">
        <v>3530</v>
      </c>
      <c r="H4955" s="1574"/>
      <c r="I4955" s="1574"/>
      <c r="J4955" s="3">
        <f>J4948+L4948</f>
        <v>29300000</v>
      </c>
      <c r="K4955" s="1009"/>
      <c r="L4955" s="3"/>
      <c r="M4955" s="1533" t="s">
        <v>3664</v>
      </c>
      <c r="N4955" s="1527"/>
      <c r="O4955" s="1535" t="s">
        <v>4066</v>
      </c>
      <c r="P4955" s="1512"/>
      <c r="T4955" s="1350"/>
    </row>
    <row r="4956" spans="7:22">
      <c r="G4956" s="1574" t="s">
        <v>3512</v>
      </c>
      <c r="H4956" s="1574"/>
      <c r="I4956" s="1574"/>
      <c r="J4956" s="3">
        <f>N4948-J4955</f>
        <v>1205270000</v>
      </c>
      <c r="K4956" s="1009"/>
      <c r="L4956" s="3"/>
      <c r="M4956" s="1528"/>
      <c r="O4956" s="1529"/>
      <c r="Q4956" s="661"/>
      <c r="T4956" s="1350"/>
    </row>
    <row r="4957" spans="7:22">
      <c r="G4957" s="1574" t="s">
        <v>3531</v>
      </c>
      <c r="H4957" s="1574"/>
      <c r="I4957" s="1574"/>
      <c r="J4957" s="3">
        <f>T4954</f>
        <v>18700</v>
      </c>
      <c r="Q4957" s="3"/>
      <c r="T4957" s="1350"/>
    </row>
    <row r="4958" spans="7:22">
      <c r="G4958" s="1564" t="s">
        <v>4455</v>
      </c>
      <c r="H4958" s="1564"/>
      <c r="I4958" s="1564"/>
      <c r="J4958" s="3">
        <f>+P4954</f>
        <v>9180000</v>
      </c>
      <c r="R4958" s="3"/>
      <c r="T4958" s="1350"/>
    </row>
    <row r="4959" spans="7:22">
      <c r="T4959" s="1350"/>
    </row>
    <row r="4962" spans="7:22">
      <c r="T4962" s="1355"/>
    </row>
    <row r="4963" spans="7:22">
      <c r="T4963" s="1355"/>
    </row>
    <row r="4964" spans="7:22">
      <c r="G4964" s="1008">
        <v>46097</v>
      </c>
      <c r="H4964" s="1169"/>
      <c r="I4964" s="1575" t="s">
        <v>3510</v>
      </c>
      <c r="J4964" s="1576"/>
      <c r="K4964" s="1575" t="s">
        <v>3509</v>
      </c>
      <c r="L4964" s="1576"/>
      <c r="M4964" s="1575" t="s">
        <v>3541</v>
      </c>
      <c r="N4964" s="1576"/>
      <c r="O4964" s="1577" t="s">
        <v>3598</v>
      </c>
      <c r="P4964" s="1578"/>
      <c r="Q4964" s="1579" t="s">
        <v>3599</v>
      </c>
      <c r="R4964" s="1580"/>
      <c r="S4964" s="1583" t="s">
        <v>3953</v>
      </c>
      <c r="T4964" s="1583"/>
      <c r="U4964" s="1583" t="s">
        <v>3954</v>
      </c>
      <c r="V4964" s="1583"/>
    </row>
    <row r="4965" spans="7:22">
      <c r="G4965" s="1097"/>
      <c r="H4965" s="1261"/>
      <c r="I4965" s="1363" t="s">
        <v>4967</v>
      </c>
      <c r="J4965" s="49">
        <v>40000000</v>
      </c>
      <c r="K4965" s="1495" t="s">
        <v>4647</v>
      </c>
      <c r="L4965" s="49">
        <v>2000000</v>
      </c>
      <c r="M4965" s="1495" t="s">
        <v>4613</v>
      </c>
      <c r="N4965" s="1495">
        <v>415000000</v>
      </c>
      <c r="O4965" s="1383"/>
      <c r="P4965" s="644"/>
      <c r="Q4965" s="1279"/>
      <c r="R4965" s="644"/>
      <c r="S4965" s="1223"/>
      <c r="T4965" s="1191"/>
      <c r="U4965" s="1232"/>
      <c r="V4965" s="48"/>
    </row>
    <row r="4966" spans="7:22">
      <c r="G4966" s="1098"/>
      <c r="H4966" s="1172"/>
      <c r="I4966" s="1364" t="s">
        <v>4968</v>
      </c>
      <c r="J4966" s="49">
        <v>35200000</v>
      </c>
      <c r="K4966" s="1493" t="s">
        <v>4971</v>
      </c>
      <c r="L4966" s="49">
        <v>1200000</v>
      </c>
      <c r="M4966" s="1495" t="s">
        <v>931</v>
      </c>
      <c r="N4966" s="49">
        <v>3000000</v>
      </c>
      <c r="O4966" s="1383" t="s">
        <v>4712</v>
      </c>
      <c r="P4966" s="644">
        <v>7500000</v>
      </c>
      <c r="Q4966" s="1290"/>
      <c r="R4966" s="1290"/>
      <c r="S4966" s="1296" t="s">
        <v>4613</v>
      </c>
      <c r="T4966" s="1191">
        <v>18700</v>
      </c>
      <c r="U4966" s="48"/>
      <c r="V4966" s="49"/>
    </row>
    <row r="4967" spans="7:22">
      <c r="G4967" s="48"/>
      <c r="H4967" s="48"/>
      <c r="I4967" s="1365" t="s">
        <v>4969</v>
      </c>
      <c r="J4967" s="49">
        <v>18000000</v>
      </c>
      <c r="K4967" s="1495"/>
      <c r="L4967" s="49"/>
      <c r="M4967" s="1495" t="s">
        <v>4788</v>
      </c>
      <c r="N4967" s="49">
        <v>8000000</v>
      </c>
      <c r="O4967" s="1383"/>
      <c r="P4967" s="644"/>
      <c r="Q4967" s="1360"/>
      <c r="R4967" s="644"/>
      <c r="S4967" s="1364"/>
      <c r="T4967" s="1191">
        <v>200</v>
      </c>
      <c r="U4967" s="1364" t="s">
        <v>4980</v>
      </c>
      <c r="V4967" s="1191">
        <v>7000</v>
      </c>
    </row>
    <row r="4968" spans="7:22">
      <c r="G4968" s="48"/>
      <c r="H4968" s="48"/>
      <c r="I4968" s="1365" t="s">
        <v>4970</v>
      </c>
      <c r="J4968" s="49">
        <v>46000000</v>
      </c>
      <c r="K4968" s="1493"/>
      <c r="L4968" s="49"/>
      <c r="M4968" s="1493" t="s">
        <v>4973</v>
      </c>
      <c r="N4968" s="49">
        <v>77600000</v>
      </c>
      <c r="O4968" s="1383"/>
      <c r="P4968" s="644"/>
      <c r="Q4968" s="1360"/>
      <c r="R4968" s="644"/>
      <c r="S4968" s="1358"/>
      <c r="T4968" s="1356"/>
      <c r="U4968" s="1358"/>
      <c r="V4968" s="1356"/>
    </row>
    <row r="4969" spans="7:22">
      <c r="G4969" s="48"/>
      <c r="H4969" s="48"/>
      <c r="I4969" s="1363" t="s">
        <v>4972</v>
      </c>
      <c r="J4969" s="49">
        <v>93000000</v>
      </c>
      <c r="K4969" s="1493"/>
      <c r="L4969" s="49"/>
      <c r="M4969" s="1495" t="s">
        <v>4613</v>
      </c>
      <c r="N4969" s="49">
        <v>500000000</v>
      </c>
      <c r="O4969" s="1383"/>
      <c r="P4969" s="644"/>
      <c r="Q4969" s="1360"/>
      <c r="R4969" s="644"/>
      <c r="S4969" s="1358"/>
      <c r="T4969" s="1356"/>
      <c r="U4969" s="48"/>
      <c r="V4969" s="49"/>
    </row>
    <row r="4970" spans="7:22">
      <c r="G4970" s="48"/>
      <c r="H4970" s="48"/>
      <c r="I4970" s="1365" t="s">
        <v>4974</v>
      </c>
      <c r="J4970" s="49">
        <v>46000000</v>
      </c>
      <c r="K4970" s="1493"/>
      <c r="L4970" s="49"/>
      <c r="M4970" s="1495"/>
      <c r="N4970" s="49"/>
      <c r="O4970" s="1383"/>
      <c r="P4970" s="644"/>
      <c r="Q4970" s="1302"/>
      <c r="R4970" s="644"/>
      <c r="S4970" s="1358"/>
      <c r="T4970" s="1356"/>
      <c r="U4970" s="48"/>
      <c r="V4970" s="49"/>
    </row>
    <row r="4971" spans="7:22">
      <c r="G4971" s="48"/>
      <c r="H4971" s="48"/>
      <c r="I4971" s="1365" t="s">
        <v>4975</v>
      </c>
      <c r="J4971" s="49">
        <v>89100000</v>
      </c>
      <c r="K4971" s="1493"/>
      <c r="L4971" s="49"/>
      <c r="M4971" s="1495"/>
      <c r="N4971" s="49"/>
      <c r="O4971" s="1383"/>
      <c r="P4971" s="644"/>
      <c r="Q4971" s="1290"/>
      <c r="R4971" s="644"/>
      <c r="S4971" s="48"/>
      <c r="T4971" s="1356"/>
      <c r="U4971" s="48"/>
      <c r="V4971" s="49"/>
    </row>
    <row r="4972" spans="7:22">
      <c r="G4972" s="48"/>
      <c r="H4972" s="48"/>
      <c r="I4972" s="1365" t="s">
        <v>4976</v>
      </c>
      <c r="J4972" s="49">
        <v>92000000</v>
      </c>
      <c r="K4972" s="1532"/>
      <c r="L4972" s="49"/>
      <c r="M4972" s="1498"/>
      <c r="N4972" s="49"/>
      <c r="O4972" s="1383"/>
      <c r="P4972" s="644"/>
      <c r="Q4972" s="1291"/>
      <c r="R4972" s="644"/>
      <c r="S4972" s="48"/>
      <c r="T4972" s="1356"/>
      <c r="U4972" s="48"/>
      <c r="V4972" s="49"/>
    </row>
    <row r="4973" spans="7:22">
      <c r="G4973" s="48"/>
      <c r="H4973" s="48"/>
      <c r="I4973" s="1365" t="s">
        <v>4977</v>
      </c>
      <c r="J4973" s="49">
        <v>380000000</v>
      </c>
      <c r="K4973" s="1495"/>
      <c r="L4973" s="49"/>
      <c r="M4973" s="1498"/>
      <c r="N4973" s="49"/>
      <c r="O4973" s="644"/>
      <c r="P4973" s="644"/>
      <c r="Q4973" s="1290"/>
      <c r="R4973" s="644"/>
      <c r="S4973" s="48"/>
      <c r="T4973" s="1356"/>
      <c r="U4973" s="48"/>
      <c r="V4973" s="49"/>
    </row>
    <row r="4974" spans="7:22">
      <c r="G4974" s="48"/>
      <c r="H4974" s="48"/>
      <c r="I4974" s="1365" t="s">
        <v>4978</v>
      </c>
      <c r="J4974" s="49">
        <v>27600000</v>
      </c>
      <c r="K4974" s="1498"/>
      <c r="L4974" s="49"/>
      <c r="M4974" s="1498"/>
      <c r="N4974" s="49"/>
      <c r="O4974" s="644"/>
      <c r="P4974" s="644"/>
      <c r="Q4974" s="1290"/>
      <c r="R4974" s="644"/>
      <c r="S4974" s="48"/>
      <c r="T4974" s="1356"/>
      <c r="U4974" s="48"/>
      <c r="V4974" s="49"/>
    </row>
    <row r="4975" spans="7:22">
      <c r="G4975" s="48"/>
      <c r="H4975" s="48"/>
      <c r="I4975" s="1365" t="s">
        <v>4979</v>
      </c>
      <c r="J4975" s="49">
        <v>46000000</v>
      </c>
      <c r="K4975" s="1495"/>
      <c r="L4975" s="49"/>
      <c r="M4975" s="1498"/>
      <c r="N4975" s="49"/>
      <c r="O4975" s="644"/>
      <c r="P4975" s="644"/>
      <c r="Q4975" s="1290"/>
      <c r="R4975" s="644"/>
      <c r="S4975" s="48"/>
      <c r="T4975" s="1356"/>
      <c r="U4975" s="48"/>
      <c r="V4975" s="48"/>
    </row>
    <row r="4976" spans="7:22">
      <c r="G4976" s="48"/>
      <c r="H4976" s="48"/>
      <c r="I4976" s="48"/>
      <c r="J4976" s="49"/>
      <c r="K4976" s="1498"/>
      <c r="L4976" s="49"/>
      <c r="M4976" s="1498"/>
      <c r="N4976" s="49"/>
      <c r="O4976" s="644"/>
      <c r="P4976" s="644"/>
      <c r="Q4976" s="1290"/>
      <c r="R4976" s="644"/>
      <c r="S4976" s="48"/>
      <c r="T4976" s="1356"/>
      <c r="U4976" s="48"/>
      <c r="V4976" s="48"/>
    </row>
    <row r="4977" spans="7:22">
      <c r="G4977" s="48"/>
      <c r="H4977" s="48"/>
      <c r="I4977" s="48"/>
      <c r="J4977" s="49"/>
      <c r="K4977" s="1498"/>
      <c r="L4977" s="49"/>
      <c r="M4977" s="1498"/>
      <c r="N4977" s="49"/>
      <c r="O4977" s="644"/>
      <c r="P4977" s="644"/>
      <c r="Q4977" s="1290"/>
      <c r="R4977" s="644"/>
      <c r="S4977" s="48"/>
      <c r="T4977" s="1356"/>
      <c r="U4977" s="48"/>
      <c r="V4977" s="48"/>
    </row>
    <row r="4978" spans="7:22">
      <c r="G4978" s="48"/>
      <c r="H4978" s="48"/>
      <c r="I4978" s="48"/>
      <c r="J4978" s="49"/>
      <c r="K4978" s="1498"/>
      <c r="L4978" s="49"/>
      <c r="M4978" s="1498"/>
      <c r="N4978" s="49"/>
      <c r="O4978" s="644"/>
      <c r="P4978" s="644"/>
      <c r="Q4978" s="1290"/>
      <c r="R4978" s="644"/>
      <c r="S4978" s="48"/>
      <c r="T4978" s="1356"/>
      <c r="U4978" s="48"/>
      <c r="V4978" s="48"/>
    </row>
    <row r="4979" spans="7:22">
      <c r="G4979" s="48"/>
      <c r="H4979" s="48"/>
      <c r="I4979" s="48"/>
      <c r="J4979" s="49"/>
      <c r="K4979" s="1498"/>
      <c r="L4979" s="49"/>
      <c r="M4979" s="1498"/>
      <c r="N4979" s="49"/>
      <c r="O4979" s="644"/>
      <c r="P4979" s="644"/>
      <c r="Q4979" s="1290"/>
      <c r="R4979" s="644"/>
      <c r="S4979" s="48"/>
      <c r="T4979" s="1356"/>
      <c r="U4979" s="48"/>
      <c r="V4979" s="48"/>
    </row>
    <row r="4980" spans="7:22">
      <c r="G4980" s="48"/>
      <c r="H4980" s="48"/>
      <c r="I4980" s="48"/>
      <c r="J4980" s="49"/>
      <c r="K4980" s="49"/>
      <c r="L4980" s="49"/>
      <c r="M4980" s="1498"/>
      <c r="N4980" s="49"/>
      <c r="O4980" s="644"/>
      <c r="P4980" s="644"/>
      <c r="Q4980" s="1290"/>
      <c r="R4980" s="644"/>
      <c r="S4980" s="48"/>
      <c r="T4980" s="1356"/>
      <c r="U4980" s="48"/>
      <c r="V4980" s="48"/>
    </row>
    <row r="4981" spans="7:22">
      <c r="G4981" s="48"/>
      <c r="H4981" s="48"/>
      <c r="I4981" s="48"/>
      <c r="J4981" s="954">
        <f>SUM(J4965:J4977)</f>
        <v>912900000</v>
      </c>
      <c r="K4981" s="954"/>
      <c r="L4981" s="954">
        <f>SUM(L4965:L4980)</f>
        <v>3200000</v>
      </c>
      <c r="M4981" s="1498"/>
      <c r="N4981" s="954">
        <f>SUM(N4965:N4980)</f>
        <v>1003600000</v>
      </c>
      <c r="O4981" s="644"/>
      <c r="P4981" s="969">
        <f>SUM(P4965:P4972)</f>
        <v>7500000</v>
      </c>
      <c r="Q4981" s="969"/>
      <c r="R4981" s="969">
        <f>SUM(R4965:R4980)</f>
        <v>0</v>
      </c>
      <c r="S4981" s="48"/>
      <c r="T4981" s="1178">
        <f>SUM(T4965:T4980)</f>
        <v>18900</v>
      </c>
      <c r="U4981" s="48"/>
      <c r="V4981" s="878">
        <f>SUM(V4965:V4980)</f>
        <v>7000</v>
      </c>
    </row>
    <row r="4982" spans="7:22">
      <c r="T4982" s="1355"/>
    </row>
    <row r="4983" spans="7:22">
      <c r="T4983" s="1355"/>
    </row>
    <row r="4984" spans="7:22">
      <c r="R4984" s="661"/>
      <c r="T4984" s="1355"/>
    </row>
    <row r="4985" spans="7:22">
      <c r="T4985" s="1355"/>
    </row>
    <row r="4986" spans="7:22">
      <c r="T4986" s="1355"/>
    </row>
    <row r="4987" spans="7:22">
      <c r="I4987" s="946"/>
      <c r="M4987" s="1533" t="s">
        <v>3699</v>
      </c>
      <c r="O4987" s="1535" t="s">
        <v>3741</v>
      </c>
      <c r="P4987" s="1512">
        <f>P4981-R4981</f>
        <v>7500000</v>
      </c>
      <c r="S4987" s="906" t="s">
        <v>4049</v>
      </c>
      <c r="T4987" s="1107">
        <f>T4981-V4981</f>
        <v>11900</v>
      </c>
    </row>
    <row r="4988" spans="7:22">
      <c r="G4988" s="1574" t="s">
        <v>3530</v>
      </c>
      <c r="H4988" s="1574"/>
      <c r="I4988" s="1574"/>
      <c r="J4988" s="3">
        <f>J4981+L4981</f>
        <v>916100000</v>
      </c>
      <c r="K4988" s="1009"/>
      <c r="L4988" s="3"/>
      <c r="M4988" s="1533" t="s">
        <v>3664</v>
      </c>
      <c r="N4988" s="1527"/>
      <c r="O4988" s="1535" t="s">
        <v>4066</v>
      </c>
      <c r="P4988" s="1512"/>
      <c r="T4988" s="1355"/>
    </row>
    <row r="4989" spans="7:22">
      <c r="G4989" s="1574" t="s">
        <v>3512</v>
      </c>
      <c r="H4989" s="1574"/>
      <c r="I4989" s="1574"/>
      <c r="J4989" s="3">
        <f>N4981-J4988</f>
        <v>87500000</v>
      </c>
      <c r="K4989" s="1009"/>
      <c r="L4989" s="3"/>
      <c r="M4989" s="1528"/>
      <c r="O4989" s="1529"/>
      <c r="Q4989" s="661"/>
      <c r="T4989" s="1355"/>
    </row>
    <row r="4990" spans="7:22">
      <c r="G4990" s="1574" t="s">
        <v>3531</v>
      </c>
      <c r="H4990" s="1574"/>
      <c r="I4990" s="1574"/>
      <c r="J4990" s="3">
        <f>T4987</f>
        <v>11900</v>
      </c>
      <c r="Q4990" s="3"/>
      <c r="T4990" s="1355"/>
    </row>
    <row r="4991" spans="7:22">
      <c r="G4991" s="1564" t="s">
        <v>4455</v>
      </c>
      <c r="H4991" s="1564"/>
      <c r="I4991" s="1564"/>
      <c r="J4991" s="3">
        <f>+P4987</f>
        <v>7500000</v>
      </c>
      <c r="R4991" s="3"/>
      <c r="T4991" s="1355"/>
    </row>
    <row r="4992" spans="7:22">
      <c r="T4992" s="1355"/>
    </row>
    <row r="4994" spans="7:22">
      <c r="T4994" s="1361"/>
    </row>
    <row r="4995" spans="7:22">
      <c r="T4995" s="1361"/>
    </row>
    <row r="4996" spans="7:22">
      <c r="G4996" s="1008">
        <v>46098</v>
      </c>
      <c r="H4996" s="1169"/>
      <c r="I4996" s="1575" t="s">
        <v>3510</v>
      </c>
      <c r="J4996" s="1576"/>
      <c r="K4996" s="1575" t="s">
        <v>3509</v>
      </c>
      <c r="L4996" s="1576"/>
      <c r="M4996" s="1575" t="s">
        <v>3541</v>
      </c>
      <c r="N4996" s="1576"/>
      <c r="O4996" s="1577" t="s">
        <v>3598</v>
      </c>
      <c r="P4996" s="1578"/>
      <c r="Q4996" s="1579" t="s">
        <v>3599</v>
      </c>
      <c r="R4996" s="1580"/>
      <c r="S4996" s="1583" t="s">
        <v>3953</v>
      </c>
      <c r="T4996" s="1583"/>
      <c r="U4996" s="1583" t="s">
        <v>3954</v>
      </c>
      <c r="V4996" s="1583"/>
    </row>
    <row r="4997" spans="7:22">
      <c r="G4997" s="1097"/>
      <c r="H4997" s="1261"/>
      <c r="I4997" s="1369" t="s">
        <v>4981</v>
      </c>
      <c r="J4997" s="49">
        <v>26680000</v>
      </c>
      <c r="K4997" s="1495" t="s">
        <v>4455</v>
      </c>
      <c r="L4997" s="49">
        <v>15000000</v>
      </c>
      <c r="M4997" s="1495" t="s">
        <v>4613</v>
      </c>
      <c r="N4997" s="1495">
        <v>387000000</v>
      </c>
      <c r="O4997" s="1383"/>
      <c r="P4997" s="644"/>
      <c r="Q4997" s="1279"/>
      <c r="R4997" s="644"/>
      <c r="S4997" s="1223"/>
      <c r="T4997" s="1191"/>
      <c r="U4997" s="1232"/>
      <c r="V4997" s="48"/>
    </row>
    <row r="4998" spans="7:22">
      <c r="G4998" s="1098"/>
      <c r="H4998" s="1172"/>
      <c r="I4998" s="1368" t="s">
        <v>4982</v>
      </c>
      <c r="J4998" s="49">
        <v>32200000</v>
      </c>
      <c r="K4998" s="1495" t="s">
        <v>4455</v>
      </c>
      <c r="L4998" s="49">
        <v>20000000</v>
      </c>
      <c r="M4998" s="1495" t="s">
        <v>4924</v>
      </c>
      <c r="N4998" s="49">
        <v>950000</v>
      </c>
      <c r="O4998" s="1383" t="s">
        <v>4712</v>
      </c>
      <c r="P4998" s="644">
        <v>24800000</v>
      </c>
      <c r="Q4998" s="1290"/>
      <c r="R4998" s="1290"/>
      <c r="S4998" s="1296" t="s">
        <v>4613</v>
      </c>
      <c r="T4998" s="1191">
        <v>18700</v>
      </c>
      <c r="U4998" s="48"/>
      <c r="V4998" s="49"/>
    </row>
    <row r="4999" spans="7:22">
      <c r="G4999" s="48"/>
      <c r="H4999" s="48"/>
      <c r="I4999" s="1370" t="s">
        <v>4983</v>
      </c>
      <c r="J4999" s="49">
        <v>30360000</v>
      </c>
      <c r="K4999" s="1495" t="s">
        <v>4647</v>
      </c>
      <c r="L4999" s="49">
        <v>4000000</v>
      </c>
      <c r="M4999" s="1495" t="s">
        <v>4987</v>
      </c>
      <c r="N4999" s="49">
        <v>59000000</v>
      </c>
      <c r="O4999" s="1383"/>
      <c r="P4999" s="644"/>
      <c r="Q4999" s="1360"/>
      <c r="R4999" s="644"/>
      <c r="S4999" s="1364"/>
      <c r="T4999" s="1191">
        <v>200</v>
      </c>
      <c r="U4999" s="1364" t="s">
        <v>4980</v>
      </c>
      <c r="V4999" s="1191">
        <v>7000</v>
      </c>
    </row>
    <row r="5000" spans="7:22">
      <c r="G5000" s="48"/>
      <c r="H5000" s="48"/>
      <c r="I5000" s="1370" t="s">
        <v>4984</v>
      </c>
      <c r="J5000" s="49">
        <v>46000000</v>
      </c>
      <c r="K5000" s="1495"/>
      <c r="L5000" s="49"/>
      <c r="M5000" s="1493"/>
      <c r="N5000" s="49"/>
      <c r="O5000" s="1383"/>
      <c r="P5000" s="644"/>
      <c r="Q5000" s="1360"/>
      <c r="R5000" s="644"/>
      <c r="S5000" s="1358"/>
      <c r="T5000" s="1362">
        <v>100</v>
      </c>
      <c r="U5000" s="1358"/>
      <c r="V5000" s="1362"/>
    </row>
    <row r="5001" spans="7:22">
      <c r="G5001" s="48"/>
      <c r="H5001" s="48"/>
      <c r="I5001" s="1368" t="s">
        <v>4985</v>
      </c>
      <c r="J5001" s="49">
        <v>93000000</v>
      </c>
      <c r="K5001" s="1493"/>
      <c r="L5001" s="49"/>
      <c r="M5001" s="1495"/>
      <c r="N5001" s="49"/>
      <c r="O5001" s="1383"/>
      <c r="P5001" s="644"/>
      <c r="Q5001" s="1360"/>
      <c r="R5001" s="644"/>
      <c r="S5001" s="1358"/>
      <c r="T5001" s="1362"/>
      <c r="U5001" s="48"/>
      <c r="V5001" s="49"/>
    </row>
    <row r="5002" spans="7:22">
      <c r="G5002" s="48"/>
      <c r="H5002" s="48"/>
      <c r="I5002" s="1370" t="s">
        <v>4986</v>
      </c>
      <c r="J5002" s="49">
        <f>32000000*0.93</f>
        <v>29760000</v>
      </c>
      <c r="K5002" s="1493"/>
      <c r="L5002" s="49"/>
      <c r="M5002" s="1495"/>
      <c r="N5002" s="49"/>
      <c r="O5002" s="1383"/>
      <c r="P5002" s="644"/>
      <c r="Q5002" s="1302"/>
      <c r="R5002" s="644"/>
      <c r="S5002" s="1358"/>
      <c r="T5002" s="1362"/>
      <c r="U5002" s="48"/>
      <c r="V5002" s="49"/>
    </row>
    <row r="5003" spans="7:22">
      <c r="G5003" s="48"/>
      <c r="H5003" s="48"/>
      <c r="I5003" s="1365"/>
      <c r="J5003" s="49"/>
      <c r="K5003" s="1493"/>
      <c r="L5003" s="49"/>
      <c r="M5003" s="1495"/>
      <c r="N5003" s="49"/>
      <c r="O5003" s="1383"/>
      <c r="P5003" s="644"/>
      <c r="Q5003" s="1290"/>
      <c r="R5003" s="644"/>
      <c r="S5003" s="48"/>
      <c r="T5003" s="1362"/>
      <c r="U5003" s="48"/>
      <c r="V5003" s="49"/>
    </row>
    <row r="5004" spans="7:22">
      <c r="G5004" s="48"/>
      <c r="H5004" s="48"/>
      <c r="I5004" s="1365"/>
      <c r="J5004" s="49"/>
      <c r="K5004" s="1532"/>
      <c r="L5004" s="49"/>
      <c r="M5004" s="1498"/>
      <c r="N5004" s="49"/>
      <c r="O5004" s="1383"/>
      <c r="P5004" s="644"/>
      <c r="Q5004" s="1291"/>
      <c r="R5004" s="644"/>
      <c r="S5004" s="48"/>
      <c r="T5004" s="1362"/>
      <c r="U5004" s="48"/>
      <c r="V5004" s="49"/>
    </row>
    <row r="5005" spans="7:22">
      <c r="G5005" s="48"/>
      <c r="H5005" s="48"/>
      <c r="I5005" s="1365"/>
      <c r="J5005" s="49"/>
      <c r="K5005" s="1495"/>
      <c r="L5005" s="49"/>
      <c r="M5005" s="1498"/>
      <c r="N5005" s="49"/>
      <c r="O5005" s="644"/>
      <c r="P5005" s="644"/>
      <c r="Q5005" s="1290"/>
      <c r="R5005" s="644"/>
      <c r="S5005" s="48"/>
      <c r="T5005" s="1362"/>
      <c r="U5005" s="48"/>
      <c r="V5005" s="49"/>
    </row>
    <row r="5006" spans="7:22">
      <c r="G5006" s="48"/>
      <c r="H5006" s="48"/>
      <c r="I5006" s="1365"/>
      <c r="J5006" s="49"/>
      <c r="K5006" s="1498"/>
      <c r="L5006" s="49"/>
      <c r="M5006" s="1498"/>
      <c r="N5006" s="49"/>
      <c r="O5006" s="644"/>
      <c r="P5006" s="644"/>
      <c r="Q5006" s="1290"/>
      <c r="R5006" s="644"/>
      <c r="S5006" s="48"/>
      <c r="T5006" s="1362"/>
      <c r="U5006" s="48"/>
      <c r="V5006" s="49"/>
    </row>
    <row r="5007" spans="7:22">
      <c r="G5007" s="48"/>
      <c r="H5007" s="48"/>
      <c r="I5007" s="1365"/>
      <c r="J5007" s="49"/>
      <c r="K5007" s="1495"/>
      <c r="L5007" s="49"/>
      <c r="M5007" s="1498"/>
      <c r="N5007" s="49"/>
      <c r="O5007" s="644"/>
      <c r="P5007" s="644"/>
      <c r="Q5007" s="1290"/>
      <c r="R5007" s="644"/>
      <c r="S5007" s="48"/>
      <c r="T5007" s="1362"/>
      <c r="U5007" s="48"/>
      <c r="V5007" s="48"/>
    </row>
    <row r="5008" spans="7:22">
      <c r="G5008" s="48"/>
      <c r="H5008" s="48"/>
      <c r="I5008" s="48"/>
      <c r="J5008" s="49"/>
      <c r="K5008" s="1498"/>
      <c r="L5008" s="49"/>
      <c r="M5008" s="1498"/>
      <c r="N5008" s="49"/>
      <c r="O5008" s="644"/>
      <c r="P5008" s="644"/>
      <c r="Q5008" s="1290"/>
      <c r="R5008" s="644"/>
      <c r="S5008" s="48"/>
      <c r="T5008" s="1362"/>
      <c r="U5008" s="48"/>
      <c r="V5008" s="48"/>
    </row>
    <row r="5009" spans="7:22">
      <c r="G5009" s="48"/>
      <c r="H5009" s="48"/>
      <c r="I5009" s="48"/>
      <c r="J5009" s="49"/>
      <c r="K5009" s="1498"/>
      <c r="L5009" s="49"/>
      <c r="M5009" s="1498"/>
      <c r="N5009" s="49"/>
      <c r="O5009" s="644"/>
      <c r="P5009" s="644"/>
      <c r="Q5009" s="1290"/>
      <c r="R5009" s="644"/>
      <c r="S5009" s="48"/>
      <c r="T5009" s="1362"/>
      <c r="U5009" s="48"/>
      <c r="V5009" s="48"/>
    </row>
    <row r="5010" spans="7:22">
      <c r="G5010" s="48"/>
      <c r="H5010" s="48"/>
      <c r="I5010" s="48"/>
      <c r="J5010" s="49"/>
      <c r="K5010" s="1498"/>
      <c r="L5010" s="49"/>
      <c r="M5010" s="1498"/>
      <c r="N5010" s="49"/>
      <c r="O5010" s="644"/>
      <c r="P5010" s="644"/>
      <c r="Q5010" s="1290"/>
      <c r="R5010" s="644"/>
      <c r="S5010" s="48"/>
      <c r="T5010" s="1362"/>
      <c r="U5010" s="48"/>
      <c r="V5010" s="48"/>
    </row>
    <row r="5011" spans="7:22">
      <c r="G5011" s="48"/>
      <c r="H5011" s="48"/>
      <c r="I5011" s="48"/>
      <c r="J5011" s="49"/>
      <c r="K5011" s="1498"/>
      <c r="L5011" s="49"/>
      <c r="M5011" s="1498"/>
      <c r="N5011" s="49"/>
      <c r="O5011" s="644"/>
      <c r="P5011" s="644"/>
      <c r="Q5011" s="1290"/>
      <c r="R5011" s="644"/>
      <c r="S5011" s="48"/>
      <c r="T5011" s="1362"/>
      <c r="U5011" s="48"/>
      <c r="V5011" s="48"/>
    </row>
    <row r="5012" spans="7:22">
      <c r="G5012" s="48"/>
      <c r="H5012" s="48"/>
      <c r="I5012" s="48"/>
      <c r="J5012" s="49"/>
      <c r="K5012" s="49"/>
      <c r="L5012" s="49"/>
      <c r="M5012" s="1498"/>
      <c r="N5012" s="49"/>
      <c r="O5012" s="644"/>
      <c r="P5012" s="644"/>
      <c r="Q5012" s="1290"/>
      <c r="R5012" s="644"/>
      <c r="S5012" s="48"/>
      <c r="T5012" s="1362"/>
      <c r="U5012" s="48"/>
      <c r="V5012" s="48"/>
    </row>
    <row r="5013" spans="7:22">
      <c r="G5013" s="48"/>
      <c r="H5013" s="48"/>
      <c r="I5013" s="48"/>
      <c r="J5013" s="954">
        <f>SUM(J4997:J5009)</f>
        <v>258000000</v>
      </c>
      <c r="K5013" s="954"/>
      <c r="L5013" s="954">
        <f>SUM(L4997:L5012)</f>
        <v>39000000</v>
      </c>
      <c r="M5013" s="1498"/>
      <c r="N5013" s="954">
        <f>SUM(N4997:N5012)</f>
        <v>446950000</v>
      </c>
      <c r="O5013" s="644"/>
      <c r="P5013" s="969">
        <f>SUM(P4997:P5004)</f>
        <v>24800000</v>
      </c>
      <c r="Q5013" s="969"/>
      <c r="R5013" s="969">
        <f>SUM(R4997:R5012)</f>
        <v>0</v>
      </c>
      <c r="S5013" s="48"/>
      <c r="T5013" s="1178">
        <f>SUM(T4997:T5012)</f>
        <v>19000</v>
      </c>
      <c r="U5013" s="48"/>
      <c r="V5013" s="878">
        <f>SUM(V4997:V5012)</f>
        <v>7000</v>
      </c>
    </row>
    <row r="5014" spans="7:22">
      <c r="T5014" s="1361"/>
    </row>
    <row r="5015" spans="7:22">
      <c r="T5015" s="1361"/>
    </row>
    <row r="5016" spans="7:22">
      <c r="R5016" s="661"/>
      <c r="T5016" s="1361"/>
    </row>
    <row r="5017" spans="7:22">
      <c r="T5017" s="1361"/>
    </row>
    <row r="5018" spans="7:22">
      <c r="T5018" s="1361"/>
    </row>
    <row r="5019" spans="7:22">
      <c r="I5019" s="946"/>
      <c r="M5019" s="1533" t="s">
        <v>3699</v>
      </c>
      <c r="O5019" s="1535" t="s">
        <v>3741</v>
      </c>
      <c r="P5019" s="1512">
        <f>P5013-R5013</f>
        <v>24800000</v>
      </c>
      <c r="S5019" s="906" t="s">
        <v>4049</v>
      </c>
      <c r="T5019" s="1107">
        <f>T5013-V5013</f>
        <v>12000</v>
      </c>
    </row>
    <row r="5020" spans="7:22">
      <c r="G5020" s="1574" t="s">
        <v>3530</v>
      </c>
      <c r="H5020" s="1574"/>
      <c r="I5020" s="1574"/>
      <c r="J5020" s="3">
        <f>J5013+L5013</f>
        <v>297000000</v>
      </c>
      <c r="K5020" s="1009"/>
      <c r="L5020" s="3"/>
      <c r="M5020" s="1533" t="s">
        <v>3664</v>
      </c>
      <c r="N5020" s="1527"/>
      <c r="O5020" s="1535" t="s">
        <v>4066</v>
      </c>
      <c r="P5020" s="1512"/>
      <c r="T5020" s="1361"/>
    </row>
    <row r="5021" spans="7:22">
      <c r="G5021" s="1574" t="s">
        <v>3512</v>
      </c>
      <c r="H5021" s="1574"/>
      <c r="I5021" s="1574"/>
      <c r="J5021" s="3">
        <f>N5013-J5020</f>
        <v>149950000</v>
      </c>
      <c r="K5021" s="1009"/>
      <c r="L5021" s="3"/>
      <c r="M5021" s="1528"/>
      <c r="O5021" s="1529"/>
      <c r="Q5021" s="661"/>
      <c r="T5021" s="1361"/>
    </row>
    <row r="5022" spans="7:22">
      <c r="G5022" s="1574" t="s">
        <v>3531</v>
      </c>
      <c r="H5022" s="1574"/>
      <c r="I5022" s="1574"/>
      <c r="J5022" s="3">
        <f>T5019</f>
        <v>12000</v>
      </c>
      <c r="Q5022" s="3"/>
      <c r="T5022" s="1361"/>
    </row>
    <row r="5023" spans="7:22">
      <c r="G5023" s="1564" t="s">
        <v>4455</v>
      </c>
      <c r="H5023" s="1564"/>
      <c r="I5023" s="1564"/>
      <c r="J5023" s="3">
        <f>+P5019</f>
        <v>24800000</v>
      </c>
      <c r="R5023" s="3"/>
      <c r="T5023" s="1361"/>
    </row>
    <row r="5024" spans="7:22">
      <c r="T5024" s="1361"/>
    </row>
    <row r="5028" spans="7:22">
      <c r="T5028" s="1361"/>
    </row>
    <row r="5029" spans="7:22">
      <c r="T5029" s="1361"/>
    </row>
    <row r="5030" spans="7:22">
      <c r="G5030" s="1008">
        <v>46099</v>
      </c>
      <c r="H5030" s="1169"/>
      <c r="I5030" s="1575" t="s">
        <v>3510</v>
      </c>
      <c r="J5030" s="1576"/>
      <c r="K5030" s="1575" t="s">
        <v>3509</v>
      </c>
      <c r="L5030" s="1576"/>
      <c r="M5030" s="1575" t="s">
        <v>3541</v>
      </c>
      <c r="N5030" s="1576"/>
      <c r="O5030" s="1577" t="s">
        <v>3598</v>
      </c>
      <c r="P5030" s="1578"/>
      <c r="Q5030" s="1579" t="s">
        <v>3599</v>
      </c>
      <c r="R5030" s="1580"/>
      <c r="S5030" s="1583" t="s">
        <v>3953</v>
      </c>
      <c r="T5030" s="1583"/>
      <c r="U5030" s="1583" t="s">
        <v>3954</v>
      </c>
      <c r="V5030" s="1583"/>
    </row>
    <row r="5031" spans="7:22">
      <c r="G5031" s="1097"/>
      <c r="H5031" s="1261"/>
      <c r="I5031" s="1369" t="s">
        <v>4992</v>
      </c>
      <c r="J5031" s="49">
        <v>45500000</v>
      </c>
      <c r="K5031" s="1495" t="s">
        <v>4541</v>
      </c>
      <c r="L5031" s="49">
        <v>300000</v>
      </c>
      <c r="M5031" s="1495" t="s">
        <v>4613</v>
      </c>
      <c r="N5031" s="1495">
        <v>134700000</v>
      </c>
      <c r="O5031" s="1383"/>
      <c r="P5031" s="644"/>
      <c r="Q5031" s="1279"/>
      <c r="R5031" s="644"/>
      <c r="S5031" s="1223"/>
      <c r="T5031" s="1191"/>
      <c r="U5031" s="1232"/>
      <c r="V5031" s="48"/>
    </row>
    <row r="5032" spans="7:22">
      <c r="G5032" s="1098"/>
      <c r="H5032" s="1172"/>
      <c r="I5032" s="1368" t="s">
        <v>4993</v>
      </c>
      <c r="J5032" s="49">
        <f>30000000*0.93</f>
        <v>27900000</v>
      </c>
      <c r="K5032" s="1495"/>
      <c r="L5032" s="49"/>
      <c r="M5032" s="1495" t="s">
        <v>4988</v>
      </c>
      <c r="N5032" s="49">
        <v>5000000</v>
      </c>
      <c r="O5032" s="1383" t="s">
        <v>4712</v>
      </c>
      <c r="P5032" s="644">
        <v>24800000</v>
      </c>
      <c r="Q5032" s="1290"/>
      <c r="R5032" s="1290"/>
      <c r="S5032" s="1296" t="s">
        <v>4613</v>
      </c>
      <c r="T5032" s="1191">
        <v>12000</v>
      </c>
      <c r="U5032" s="48"/>
      <c r="V5032" s="49"/>
    </row>
    <row r="5033" spans="7:22">
      <c r="G5033" s="48"/>
      <c r="H5033" s="48"/>
      <c r="I5033" s="1370" t="s">
        <v>4994</v>
      </c>
      <c r="J5033" s="49">
        <v>93000000</v>
      </c>
      <c r="K5033" s="1495"/>
      <c r="L5033" s="49"/>
      <c r="M5033" s="1495" t="s">
        <v>4989</v>
      </c>
      <c r="N5033" s="49">
        <v>4000000</v>
      </c>
      <c r="O5033" s="1383"/>
      <c r="P5033" s="644">
        <v>29900000</v>
      </c>
      <c r="Q5033" s="1360"/>
      <c r="R5033" s="644"/>
      <c r="S5033" s="1369" t="s">
        <v>4990</v>
      </c>
      <c r="T5033" s="1191">
        <v>2400</v>
      </c>
      <c r="U5033" s="1364"/>
      <c r="V5033" s="1191"/>
    </row>
    <row r="5034" spans="7:22">
      <c r="G5034" s="48"/>
      <c r="H5034" s="48"/>
      <c r="I5034" s="1370" t="s">
        <v>4995</v>
      </c>
      <c r="J5034" s="1368">
        <f>33000000*0.93</f>
        <v>30690000</v>
      </c>
      <c r="K5034" s="1495"/>
      <c r="L5034" s="49"/>
      <c r="M5034" s="1493" t="s">
        <v>4990</v>
      </c>
      <c r="N5034" s="49">
        <v>2600000</v>
      </c>
      <c r="O5034" s="1383"/>
      <c r="P5034" s="644"/>
      <c r="Q5034" s="1360"/>
      <c r="R5034" s="644"/>
      <c r="S5034" s="1358"/>
      <c r="T5034" s="1362"/>
      <c r="U5034" s="1358"/>
      <c r="V5034" s="1362"/>
    </row>
    <row r="5035" spans="7:22">
      <c r="G5035" s="48"/>
      <c r="H5035" s="48"/>
      <c r="I5035" s="1368" t="s">
        <v>4996</v>
      </c>
      <c r="J5035" s="49">
        <f>33000000*0.93</f>
        <v>30690000</v>
      </c>
      <c r="K5035" s="1493"/>
      <c r="L5035" s="49"/>
      <c r="M5035" s="1495" t="s">
        <v>4924</v>
      </c>
      <c r="N5035" s="49">
        <v>900000</v>
      </c>
      <c r="O5035" s="1383"/>
      <c r="P5035" s="644"/>
      <c r="Q5035" s="1360"/>
      <c r="R5035" s="644"/>
      <c r="S5035" s="1358"/>
      <c r="T5035" s="1362"/>
      <c r="U5035" s="48"/>
      <c r="V5035" s="49"/>
    </row>
    <row r="5036" spans="7:22">
      <c r="G5036" s="48"/>
      <c r="H5036" s="48"/>
      <c r="I5036" s="1370" t="s">
        <v>4997</v>
      </c>
      <c r="J5036" s="49">
        <v>32550000</v>
      </c>
      <c r="K5036" s="1493"/>
      <c r="L5036" s="49"/>
      <c r="M5036" s="1495" t="s">
        <v>4991</v>
      </c>
      <c r="N5036" s="49">
        <v>800000</v>
      </c>
      <c r="O5036" s="1383"/>
      <c r="P5036" s="644"/>
      <c r="Q5036" s="1302"/>
      <c r="R5036" s="644"/>
      <c r="S5036" s="1358"/>
      <c r="T5036" s="1362"/>
      <c r="U5036" s="48"/>
      <c r="V5036" s="49"/>
    </row>
    <row r="5037" spans="7:22">
      <c r="G5037" s="48"/>
      <c r="H5037" s="48"/>
      <c r="I5037" s="1370" t="s">
        <v>4998</v>
      </c>
      <c r="J5037" s="49">
        <f>33000000*0.93</f>
        <v>30690000</v>
      </c>
      <c r="K5037" s="1493"/>
      <c r="L5037" s="49"/>
      <c r="M5037" s="1495" t="s">
        <v>3537</v>
      </c>
      <c r="N5037" s="49">
        <v>3000000</v>
      </c>
      <c r="O5037" s="1383"/>
      <c r="P5037" s="644"/>
      <c r="Q5037" s="1290"/>
      <c r="R5037" s="644"/>
      <c r="S5037" s="48"/>
      <c r="T5037" s="1362"/>
      <c r="U5037" s="48"/>
      <c r="V5037" s="49"/>
    </row>
    <row r="5038" spans="7:22">
      <c r="G5038" s="48"/>
      <c r="H5038" s="48"/>
      <c r="I5038" s="1370" t="s">
        <v>4999</v>
      </c>
      <c r="J5038" s="49">
        <v>43120000</v>
      </c>
      <c r="K5038" s="1532"/>
      <c r="L5038" s="49"/>
      <c r="M5038" s="1495" t="s">
        <v>4528</v>
      </c>
      <c r="N5038" s="49">
        <v>865000000</v>
      </c>
      <c r="O5038" s="1383"/>
      <c r="P5038" s="644"/>
      <c r="Q5038" s="1291"/>
      <c r="R5038" s="644"/>
      <c r="S5038" s="48"/>
      <c r="T5038" s="1362"/>
      <c r="U5038" s="48"/>
      <c r="V5038" s="49"/>
    </row>
    <row r="5039" spans="7:22">
      <c r="G5039" s="48"/>
      <c r="H5039" s="48"/>
      <c r="I5039" s="1370" t="s">
        <v>5000</v>
      </c>
      <c r="J5039" s="49">
        <f>40000000*0.93</f>
        <v>37200000</v>
      </c>
      <c r="K5039" s="1495"/>
      <c r="L5039" s="49"/>
      <c r="M5039" s="1495" t="s">
        <v>5007</v>
      </c>
      <c r="N5039" s="49">
        <v>23128000</v>
      </c>
      <c r="O5039" s="644"/>
      <c r="P5039" s="644"/>
      <c r="Q5039" s="1290"/>
      <c r="R5039" s="644"/>
      <c r="S5039" s="48"/>
      <c r="T5039" s="1362"/>
      <c r="U5039" s="48"/>
      <c r="V5039" s="49"/>
    </row>
    <row r="5040" spans="7:22">
      <c r="G5040" s="48"/>
      <c r="H5040" s="48"/>
      <c r="I5040" s="1370" t="s">
        <v>5001</v>
      </c>
      <c r="J5040" s="49">
        <v>93000000</v>
      </c>
      <c r="K5040" s="1498"/>
      <c r="L5040" s="49"/>
      <c r="M5040" s="1498"/>
      <c r="N5040" s="49"/>
      <c r="O5040" s="644"/>
      <c r="P5040" s="644"/>
      <c r="Q5040" s="1290"/>
      <c r="R5040" s="644"/>
      <c r="S5040" s="48"/>
      <c r="T5040" s="1362"/>
      <c r="U5040" s="48"/>
      <c r="V5040" s="49"/>
    </row>
    <row r="5041" spans="7:22">
      <c r="G5041" s="48"/>
      <c r="H5041" s="48"/>
      <c r="I5041" s="1370" t="s">
        <v>5002</v>
      </c>
      <c r="J5041" s="49">
        <v>37200000</v>
      </c>
      <c r="K5041" s="1495"/>
      <c r="L5041" s="49"/>
      <c r="M5041" s="1498"/>
      <c r="N5041" s="49"/>
      <c r="O5041" s="644"/>
      <c r="P5041" s="644"/>
      <c r="Q5041" s="1290"/>
      <c r="R5041" s="644"/>
      <c r="S5041" s="48"/>
      <c r="T5041" s="1362"/>
      <c r="U5041" s="48"/>
      <c r="V5041" s="48"/>
    </row>
    <row r="5042" spans="7:22">
      <c r="G5042" s="48"/>
      <c r="H5042" s="48"/>
      <c r="I5042" s="1370" t="s">
        <v>4450</v>
      </c>
      <c r="J5042" s="49">
        <v>37200000</v>
      </c>
      <c r="K5042" s="1498"/>
      <c r="L5042" s="49"/>
      <c r="M5042" s="1498"/>
      <c r="N5042" s="49"/>
      <c r="O5042" s="644"/>
      <c r="P5042" s="644"/>
      <c r="Q5042" s="1290"/>
      <c r="R5042" s="644"/>
      <c r="S5042" s="48"/>
      <c r="T5042" s="1362"/>
      <c r="U5042" s="48"/>
      <c r="V5042" s="48"/>
    </row>
    <row r="5043" spans="7:22">
      <c r="G5043" s="48"/>
      <c r="H5043" s="48"/>
      <c r="I5043" s="1370" t="s">
        <v>5003</v>
      </c>
      <c r="J5043" s="49">
        <v>13800000</v>
      </c>
      <c r="K5043" s="1498"/>
      <c r="L5043" s="49"/>
      <c r="M5043" s="1498"/>
      <c r="N5043" s="49"/>
      <c r="O5043" s="644"/>
      <c r="P5043" s="644"/>
      <c r="Q5043" s="1290"/>
      <c r="R5043" s="644"/>
      <c r="S5043" s="48"/>
      <c r="T5043" s="1362"/>
      <c r="U5043" s="48"/>
      <c r="V5043" s="48"/>
    </row>
    <row r="5044" spans="7:22">
      <c r="G5044" s="48"/>
      <c r="H5044" s="48"/>
      <c r="I5044" s="1370" t="s">
        <v>5004</v>
      </c>
      <c r="J5044" s="49">
        <v>36800000</v>
      </c>
      <c r="K5044" s="1498"/>
      <c r="L5044" s="49"/>
      <c r="M5044" s="1498"/>
      <c r="N5044" s="49"/>
      <c r="O5044" s="644"/>
      <c r="P5044" s="644"/>
      <c r="Q5044" s="1290"/>
      <c r="R5044" s="644"/>
      <c r="S5044" s="48"/>
      <c r="T5044" s="1362"/>
      <c r="U5044" s="48"/>
      <c r="V5044" s="48"/>
    </row>
    <row r="5045" spans="7:22">
      <c r="G5045" s="48"/>
      <c r="H5045" s="48"/>
      <c r="I5045" s="1370" t="s">
        <v>5005</v>
      </c>
      <c r="J5045" s="49">
        <v>92000000</v>
      </c>
      <c r="K5045" s="1498"/>
      <c r="L5045" s="49"/>
      <c r="M5045" s="1498"/>
      <c r="N5045" s="49"/>
      <c r="O5045" s="644"/>
      <c r="P5045" s="644"/>
      <c r="Q5045" s="1290"/>
      <c r="R5045" s="644"/>
      <c r="S5045" s="48"/>
      <c r="T5045" s="1362"/>
      <c r="U5045" s="48"/>
      <c r="V5045" s="48"/>
    </row>
    <row r="5046" spans="7:22">
      <c r="G5046" s="48"/>
      <c r="H5046" s="48"/>
      <c r="I5046" s="1370" t="s">
        <v>5006</v>
      </c>
      <c r="J5046" s="49">
        <f>35000000*0.92</f>
        <v>32200000</v>
      </c>
      <c r="K5046" s="1498"/>
      <c r="L5046" s="49"/>
      <c r="M5046" s="1498"/>
      <c r="N5046" s="49"/>
      <c r="O5046" s="644"/>
      <c r="P5046" s="644"/>
      <c r="Q5046" s="1290"/>
      <c r="R5046" s="644"/>
      <c r="S5046" s="48"/>
      <c r="T5046" s="1362"/>
      <c r="U5046" s="48"/>
      <c r="V5046" s="48"/>
    </row>
    <row r="5047" spans="7:22">
      <c r="G5047" s="48"/>
      <c r="H5047" s="48"/>
      <c r="I5047" s="48"/>
      <c r="J5047" s="49"/>
      <c r="K5047" s="1498"/>
      <c r="L5047" s="49"/>
      <c r="M5047" s="1498"/>
      <c r="N5047" s="49"/>
      <c r="O5047" s="644"/>
      <c r="P5047" s="644"/>
      <c r="Q5047" s="1290"/>
      <c r="R5047" s="644"/>
      <c r="S5047" s="48"/>
      <c r="T5047" s="1362"/>
      <c r="U5047" s="48"/>
      <c r="V5047" s="48"/>
    </row>
    <row r="5048" spans="7:22">
      <c r="G5048" s="48"/>
      <c r="H5048" s="48"/>
      <c r="I5048" s="48"/>
      <c r="J5048" s="49"/>
      <c r="K5048" s="1498"/>
      <c r="L5048" s="49"/>
      <c r="M5048" s="1498"/>
      <c r="N5048" s="49"/>
      <c r="O5048" s="644"/>
      <c r="P5048" s="644"/>
      <c r="Q5048" s="1290"/>
      <c r="R5048" s="644"/>
      <c r="S5048" s="48"/>
      <c r="T5048" s="1362"/>
      <c r="U5048" s="48"/>
      <c r="V5048" s="48"/>
    </row>
    <row r="5049" spans="7:22">
      <c r="G5049" s="48"/>
      <c r="H5049" s="48"/>
      <c r="I5049" s="48"/>
      <c r="J5049" s="49"/>
      <c r="K5049" s="49"/>
      <c r="L5049" s="49"/>
      <c r="M5049" s="1498"/>
      <c r="N5049" s="49"/>
      <c r="O5049" s="644"/>
      <c r="P5049" s="644"/>
      <c r="Q5049" s="1290"/>
      <c r="R5049" s="644"/>
      <c r="S5049" s="48"/>
      <c r="T5049" s="1362"/>
      <c r="U5049" s="48"/>
      <c r="V5049" s="48"/>
    </row>
    <row r="5050" spans="7:22">
      <c r="G5050" s="48"/>
      <c r="H5050" s="48"/>
      <c r="I5050" s="48"/>
      <c r="J5050" s="954">
        <f>SUM(J5031:J5049)</f>
        <v>713540000</v>
      </c>
      <c r="K5050" s="954"/>
      <c r="L5050" s="954">
        <f>SUM(L5031:L5049)</f>
        <v>300000</v>
      </c>
      <c r="M5050" s="1498"/>
      <c r="N5050" s="954">
        <f>SUM(N5031:N5049)</f>
        <v>1039128000</v>
      </c>
      <c r="O5050" s="644"/>
      <c r="P5050" s="969">
        <f>SUM(P5031:P5038)</f>
        <v>54700000</v>
      </c>
      <c r="Q5050" s="969"/>
      <c r="R5050" s="969">
        <f>SUM(R5031:R5049)</f>
        <v>0</v>
      </c>
      <c r="S5050" s="48"/>
      <c r="T5050" s="1178">
        <f>SUM(T5031:T5049)</f>
        <v>14400</v>
      </c>
      <c r="U5050" s="48"/>
      <c r="V5050" s="878">
        <f>SUM(V5031:V5049)</f>
        <v>0</v>
      </c>
    </row>
    <row r="5051" spans="7:22">
      <c r="T5051" s="1361"/>
    </row>
    <row r="5052" spans="7:22">
      <c r="T5052" s="1361"/>
    </row>
    <row r="5053" spans="7:22">
      <c r="R5053" s="661"/>
      <c r="T5053" s="1361"/>
    </row>
    <row r="5054" spans="7:22">
      <c r="T5054" s="1361"/>
    </row>
    <row r="5055" spans="7:22">
      <c r="T5055" s="1361"/>
    </row>
    <row r="5056" spans="7:22">
      <c r="I5056" s="946"/>
      <c r="M5056" s="1533" t="s">
        <v>3699</v>
      </c>
      <c r="O5056" s="1535" t="s">
        <v>3741</v>
      </c>
      <c r="P5056" s="1512">
        <f>P5050-R5050</f>
        <v>54700000</v>
      </c>
      <c r="S5056" s="906" t="s">
        <v>4049</v>
      </c>
      <c r="T5056" s="1107">
        <f>T5050-V5050</f>
        <v>14400</v>
      </c>
    </row>
    <row r="5057" spans="7:22">
      <c r="G5057" s="1574" t="s">
        <v>3530</v>
      </c>
      <c r="H5057" s="1574"/>
      <c r="I5057" s="1574"/>
      <c r="J5057" s="3">
        <f>J5050+L5050</f>
        <v>713840000</v>
      </c>
      <c r="K5057" s="1009"/>
      <c r="L5057" s="3"/>
      <c r="M5057" s="1533" t="s">
        <v>3664</v>
      </c>
      <c r="N5057" s="1527"/>
      <c r="O5057" s="1535" t="s">
        <v>4066</v>
      </c>
      <c r="P5057" s="1512"/>
      <c r="T5057" s="1361"/>
    </row>
    <row r="5058" spans="7:22">
      <c r="G5058" s="1574" t="s">
        <v>3512</v>
      </c>
      <c r="H5058" s="1574"/>
      <c r="I5058" s="1574"/>
      <c r="J5058" s="3">
        <f>N5050-J5057</f>
        <v>325288000</v>
      </c>
      <c r="K5058" s="1009"/>
      <c r="L5058" s="3"/>
      <c r="M5058" s="1528"/>
      <c r="O5058" s="1529"/>
      <c r="Q5058" s="661"/>
      <c r="T5058" s="1361"/>
    </row>
    <row r="5059" spans="7:22">
      <c r="G5059" s="1574" t="s">
        <v>3531</v>
      </c>
      <c r="H5059" s="1574"/>
      <c r="I5059" s="1574"/>
      <c r="J5059" s="3">
        <f>T5056</f>
        <v>14400</v>
      </c>
      <c r="Q5059" s="3"/>
      <c r="T5059" s="1361"/>
    </row>
    <row r="5060" spans="7:22">
      <c r="G5060" s="1564" t="s">
        <v>4455</v>
      </c>
      <c r="H5060" s="1564"/>
      <c r="I5060" s="1564"/>
      <c r="J5060" s="3">
        <f>+P5056</f>
        <v>54700000</v>
      </c>
      <c r="R5060" s="3"/>
      <c r="T5060" s="1361"/>
    </row>
    <row r="5061" spans="7:22">
      <c r="T5061" s="1361"/>
    </row>
    <row r="5062" spans="7:22">
      <c r="T5062" s="1361"/>
    </row>
    <row r="5063" spans="7:22">
      <c r="T5063" s="1366"/>
    </row>
    <row r="5064" spans="7:22">
      <c r="T5064" s="1366"/>
    </row>
    <row r="5065" spans="7:22">
      <c r="T5065" s="1366"/>
    </row>
    <row r="5066" spans="7:22">
      <c r="G5066" s="1008">
        <v>46100</v>
      </c>
      <c r="H5066" s="1169"/>
      <c r="I5066" s="1575" t="s">
        <v>3510</v>
      </c>
      <c r="J5066" s="1576"/>
      <c r="K5066" s="1575" t="s">
        <v>3509</v>
      </c>
      <c r="L5066" s="1576"/>
      <c r="M5066" s="1575" t="s">
        <v>3541</v>
      </c>
      <c r="N5066" s="1576"/>
      <c r="O5066" s="1577" t="s">
        <v>3598</v>
      </c>
      <c r="P5066" s="1578"/>
      <c r="Q5066" s="1579" t="s">
        <v>3599</v>
      </c>
      <c r="R5066" s="1580"/>
      <c r="S5066" s="1583" t="s">
        <v>3953</v>
      </c>
      <c r="T5066" s="1583"/>
      <c r="U5066" s="1583" t="s">
        <v>3954</v>
      </c>
      <c r="V5066" s="1583"/>
    </row>
    <row r="5067" spans="7:22">
      <c r="G5067" s="1097"/>
      <c r="H5067" s="1261"/>
      <c r="I5067" s="1373" t="s">
        <v>5008</v>
      </c>
      <c r="J5067" s="49">
        <v>46000000</v>
      </c>
      <c r="K5067" s="1495" t="s">
        <v>5019</v>
      </c>
      <c r="L5067" s="49">
        <v>7260000</v>
      </c>
      <c r="M5067" s="1495" t="s">
        <v>4613</v>
      </c>
      <c r="N5067" s="1495">
        <v>326100000</v>
      </c>
      <c r="O5067" s="1383"/>
      <c r="P5067" s="644"/>
      <c r="Q5067" s="1279"/>
      <c r="R5067" s="644"/>
      <c r="S5067" s="1223"/>
      <c r="T5067" s="1191"/>
      <c r="U5067" s="1232"/>
      <c r="V5067" s="48"/>
    </row>
    <row r="5068" spans="7:22">
      <c r="G5068" s="1098"/>
      <c r="H5068" s="1172"/>
      <c r="I5068" s="1374" t="s">
        <v>5009</v>
      </c>
      <c r="J5068" s="49">
        <f>64300000*0.93</f>
        <v>59799000</v>
      </c>
      <c r="K5068" s="1495" t="s">
        <v>5021</v>
      </c>
      <c r="L5068" s="49">
        <v>1960000</v>
      </c>
      <c r="M5068" s="1495" t="s">
        <v>3058</v>
      </c>
      <c r="N5068" s="49">
        <v>6500000</v>
      </c>
      <c r="O5068" s="1383" t="s">
        <v>4712</v>
      </c>
      <c r="P5068" s="644">
        <v>45663000</v>
      </c>
      <c r="Q5068" s="1290"/>
      <c r="R5068" s="1290"/>
      <c r="S5068" s="1296" t="s">
        <v>4613</v>
      </c>
      <c r="T5068" s="1191">
        <v>14400</v>
      </c>
      <c r="U5068" s="48"/>
      <c r="V5068" s="49"/>
    </row>
    <row r="5069" spans="7:22">
      <c r="G5069" s="48"/>
      <c r="H5069" s="48"/>
      <c r="I5069" s="1375" t="s">
        <v>5010</v>
      </c>
      <c r="J5069" s="49">
        <f>33000000*0.94</f>
        <v>31020000</v>
      </c>
      <c r="K5069" s="1495" t="s">
        <v>5022</v>
      </c>
      <c r="L5069" s="49">
        <v>4000000</v>
      </c>
      <c r="M5069" s="1495" t="s">
        <v>5011</v>
      </c>
      <c r="N5069" s="49">
        <v>29100000</v>
      </c>
      <c r="O5069" s="1383"/>
      <c r="P5069" s="644"/>
      <c r="Q5069" s="1376" t="s">
        <v>5015</v>
      </c>
      <c r="R5069" s="644">
        <v>1700000</v>
      </c>
      <c r="S5069" s="1373" t="s">
        <v>3058</v>
      </c>
      <c r="T5069" s="1191">
        <v>600</v>
      </c>
      <c r="U5069" s="1377" t="s">
        <v>5017</v>
      </c>
      <c r="V5069" s="1191">
        <v>100</v>
      </c>
    </row>
    <row r="5070" spans="7:22">
      <c r="G5070" s="48"/>
      <c r="H5070" s="48"/>
      <c r="I5070" s="1375" t="s">
        <v>5018</v>
      </c>
      <c r="J5070" s="1368">
        <v>36800000</v>
      </c>
      <c r="K5070" s="1495" t="s">
        <v>4736</v>
      </c>
      <c r="L5070" s="49">
        <v>4000000</v>
      </c>
      <c r="M5070" s="1493" t="s">
        <v>5012</v>
      </c>
      <c r="N5070" s="49">
        <v>1160000</v>
      </c>
      <c r="O5070" s="1383"/>
      <c r="P5070" s="644"/>
      <c r="Q5070" s="1376" t="s">
        <v>5016</v>
      </c>
      <c r="R5070" s="644">
        <v>1250000</v>
      </c>
      <c r="S5070" s="1358"/>
      <c r="T5070" s="1367"/>
      <c r="U5070" s="1358"/>
      <c r="V5070" s="1367"/>
    </row>
    <row r="5071" spans="7:22">
      <c r="G5071" s="48"/>
      <c r="H5071" s="48"/>
      <c r="I5071" s="1374" t="s">
        <v>5020</v>
      </c>
      <c r="J5071" s="49">
        <v>46500000</v>
      </c>
      <c r="K5071" s="1493"/>
      <c r="L5071" s="49"/>
      <c r="M5071" s="1495" t="s">
        <v>5013</v>
      </c>
      <c r="N5071" s="49">
        <v>2750000</v>
      </c>
      <c r="O5071" s="1383"/>
      <c r="P5071" s="644"/>
      <c r="Q5071" s="1360"/>
      <c r="R5071" s="644"/>
      <c r="S5071" s="1358"/>
      <c r="T5071" s="1367"/>
      <c r="U5071" s="48"/>
      <c r="V5071" s="49"/>
    </row>
    <row r="5072" spans="7:22">
      <c r="G5072" s="48"/>
      <c r="H5072" s="48"/>
      <c r="I5072" s="1375" t="s">
        <v>1614</v>
      </c>
      <c r="J5072" s="49">
        <v>31500000</v>
      </c>
      <c r="K5072" s="1493"/>
      <c r="L5072" s="49"/>
      <c r="M5072" s="1495" t="s">
        <v>5014</v>
      </c>
      <c r="N5072" s="49">
        <v>2600000</v>
      </c>
      <c r="O5072" s="1383"/>
      <c r="P5072" s="644"/>
      <c r="Q5072" s="1302"/>
      <c r="R5072" s="644"/>
      <c r="S5072" s="1358"/>
      <c r="T5072" s="1367"/>
      <c r="U5072" s="48"/>
      <c r="V5072" s="49"/>
    </row>
    <row r="5073" spans="7:22">
      <c r="G5073" s="48"/>
      <c r="H5073" s="48"/>
      <c r="I5073" s="1370"/>
      <c r="J5073" s="49"/>
      <c r="K5073" s="1493"/>
      <c r="L5073" s="49"/>
      <c r="M5073" s="1495" t="s">
        <v>4788</v>
      </c>
      <c r="N5073" s="49">
        <v>10800000</v>
      </c>
      <c r="O5073" s="1383"/>
      <c r="P5073" s="644"/>
      <c r="Q5073" s="1290"/>
      <c r="R5073" s="644"/>
      <c r="S5073" s="48"/>
      <c r="T5073" s="1367"/>
      <c r="U5073" s="48"/>
      <c r="V5073" s="49"/>
    </row>
    <row r="5074" spans="7:22">
      <c r="G5074" s="48"/>
      <c r="H5074" s="48"/>
      <c r="I5074" s="1370"/>
      <c r="J5074" s="49"/>
      <c r="K5074" s="1532"/>
      <c r="L5074" s="49"/>
      <c r="M5074" s="1495" t="s">
        <v>5015</v>
      </c>
      <c r="N5074" s="49">
        <v>4300000</v>
      </c>
      <c r="O5074" s="1383"/>
      <c r="P5074" s="644"/>
      <c r="Q5074" s="1291"/>
      <c r="R5074" s="644"/>
      <c r="S5074" s="48"/>
      <c r="T5074" s="1367"/>
      <c r="U5074" s="48"/>
      <c r="V5074" s="49"/>
    </row>
    <row r="5075" spans="7:22">
      <c r="G5075" s="48"/>
      <c r="H5075" s="48"/>
      <c r="I5075" s="1370"/>
      <c r="J5075" s="49"/>
      <c r="K5075" s="1495"/>
      <c r="L5075" s="49"/>
      <c r="M5075" s="1495"/>
      <c r="N5075" s="49"/>
      <c r="O5075" s="644"/>
      <c r="P5075" s="644"/>
      <c r="Q5075" s="1290"/>
      <c r="R5075" s="644"/>
      <c r="S5075" s="48"/>
      <c r="T5075" s="1367"/>
      <c r="U5075" s="48"/>
      <c r="V5075" s="49"/>
    </row>
    <row r="5076" spans="7:22">
      <c r="G5076" s="48"/>
      <c r="H5076" s="48"/>
      <c r="I5076" s="1370"/>
      <c r="J5076" s="49"/>
      <c r="K5076" s="1498"/>
      <c r="L5076" s="49"/>
      <c r="M5076" s="1498"/>
      <c r="N5076" s="49"/>
      <c r="O5076" s="644"/>
      <c r="P5076" s="644"/>
      <c r="Q5076" s="1290"/>
      <c r="R5076" s="644"/>
      <c r="S5076" s="48"/>
      <c r="T5076" s="1367"/>
      <c r="U5076" s="48"/>
      <c r="V5076" s="49"/>
    </row>
    <row r="5077" spans="7:22">
      <c r="G5077" s="48"/>
      <c r="H5077" s="48"/>
      <c r="I5077" s="1370"/>
      <c r="J5077" s="49"/>
      <c r="K5077" s="1495"/>
      <c r="L5077" s="49"/>
      <c r="M5077" s="1498"/>
      <c r="N5077" s="49"/>
      <c r="O5077" s="644"/>
      <c r="P5077" s="644"/>
      <c r="Q5077" s="1290"/>
      <c r="R5077" s="644"/>
      <c r="S5077" s="48"/>
      <c r="T5077" s="1367"/>
      <c r="U5077" s="48"/>
      <c r="V5077" s="48"/>
    </row>
    <row r="5078" spans="7:22">
      <c r="G5078" s="48"/>
      <c r="H5078" s="48"/>
      <c r="I5078" s="1370"/>
      <c r="J5078" s="49"/>
      <c r="K5078" s="1498"/>
      <c r="L5078" s="49"/>
      <c r="M5078" s="1498"/>
      <c r="N5078" s="49"/>
      <c r="O5078" s="644"/>
      <c r="P5078" s="644"/>
      <c r="Q5078" s="1290"/>
      <c r="R5078" s="644"/>
      <c r="S5078" s="48"/>
      <c r="T5078" s="1367"/>
      <c r="U5078" s="48"/>
      <c r="V5078" s="48"/>
    </row>
    <row r="5079" spans="7:22">
      <c r="G5079" s="48"/>
      <c r="H5079" s="48"/>
      <c r="I5079" s="1370"/>
      <c r="J5079" s="49"/>
      <c r="K5079" s="1498"/>
      <c r="L5079" s="49"/>
      <c r="M5079" s="1498"/>
      <c r="N5079" s="49"/>
      <c r="O5079" s="644"/>
      <c r="P5079" s="644"/>
      <c r="Q5079" s="1290"/>
      <c r="R5079" s="644"/>
      <c r="S5079" s="48"/>
      <c r="T5079" s="1367"/>
      <c r="U5079" s="48"/>
      <c r="V5079" s="48"/>
    </row>
    <row r="5080" spans="7:22">
      <c r="G5080" s="48"/>
      <c r="H5080" s="48"/>
      <c r="I5080" s="1370"/>
      <c r="J5080" s="49"/>
      <c r="K5080" s="1498"/>
      <c r="L5080" s="49"/>
      <c r="M5080" s="1498"/>
      <c r="N5080" s="49"/>
      <c r="O5080" s="644"/>
      <c r="P5080" s="644"/>
      <c r="Q5080" s="1290"/>
      <c r="R5080" s="644"/>
      <c r="S5080" s="48"/>
      <c r="T5080" s="1367"/>
      <c r="U5080" s="48"/>
      <c r="V5080" s="48"/>
    </row>
    <row r="5081" spans="7:22">
      <c r="G5081" s="48"/>
      <c r="H5081" s="48"/>
      <c r="I5081" s="1370"/>
      <c r="J5081" s="49"/>
      <c r="K5081" s="1498"/>
      <c r="L5081" s="49"/>
      <c r="M5081" s="1498"/>
      <c r="N5081" s="49"/>
      <c r="O5081" s="644"/>
      <c r="P5081" s="644"/>
      <c r="Q5081" s="1290"/>
      <c r="R5081" s="644"/>
      <c r="S5081" s="48"/>
      <c r="T5081" s="1367"/>
      <c r="U5081" s="48"/>
      <c r="V5081" s="48"/>
    </row>
    <row r="5082" spans="7:22">
      <c r="G5082" s="48"/>
      <c r="H5082" s="48"/>
      <c r="I5082" s="1370"/>
      <c r="J5082" s="49"/>
      <c r="K5082" s="1498"/>
      <c r="L5082" s="49"/>
      <c r="M5082" s="1498"/>
      <c r="N5082" s="49"/>
      <c r="O5082" s="644"/>
      <c r="P5082" s="644"/>
      <c r="Q5082" s="1290"/>
      <c r="R5082" s="644"/>
      <c r="S5082" s="48"/>
      <c r="T5082" s="1367"/>
      <c r="U5082" s="48"/>
      <c r="V5082" s="48"/>
    </row>
    <row r="5083" spans="7:22">
      <c r="G5083" s="48"/>
      <c r="H5083" s="48"/>
      <c r="I5083" s="48"/>
      <c r="J5083" s="49"/>
      <c r="K5083" s="1498"/>
      <c r="L5083" s="49"/>
      <c r="M5083" s="1498"/>
      <c r="N5083" s="49"/>
      <c r="O5083" s="644"/>
      <c r="P5083" s="644"/>
      <c r="Q5083" s="1290"/>
      <c r="R5083" s="644"/>
      <c r="S5083" s="48"/>
      <c r="T5083" s="1367"/>
      <c r="U5083" s="48"/>
      <c r="V5083" s="48"/>
    </row>
    <row r="5084" spans="7:22">
      <c r="G5084" s="48"/>
      <c r="H5084" s="48"/>
      <c r="I5084" s="48"/>
      <c r="J5084" s="49"/>
      <c r="K5084" s="1498"/>
      <c r="L5084" s="49"/>
      <c r="M5084" s="1498"/>
      <c r="N5084" s="49"/>
      <c r="O5084" s="644"/>
      <c r="P5084" s="644"/>
      <c r="Q5084" s="1290"/>
      <c r="R5084" s="644"/>
      <c r="S5084" s="48"/>
      <c r="T5084" s="1367"/>
      <c r="U5084" s="48"/>
      <c r="V5084" s="48"/>
    </row>
    <row r="5085" spans="7:22">
      <c r="G5085" s="48"/>
      <c r="H5085" s="48"/>
      <c r="I5085" s="48"/>
      <c r="J5085" s="49"/>
      <c r="K5085" s="49"/>
      <c r="L5085" s="49"/>
      <c r="M5085" s="1498"/>
      <c r="N5085" s="49"/>
      <c r="O5085" s="644"/>
      <c r="P5085" s="644"/>
      <c r="Q5085" s="1290"/>
      <c r="R5085" s="644"/>
      <c r="S5085" s="48"/>
      <c r="T5085" s="1367"/>
      <c r="U5085" s="48"/>
      <c r="V5085" s="48"/>
    </row>
    <row r="5086" spans="7:22">
      <c r="G5086" s="48"/>
      <c r="H5086" s="48"/>
      <c r="I5086" s="48"/>
      <c r="J5086" s="954">
        <f>SUM(J5067:J5085)</f>
        <v>251619000</v>
      </c>
      <c r="K5086" s="954"/>
      <c r="L5086" s="954">
        <f>SUM(L5067:L5085)</f>
        <v>17220000</v>
      </c>
      <c r="M5086" s="1498"/>
      <c r="N5086" s="954">
        <f>SUM(N5067:N5085)</f>
        <v>383310000</v>
      </c>
      <c r="O5086" s="644"/>
      <c r="P5086" s="969">
        <f>SUM(P5067:P5074)</f>
        <v>45663000</v>
      </c>
      <c r="Q5086" s="969"/>
      <c r="R5086" s="969">
        <f>SUM(R5067:R5085)</f>
        <v>2950000</v>
      </c>
      <c r="S5086" s="48"/>
      <c r="T5086" s="1178">
        <f>SUM(T5067:T5085)</f>
        <v>15000</v>
      </c>
      <c r="U5086" s="48"/>
      <c r="V5086" s="878">
        <f>SUM(V5067:V5085)</f>
        <v>100</v>
      </c>
    </row>
    <row r="5087" spans="7:22">
      <c r="T5087" s="1366"/>
    </row>
    <row r="5088" spans="7:22">
      <c r="T5088" s="1366"/>
    </row>
    <row r="5089" spans="7:22">
      <c r="R5089" s="661"/>
      <c r="T5089" s="1366"/>
    </row>
    <row r="5090" spans="7:22">
      <c r="T5090" s="1366"/>
    </row>
    <row r="5091" spans="7:22">
      <c r="T5091" s="1366"/>
    </row>
    <row r="5092" spans="7:22">
      <c r="I5092" s="946"/>
      <c r="M5092" s="1533" t="s">
        <v>3699</v>
      </c>
      <c r="O5092" s="1535" t="s">
        <v>3741</v>
      </c>
      <c r="P5092" s="1512">
        <f>P5086-R5086</f>
        <v>42713000</v>
      </c>
      <c r="S5092" s="906" t="s">
        <v>4049</v>
      </c>
      <c r="T5092" s="1107">
        <f>T5086-V5086</f>
        <v>14900</v>
      </c>
    </row>
    <row r="5093" spans="7:22">
      <c r="G5093" s="1574" t="s">
        <v>3530</v>
      </c>
      <c r="H5093" s="1574"/>
      <c r="I5093" s="1574"/>
      <c r="J5093" s="3">
        <f>J5086+L5086</f>
        <v>268839000</v>
      </c>
      <c r="K5093" s="1009"/>
      <c r="L5093" s="3"/>
      <c r="M5093" s="1533" t="s">
        <v>3664</v>
      </c>
      <c r="N5093" s="1527"/>
      <c r="O5093" s="1535" t="s">
        <v>4066</v>
      </c>
      <c r="P5093" s="1512"/>
      <c r="T5093" s="1366"/>
    </row>
    <row r="5094" spans="7:22">
      <c r="G5094" s="1574" t="s">
        <v>3512</v>
      </c>
      <c r="H5094" s="1574"/>
      <c r="I5094" s="1574"/>
      <c r="J5094" s="3">
        <f>N5086-J5093</f>
        <v>114471000</v>
      </c>
      <c r="K5094" s="1009"/>
      <c r="L5094" s="3"/>
      <c r="M5094" s="1528"/>
      <c r="O5094" s="1529"/>
      <c r="Q5094" s="661"/>
      <c r="T5094" s="1366"/>
    </row>
    <row r="5095" spans="7:22">
      <c r="G5095" s="1574" t="s">
        <v>3531</v>
      </c>
      <c r="H5095" s="1574"/>
      <c r="I5095" s="1574"/>
      <c r="J5095" s="3">
        <f>T5092</f>
        <v>14900</v>
      </c>
      <c r="Q5095" s="3"/>
      <c r="T5095" s="1366"/>
    </row>
    <row r="5096" spans="7:22">
      <c r="G5096" s="1564" t="s">
        <v>4455</v>
      </c>
      <c r="H5096" s="1564"/>
      <c r="I5096" s="1564"/>
      <c r="J5096" s="3">
        <f>+P5092</f>
        <v>42713000</v>
      </c>
      <c r="R5096" s="3"/>
      <c r="T5096" s="1366"/>
    </row>
    <row r="5097" spans="7:22">
      <c r="T5097" s="1366"/>
    </row>
    <row r="5098" spans="7:22">
      <c r="T5098" s="1366"/>
    </row>
    <row r="5099" spans="7:22">
      <c r="T5099" s="1366"/>
    </row>
    <row r="5100" spans="7:22">
      <c r="T5100" s="1366"/>
    </row>
    <row r="5101" spans="7:22">
      <c r="T5101" s="1366"/>
    </row>
    <row r="5102" spans="7:22">
      <c r="G5102" s="1008">
        <v>46102</v>
      </c>
      <c r="H5102" s="1169"/>
      <c r="I5102" s="1575" t="s">
        <v>3510</v>
      </c>
      <c r="J5102" s="1576"/>
      <c r="K5102" s="1575" t="s">
        <v>3509</v>
      </c>
      <c r="L5102" s="1576"/>
      <c r="M5102" s="1575" t="s">
        <v>3541</v>
      </c>
      <c r="N5102" s="1576"/>
      <c r="O5102" s="1577" t="s">
        <v>3598</v>
      </c>
      <c r="P5102" s="1578"/>
      <c r="Q5102" s="1579" t="s">
        <v>3599</v>
      </c>
      <c r="R5102" s="1580"/>
      <c r="S5102" s="1583" t="s">
        <v>3953</v>
      </c>
      <c r="T5102" s="1583"/>
      <c r="U5102" s="1583" t="s">
        <v>3954</v>
      </c>
      <c r="V5102" s="1583"/>
    </row>
    <row r="5103" spans="7:22">
      <c r="G5103" s="1097"/>
      <c r="H5103" s="1261"/>
      <c r="I5103" s="1373" t="s">
        <v>2249</v>
      </c>
      <c r="J5103" s="49">
        <v>46000000</v>
      </c>
      <c r="K5103" s="1495"/>
      <c r="L5103" s="49"/>
      <c r="M5103" s="1495" t="s">
        <v>5023</v>
      </c>
      <c r="N5103" s="1495">
        <v>700000000</v>
      </c>
      <c r="O5103" s="1383"/>
      <c r="P5103" s="644"/>
      <c r="Q5103" s="1279"/>
      <c r="R5103" s="644"/>
      <c r="S5103" s="1223"/>
      <c r="T5103" s="1191"/>
      <c r="U5103" s="1232"/>
      <c r="V5103" s="48"/>
    </row>
    <row r="5104" spans="7:22">
      <c r="G5104" s="1098"/>
      <c r="H5104" s="1172"/>
      <c r="I5104" s="1374" t="s">
        <v>5024</v>
      </c>
      <c r="J5104" s="49">
        <v>46500000</v>
      </c>
      <c r="K5104" s="1495"/>
      <c r="L5104" s="49"/>
      <c r="M5104" s="1495"/>
      <c r="N5104" s="49"/>
      <c r="O5104" s="1383" t="s">
        <v>4712</v>
      </c>
      <c r="P5104" s="644"/>
      <c r="Q5104" s="1290"/>
      <c r="R5104" s="1290"/>
      <c r="S5104" s="1373" t="s">
        <v>4613</v>
      </c>
      <c r="T5104" s="1191">
        <v>14400</v>
      </c>
      <c r="U5104" s="48"/>
      <c r="V5104" s="49"/>
    </row>
    <row r="5105" spans="7:22">
      <c r="G5105" s="48"/>
      <c r="H5105" s="48"/>
      <c r="I5105" s="1375" t="s">
        <v>5025</v>
      </c>
      <c r="J5105" s="49">
        <v>18600000</v>
      </c>
      <c r="K5105" s="1495"/>
      <c r="L5105" s="49"/>
      <c r="M5105" s="1495"/>
      <c r="N5105" s="49"/>
      <c r="O5105" s="1383"/>
      <c r="P5105" s="644"/>
      <c r="Q5105" s="1376"/>
      <c r="R5105" s="644"/>
      <c r="S5105" s="1373"/>
      <c r="T5105" s="1191"/>
      <c r="U5105" s="1377"/>
      <c r="V5105" s="1191"/>
    </row>
    <row r="5106" spans="7:22">
      <c r="G5106" s="48"/>
      <c r="H5106" s="48"/>
      <c r="I5106" s="1375" t="s">
        <v>5026</v>
      </c>
      <c r="J5106" s="1368">
        <v>30030000</v>
      </c>
      <c r="K5106" s="1495"/>
      <c r="L5106" s="49"/>
      <c r="M5106" s="1493"/>
      <c r="N5106" s="49"/>
      <c r="O5106" s="1383"/>
      <c r="P5106" s="644"/>
      <c r="Q5106" s="1376"/>
      <c r="R5106" s="644"/>
      <c r="S5106" s="1358"/>
      <c r="T5106" s="1367"/>
      <c r="U5106" s="1358"/>
      <c r="V5106" s="1367"/>
    </row>
    <row r="5107" spans="7:22">
      <c r="G5107" s="48"/>
      <c r="H5107" s="48"/>
      <c r="I5107" s="1374" t="s">
        <v>5027</v>
      </c>
      <c r="J5107" s="49">
        <v>36400000</v>
      </c>
      <c r="K5107" s="1493"/>
      <c r="L5107" s="49"/>
      <c r="M5107" s="1495"/>
      <c r="N5107" s="49"/>
      <c r="O5107" s="1383"/>
      <c r="P5107" s="644"/>
      <c r="Q5107" s="1360"/>
      <c r="R5107" s="644"/>
      <c r="S5107" s="1358"/>
      <c r="T5107" s="1367"/>
      <c r="U5107" s="48"/>
      <c r="V5107" s="49"/>
    </row>
    <row r="5108" spans="7:22">
      <c r="G5108" s="48"/>
      <c r="H5108" s="48"/>
      <c r="I5108" s="1375"/>
      <c r="J5108" s="49"/>
      <c r="K5108" s="1493"/>
      <c r="L5108" s="49"/>
      <c r="M5108" s="1495"/>
      <c r="N5108" s="49"/>
      <c r="O5108" s="1383"/>
      <c r="P5108" s="644"/>
      <c r="Q5108" s="1302"/>
      <c r="R5108" s="644"/>
      <c r="S5108" s="1358"/>
      <c r="T5108" s="1367"/>
      <c r="U5108" s="48"/>
      <c r="V5108" s="49"/>
    </row>
    <row r="5109" spans="7:22">
      <c r="G5109" s="48"/>
      <c r="H5109" s="48"/>
      <c r="I5109" s="1370"/>
      <c r="J5109" s="49"/>
      <c r="K5109" s="1493"/>
      <c r="L5109" s="49"/>
      <c r="M5109" s="1495"/>
      <c r="N5109" s="49"/>
      <c r="O5109" s="1383"/>
      <c r="P5109" s="644"/>
      <c r="Q5109" s="1290"/>
      <c r="R5109" s="644"/>
      <c r="S5109" s="48"/>
      <c r="T5109" s="1367"/>
      <c r="U5109" s="48"/>
      <c r="V5109" s="49"/>
    </row>
    <row r="5110" spans="7:22">
      <c r="G5110" s="48"/>
      <c r="H5110" s="48"/>
      <c r="I5110" s="1370"/>
      <c r="J5110" s="49"/>
      <c r="K5110" s="1532"/>
      <c r="L5110" s="49"/>
      <c r="M5110" s="1495"/>
      <c r="N5110" s="49"/>
      <c r="O5110" s="1383"/>
      <c r="P5110" s="644"/>
      <c r="Q5110" s="1291"/>
      <c r="R5110" s="644"/>
      <c r="S5110" s="48"/>
      <c r="T5110" s="1367"/>
      <c r="U5110" s="48"/>
      <c r="V5110" s="49"/>
    </row>
    <row r="5111" spans="7:22">
      <c r="G5111" s="48"/>
      <c r="H5111" s="48"/>
      <c r="I5111" s="1370"/>
      <c r="J5111" s="49"/>
      <c r="K5111" s="1495"/>
      <c r="L5111" s="49"/>
      <c r="M5111" s="1495"/>
      <c r="N5111" s="49"/>
      <c r="O5111" s="644"/>
      <c r="P5111" s="644"/>
      <c r="Q5111" s="1290"/>
      <c r="R5111" s="644"/>
      <c r="S5111" s="48"/>
      <c r="T5111" s="1367"/>
      <c r="U5111" s="48"/>
      <c r="V5111" s="49"/>
    </row>
    <row r="5112" spans="7:22">
      <c r="G5112" s="48"/>
      <c r="H5112" s="48"/>
      <c r="I5112" s="1370"/>
      <c r="J5112" s="49"/>
      <c r="K5112" s="1498"/>
      <c r="L5112" s="49"/>
      <c r="M5112" s="1498"/>
      <c r="N5112" s="49"/>
      <c r="O5112" s="644"/>
      <c r="P5112" s="644"/>
      <c r="Q5112" s="1290"/>
      <c r="R5112" s="644"/>
      <c r="S5112" s="48"/>
      <c r="T5112" s="1367"/>
      <c r="U5112" s="48"/>
      <c r="V5112" s="49"/>
    </row>
    <row r="5113" spans="7:22">
      <c r="G5113" s="48"/>
      <c r="H5113" s="48"/>
      <c r="I5113" s="1370"/>
      <c r="J5113" s="49"/>
      <c r="K5113" s="1495"/>
      <c r="L5113" s="49"/>
      <c r="M5113" s="1498"/>
      <c r="N5113" s="49"/>
      <c r="O5113" s="644"/>
      <c r="P5113" s="644"/>
      <c r="Q5113" s="1290"/>
      <c r="R5113" s="644"/>
      <c r="S5113" s="48"/>
      <c r="T5113" s="1367"/>
      <c r="U5113" s="48"/>
      <c r="V5113" s="48"/>
    </row>
    <row r="5114" spans="7:22">
      <c r="G5114" s="48"/>
      <c r="H5114" s="48"/>
      <c r="I5114" s="1370"/>
      <c r="J5114" s="49"/>
      <c r="K5114" s="1498"/>
      <c r="L5114" s="49"/>
      <c r="M5114" s="1498"/>
      <c r="N5114" s="49"/>
      <c r="O5114" s="644"/>
      <c r="P5114" s="644"/>
      <c r="Q5114" s="1290"/>
      <c r="R5114" s="644"/>
      <c r="S5114" s="48"/>
      <c r="T5114" s="1367"/>
      <c r="U5114" s="48"/>
      <c r="V5114" s="48"/>
    </row>
    <row r="5115" spans="7:22">
      <c r="G5115" s="48"/>
      <c r="H5115" s="48"/>
      <c r="I5115" s="1370"/>
      <c r="J5115" s="49"/>
      <c r="K5115" s="1498"/>
      <c r="L5115" s="49"/>
      <c r="M5115" s="1498"/>
      <c r="N5115" s="49"/>
      <c r="O5115" s="644"/>
      <c r="P5115" s="644"/>
      <c r="Q5115" s="1290"/>
      <c r="R5115" s="644"/>
      <c r="S5115" s="48"/>
      <c r="T5115" s="1367"/>
      <c r="U5115" s="48"/>
      <c r="V5115" s="48"/>
    </row>
    <row r="5116" spans="7:22">
      <c r="G5116" s="48"/>
      <c r="H5116" s="48"/>
      <c r="I5116" s="1370"/>
      <c r="J5116" s="49"/>
      <c r="K5116" s="1498"/>
      <c r="L5116" s="49"/>
      <c r="M5116" s="1498"/>
      <c r="N5116" s="49"/>
      <c r="O5116" s="644"/>
      <c r="P5116" s="644"/>
      <c r="Q5116" s="1290"/>
      <c r="R5116" s="644"/>
      <c r="S5116" s="48"/>
      <c r="T5116" s="1367"/>
      <c r="U5116" s="48"/>
      <c r="V5116" s="48"/>
    </row>
    <row r="5117" spans="7:22">
      <c r="G5117" s="48"/>
      <c r="H5117" s="48"/>
      <c r="I5117" s="1370"/>
      <c r="J5117" s="49"/>
      <c r="K5117" s="1498"/>
      <c r="L5117" s="49"/>
      <c r="M5117" s="1498"/>
      <c r="N5117" s="49"/>
      <c r="O5117" s="644"/>
      <c r="P5117" s="644"/>
      <c r="Q5117" s="1290"/>
      <c r="R5117" s="644"/>
      <c r="S5117" s="48"/>
      <c r="T5117" s="1367"/>
      <c r="U5117" s="48"/>
      <c r="V5117" s="48"/>
    </row>
    <row r="5118" spans="7:22">
      <c r="G5118" s="48"/>
      <c r="H5118" s="48"/>
      <c r="I5118" s="1370"/>
      <c r="J5118" s="49"/>
      <c r="K5118" s="1498"/>
      <c r="L5118" s="49"/>
      <c r="M5118" s="1498"/>
      <c r="N5118" s="49"/>
      <c r="O5118" s="644"/>
      <c r="P5118" s="644"/>
      <c r="Q5118" s="1290"/>
      <c r="R5118" s="644"/>
      <c r="S5118" s="48"/>
      <c r="T5118" s="1367"/>
      <c r="U5118" s="48"/>
      <c r="V5118" s="48"/>
    </row>
    <row r="5119" spans="7:22">
      <c r="G5119" s="48"/>
      <c r="H5119" s="48"/>
      <c r="I5119" s="48"/>
      <c r="J5119" s="49"/>
      <c r="K5119" s="1498"/>
      <c r="L5119" s="49"/>
      <c r="M5119" s="1498"/>
      <c r="N5119" s="49"/>
      <c r="O5119" s="644"/>
      <c r="P5119" s="644"/>
      <c r="Q5119" s="1290"/>
      <c r="R5119" s="644"/>
      <c r="S5119" s="48"/>
      <c r="T5119" s="1367"/>
      <c r="U5119" s="48"/>
      <c r="V5119" s="48"/>
    </row>
    <row r="5120" spans="7:22">
      <c r="G5120" s="48"/>
      <c r="H5120" s="48"/>
      <c r="I5120" s="48"/>
      <c r="J5120" s="49"/>
      <c r="K5120" s="1498"/>
      <c r="L5120" s="49"/>
      <c r="M5120" s="1498"/>
      <c r="N5120" s="49"/>
      <c r="O5120" s="644"/>
      <c r="P5120" s="644"/>
      <c r="Q5120" s="1290"/>
      <c r="R5120" s="644"/>
      <c r="S5120" s="48"/>
      <c r="T5120" s="1367"/>
      <c r="U5120" s="48"/>
      <c r="V5120" s="48"/>
    </row>
    <row r="5121" spans="7:22">
      <c r="G5121" s="48"/>
      <c r="H5121" s="48"/>
      <c r="I5121" s="48"/>
      <c r="J5121" s="49"/>
      <c r="K5121" s="49"/>
      <c r="L5121" s="49"/>
      <c r="M5121" s="1498"/>
      <c r="N5121" s="49"/>
      <c r="O5121" s="644"/>
      <c r="P5121" s="644"/>
      <c r="Q5121" s="1290"/>
      <c r="R5121" s="644"/>
      <c r="S5121" s="48"/>
      <c r="T5121" s="1367"/>
      <c r="U5121" s="48"/>
      <c r="V5121" s="48"/>
    </row>
    <row r="5122" spans="7:22">
      <c r="G5122" s="48"/>
      <c r="H5122" s="48"/>
      <c r="I5122" s="48"/>
      <c r="J5122" s="954">
        <f>SUM(J5103:J5121)</f>
        <v>177530000</v>
      </c>
      <c r="K5122" s="954"/>
      <c r="L5122" s="954">
        <f>SUM(L5103:L5121)</f>
        <v>0</v>
      </c>
      <c r="M5122" s="1498"/>
      <c r="N5122" s="954">
        <f>SUM(N5103:N5121)</f>
        <v>700000000</v>
      </c>
      <c r="O5122" s="644"/>
      <c r="P5122" s="969">
        <f>SUM(P5103:P5110)</f>
        <v>0</v>
      </c>
      <c r="Q5122" s="969"/>
      <c r="R5122" s="969">
        <f>SUM(R5103:R5121)</f>
        <v>0</v>
      </c>
      <c r="S5122" s="48"/>
      <c r="T5122" s="1178">
        <f>SUM(T5103:T5121)</f>
        <v>14400</v>
      </c>
      <c r="U5122" s="48"/>
      <c r="V5122" s="878">
        <f>SUM(V5103:V5121)</f>
        <v>0</v>
      </c>
    </row>
    <row r="5123" spans="7:22">
      <c r="T5123" s="1366"/>
    </row>
    <row r="5124" spans="7:22">
      <c r="T5124" s="1366"/>
    </row>
    <row r="5125" spans="7:22">
      <c r="R5125" s="661"/>
      <c r="T5125" s="1366"/>
    </row>
    <row r="5126" spans="7:22">
      <c r="T5126" s="1366"/>
    </row>
    <row r="5127" spans="7:22">
      <c r="T5127" s="1366"/>
    </row>
    <row r="5128" spans="7:22">
      <c r="I5128" s="946"/>
      <c r="M5128" s="1533" t="s">
        <v>3699</v>
      </c>
      <c r="O5128" s="1535" t="s">
        <v>3741</v>
      </c>
      <c r="P5128" s="1512">
        <f>P5122-R5122</f>
        <v>0</v>
      </c>
      <c r="S5128" s="906" t="s">
        <v>4049</v>
      </c>
      <c r="T5128" s="1107">
        <f>T5122-V5122</f>
        <v>14400</v>
      </c>
    </row>
    <row r="5129" spans="7:22">
      <c r="G5129" s="1574" t="s">
        <v>3530</v>
      </c>
      <c r="H5129" s="1574"/>
      <c r="I5129" s="1574"/>
      <c r="J5129" s="3">
        <f>J5122+L5122</f>
        <v>177530000</v>
      </c>
      <c r="K5129" s="1009"/>
      <c r="L5129" s="3"/>
      <c r="M5129" s="1533" t="s">
        <v>3664</v>
      </c>
      <c r="N5129" s="1527"/>
      <c r="O5129" s="1535" t="s">
        <v>4066</v>
      </c>
      <c r="P5129" s="1512"/>
      <c r="T5129" s="1366"/>
    </row>
    <row r="5130" spans="7:22">
      <c r="G5130" s="1574" t="s">
        <v>3512</v>
      </c>
      <c r="H5130" s="1574"/>
      <c r="I5130" s="1574"/>
      <c r="J5130" s="3">
        <f>N5122-J5129</f>
        <v>522470000</v>
      </c>
      <c r="K5130" s="1009"/>
      <c r="L5130" s="3"/>
      <c r="M5130" s="1528"/>
      <c r="O5130" s="1529"/>
      <c r="Q5130" s="661"/>
      <c r="T5130" s="1366"/>
    </row>
    <row r="5131" spans="7:22">
      <c r="G5131" s="1574" t="s">
        <v>3531</v>
      </c>
      <c r="H5131" s="1574"/>
      <c r="I5131" s="1574"/>
      <c r="J5131" s="3">
        <f>T5128</f>
        <v>14400</v>
      </c>
      <c r="Q5131" s="3"/>
      <c r="T5131" s="1366"/>
    </row>
    <row r="5132" spans="7:22">
      <c r="G5132" s="1564" t="s">
        <v>4455</v>
      </c>
      <c r="H5132" s="1564"/>
      <c r="I5132" s="1564"/>
      <c r="J5132" s="3">
        <f>+P5128</f>
        <v>0</v>
      </c>
      <c r="R5132" s="3"/>
      <c r="T5132" s="1366"/>
    </row>
    <row r="5133" spans="7:22">
      <c r="T5133" s="1366"/>
    </row>
    <row r="5135" spans="7:22">
      <c r="T5135" s="1366"/>
    </row>
    <row r="5136" spans="7:22">
      <c r="T5136" s="1366"/>
    </row>
    <row r="5137" spans="7:22">
      <c r="G5137" s="1008">
        <v>46105</v>
      </c>
      <c r="H5137" s="1169"/>
      <c r="I5137" s="1575" t="s">
        <v>3510</v>
      </c>
      <c r="J5137" s="1576"/>
      <c r="K5137" s="1575" t="s">
        <v>3509</v>
      </c>
      <c r="L5137" s="1576"/>
      <c r="M5137" s="1575" t="s">
        <v>3541</v>
      </c>
      <c r="N5137" s="1576"/>
      <c r="O5137" s="1577" t="s">
        <v>3598</v>
      </c>
      <c r="P5137" s="1578"/>
      <c r="Q5137" s="1579" t="s">
        <v>3599</v>
      </c>
      <c r="R5137" s="1580"/>
      <c r="S5137" s="1583" t="s">
        <v>3953</v>
      </c>
      <c r="T5137" s="1583"/>
      <c r="U5137" s="1583" t="s">
        <v>3954</v>
      </c>
      <c r="V5137" s="1583"/>
    </row>
    <row r="5138" spans="7:22">
      <c r="G5138" s="1097"/>
      <c r="H5138" s="1261"/>
      <c r="I5138" s="1373" t="s">
        <v>5028</v>
      </c>
      <c r="J5138" s="49">
        <v>17090000</v>
      </c>
      <c r="K5138" s="1495" t="s">
        <v>4619</v>
      </c>
      <c r="L5138" s="49">
        <v>1000000</v>
      </c>
      <c r="M5138" s="1495" t="s">
        <v>4613</v>
      </c>
      <c r="N5138" s="1495">
        <v>580000000</v>
      </c>
      <c r="O5138" s="1383"/>
      <c r="P5138" s="644"/>
      <c r="Q5138" s="1279"/>
      <c r="R5138" s="644"/>
      <c r="S5138" s="1223"/>
      <c r="T5138" s="1191"/>
      <c r="U5138" s="1232"/>
      <c r="V5138" s="48"/>
    </row>
    <row r="5139" spans="7:22">
      <c r="G5139" s="1098"/>
      <c r="H5139" s="1172"/>
      <c r="I5139" s="1374" t="s">
        <v>5029</v>
      </c>
      <c r="J5139" s="49">
        <v>46000000</v>
      </c>
      <c r="K5139" s="1495" t="s">
        <v>5031</v>
      </c>
      <c r="L5139" s="49">
        <v>1400000</v>
      </c>
      <c r="M5139" s="1495" t="s">
        <v>4944</v>
      </c>
      <c r="N5139" s="49">
        <v>25000000</v>
      </c>
      <c r="O5139" s="1383" t="s">
        <v>4712</v>
      </c>
      <c r="P5139" s="644"/>
      <c r="Q5139" s="1290"/>
      <c r="R5139" s="1290"/>
      <c r="S5139" s="1373" t="s">
        <v>4613</v>
      </c>
      <c r="T5139" s="1191">
        <v>14400</v>
      </c>
      <c r="U5139" s="48"/>
      <c r="V5139" s="49"/>
    </row>
    <row r="5140" spans="7:22">
      <c r="G5140" s="48"/>
      <c r="H5140" s="48"/>
      <c r="I5140" s="1375" t="s">
        <v>5030</v>
      </c>
      <c r="J5140" s="49">
        <v>18000000</v>
      </c>
      <c r="K5140" s="1495" t="s">
        <v>5032</v>
      </c>
      <c r="L5140" s="49">
        <v>100000000</v>
      </c>
      <c r="M5140" s="1495" t="s">
        <v>5034</v>
      </c>
      <c r="N5140" s="49">
        <v>600000</v>
      </c>
      <c r="O5140" s="1383"/>
      <c r="P5140" s="644"/>
      <c r="Q5140" s="1376"/>
      <c r="R5140" s="644"/>
      <c r="S5140" s="1373"/>
      <c r="T5140" s="1191"/>
      <c r="U5140" s="1377" t="s">
        <v>4529</v>
      </c>
      <c r="V5140" s="1191">
        <v>10000</v>
      </c>
    </row>
    <row r="5141" spans="7:22">
      <c r="G5141" s="48"/>
      <c r="H5141" s="48"/>
      <c r="I5141" s="1375" t="s">
        <v>5035</v>
      </c>
      <c r="J5141" s="1368">
        <v>35900000</v>
      </c>
      <c r="K5141" s="1495" t="s">
        <v>5033</v>
      </c>
      <c r="L5141" s="49">
        <v>300000</v>
      </c>
      <c r="M5141" s="1493"/>
      <c r="N5141" s="49"/>
      <c r="O5141" s="1383"/>
      <c r="P5141" s="644"/>
      <c r="Q5141" s="1376"/>
      <c r="R5141" s="644"/>
      <c r="S5141" s="1358"/>
      <c r="T5141" s="1367"/>
      <c r="U5141" s="1358"/>
      <c r="V5141" s="1367"/>
    </row>
    <row r="5142" spans="7:22">
      <c r="G5142" s="48"/>
      <c r="H5142" s="48"/>
      <c r="I5142" s="1374" t="s">
        <v>5036</v>
      </c>
      <c r="J5142" s="49">
        <v>46000000</v>
      </c>
      <c r="K5142" s="1493" t="s">
        <v>4529</v>
      </c>
      <c r="L5142" s="49">
        <v>1500000</v>
      </c>
      <c r="M5142" s="1495"/>
      <c r="N5142" s="49"/>
      <c r="O5142" s="1383"/>
      <c r="P5142" s="644"/>
      <c r="Q5142" s="1360"/>
      <c r="R5142" s="644"/>
      <c r="S5142" s="1358"/>
      <c r="T5142" s="1367"/>
      <c r="U5142" s="48"/>
      <c r="V5142" s="49"/>
    </row>
    <row r="5143" spans="7:22">
      <c r="G5143" s="48"/>
      <c r="H5143" s="48"/>
      <c r="I5143" s="1375" t="s">
        <v>5037</v>
      </c>
      <c r="J5143" s="49">
        <v>37700000</v>
      </c>
      <c r="K5143" s="1493" t="s">
        <v>4646</v>
      </c>
      <c r="L5143" s="49">
        <v>4000000</v>
      </c>
      <c r="M5143" s="1495"/>
      <c r="N5143" s="49"/>
      <c r="O5143" s="1383"/>
      <c r="P5143" s="644"/>
      <c r="Q5143" s="1302"/>
      <c r="R5143" s="644"/>
      <c r="S5143" s="1358"/>
      <c r="T5143" s="1367"/>
      <c r="U5143" s="48"/>
      <c r="V5143" s="49"/>
    </row>
    <row r="5144" spans="7:22">
      <c r="G5144" s="48"/>
      <c r="H5144" s="48"/>
      <c r="I5144" s="1370"/>
      <c r="J5144" s="49"/>
      <c r="K5144" s="1493" t="s">
        <v>4551</v>
      </c>
      <c r="L5144" s="49">
        <v>300000</v>
      </c>
      <c r="M5144" s="1495"/>
      <c r="N5144" s="49"/>
      <c r="O5144" s="1383"/>
      <c r="P5144" s="644"/>
      <c r="Q5144" s="1290"/>
      <c r="R5144" s="644"/>
      <c r="S5144" s="48"/>
      <c r="T5144" s="1367"/>
      <c r="U5144" s="48"/>
      <c r="V5144" s="49"/>
    </row>
    <row r="5145" spans="7:22">
      <c r="G5145" s="48"/>
      <c r="H5145" s="48"/>
      <c r="I5145" s="1370"/>
      <c r="J5145" s="49"/>
      <c r="K5145" s="1532"/>
      <c r="L5145" s="49"/>
      <c r="M5145" s="1495"/>
      <c r="N5145" s="49"/>
      <c r="O5145" s="1383"/>
      <c r="P5145" s="644"/>
      <c r="Q5145" s="1291"/>
      <c r="R5145" s="644"/>
      <c r="S5145" s="48"/>
      <c r="T5145" s="1367"/>
      <c r="U5145" s="48"/>
      <c r="V5145" s="49"/>
    </row>
    <row r="5146" spans="7:22">
      <c r="G5146" s="48"/>
      <c r="H5146" s="48"/>
      <c r="I5146" s="1370"/>
      <c r="J5146" s="49"/>
      <c r="K5146" s="1495"/>
      <c r="L5146" s="49"/>
      <c r="M5146" s="1495"/>
      <c r="N5146" s="49"/>
      <c r="O5146" s="644"/>
      <c r="P5146" s="644"/>
      <c r="Q5146" s="1290"/>
      <c r="R5146" s="644"/>
      <c r="S5146" s="48"/>
      <c r="T5146" s="1367"/>
      <c r="U5146" s="48"/>
      <c r="V5146" s="49"/>
    </row>
    <row r="5147" spans="7:22">
      <c r="G5147" s="48"/>
      <c r="H5147" s="48"/>
      <c r="I5147" s="1370"/>
      <c r="J5147" s="49"/>
      <c r="K5147" s="1498"/>
      <c r="L5147" s="49"/>
      <c r="M5147" s="1498"/>
      <c r="N5147" s="49"/>
      <c r="O5147" s="644"/>
      <c r="P5147" s="644"/>
      <c r="Q5147" s="1290"/>
      <c r="R5147" s="644"/>
      <c r="S5147" s="48"/>
      <c r="T5147" s="1367"/>
      <c r="U5147" s="48"/>
      <c r="V5147" s="49"/>
    </row>
    <row r="5148" spans="7:22">
      <c r="G5148" s="48"/>
      <c r="H5148" s="48"/>
      <c r="I5148" s="1370"/>
      <c r="J5148" s="49"/>
      <c r="K5148" s="1495"/>
      <c r="L5148" s="49"/>
      <c r="M5148" s="1498"/>
      <c r="N5148" s="49"/>
      <c r="O5148" s="644"/>
      <c r="P5148" s="644"/>
      <c r="Q5148" s="1290"/>
      <c r="R5148" s="644"/>
      <c r="S5148" s="48"/>
      <c r="T5148" s="1367"/>
      <c r="U5148" s="48"/>
      <c r="V5148" s="48"/>
    </row>
    <row r="5149" spans="7:22">
      <c r="G5149" s="48"/>
      <c r="H5149" s="48"/>
      <c r="I5149" s="1370"/>
      <c r="J5149" s="49"/>
      <c r="K5149" s="1498"/>
      <c r="L5149" s="49"/>
      <c r="M5149" s="1498"/>
      <c r="N5149" s="49"/>
      <c r="O5149" s="644"/>
      <c r="P5149" s="644"/>
      <c r="Q5149" s="1290"/>
      <c r="R5149" s="644"/>
      <c r="S5149" s="48"/>
      <c r="T5149" s="1367"/>
      <c r="U5149" s="48"/>
      <c r="V5149" s="48"/>
    </row>
    <row r="5150" spans="7:22">
      <c r="G5150" s="48"/>
      <c r="H5150" s="48"/>
      <c r="I5150" s="1370"/>
      <c r="J5150" s="49"/>
      <c r="K5150" s="1498"/>
      <c r="L5150" s="49"/>
      <c r="M5150" s="1498"/>
      <c r="N5150" s="49"/>
      <c r="O5150" s="644"/>
      <c r="P5150" s="644"/>
      <c r="Q5150" s="1290"/>
      <c r="R5150" s="644"/>
      <c r="S5150" s="48"/>
      <c r="T5150" s="1367"/>
      <c r="U5150" s="48"/>
      <c r="V5150" s="48"/>
    </row>
    <row r="5151" spans="7:22">
      <c r="G5151" s="48"/>
      <c r="H5151" s="48"/>
      <c r="I5151" s="1370"/>
      <c r="J5151" s="49"/>
      <c r="K5151" s="1498"/>
      <c r="L5151" s="49"/>
      <c r="M5151" s="1498"/>
      <c r="N5151" s="49"/>
      <c r="O5151" s="644"/>
      <c r="P5151" s="644"/>
      <c r="Q5151" s="1290"/>
      <c r="R5151" s="644"/>
      <c r="S5151" s="48"/>
      <c r="T5151" s="1367"/>
      <c r="U5151" s="48"/>
      <c r="V5151" s="48"/>
    </row>
    <row r="5152" spans="7:22">
      <c r="G5152" s="48"/>
      <c r="H5152" s="48"/>
      <c r="I5152" s="1370"/>
      <c r="J5152" s="49"/>
      <c r="K5152" s="1498"/>
      <c r="L5152" s="49"/>
      <c r="M5152" s="1498"/>
      <c r="N5152" s="49"/>
      <c r="O5152" s="644"/>
      <c r="P5152" s="644"/>
      <c r="Q5152" s="1290"/>
      <c r="R5152" s="644"/>
      <c r="S5152" s="48"/>
      <c r="T5152" s="1367"/>
      <c r="U5152" s="48"/>
      <c r="V5152" s="48"/>
    </row>
    <row r="5153" spans="7:22">
      <c r="G5153" s="48"/>
      <c r="H5153" s="48"/>
      <c r="I5153" s="1370"/>
      <c r="J5153" s="49"/>
      <c r="K5153" s="1498"/>
      <c r="L5153" s="49"/>
      <c r="M5153" s="1498"/>
      <c r="N5153" s="49"/>
      <c r="O5153" s="644"/>
      <c r="P5153" s="644"/>
      <c r="Q5153" s="1290"/>
      <c r="R5153" s="644"/>
      <c r="S5153" s="48"/>
      <c r="T5153" s="1367"/>
      <c r="U5153" s="48"/>
      <c r="V5153" s="48"/>
    </row>
    <row r="5154" spans="7:22">
      <c r="G5154" s="48"/>
      <c r="H5154" s="48"/>
      <c r="I5154" s="48"/>
      <c r="J5154" s="49"/>
      <c r="K5154" s="1498"/>
      <c r="L5154" s="49"/>
      <c r="M5154" s="1498"/>
      <c r="N5154" s="49"/>
      <c r="O5154" s="644"/>
      <c r="P5154" s="644"/>
      <c r="Q5154" s="1290"/>
      <c r="R5154" s="644"/>
      <c r="S5154" s="48"/>
      <c r="T5154" s="1367"/>
      <c r="U5154" s="48"/>
      <c r="V5154" s="48"/>
    </row>
    <row r="5155" spans="7:22">
      <c r="G5155" s="48"/>
      <c r="H5155" s="48"/>
      <c r="I5155" s="48"/>
      <c r="J5155" s="49"/>
      <c r="K5155" s="1498"/>
      <c r="L5155" s="49"/>
      <c r="M5155" s="1498"/>
      <c r="N5155" s="49"/>
      <c r="O5155" s="644"/>
      <c r="P5155" s="644"/>
      <c r="Q5155" s="1290"/>
      <c r="R5155" s="644"/>
      <c r="S5155" s="48"/>
      <c r="T5155" s="1367"/>
      <c r="U5155" s="48"/>
      <c r="V5155" s="48"/>
    </row>
    <row r="5156" spans="7:22">
      <c r="G5156" s="48"/>
      <c r="H5156" s="48"/>
      <c r="I5156" s="48"/>
      <c r="J5156" s="49"/>
      <c r="K5156" s="49"/>
      <c r="L5156" s="49"/>
      <c r="M5156" s="1498"/>
      <c r="N5156" s="49"/>
      <c r="O5156" s="644"/>
      <c r="P5156" s="644"/>
      <c r="Q5156" s="1290"/>
      <c r="R5156" s="644"/>
      <c r="S5156" s="48"/>
      <c r="T5156" s="1367"/>
      <c r="U5156" s="48"/>
      <c r="V5156" s="48"/>
    </row>
    <row r="5157" spans="7:22">
      <c r="G5157" s="48"/>
      <c r="H5157" s="48"/>
      <c r="I5157" s="48"/>
      <c r="J5157" s="954">
        <f>SUM(J5138:J5156)</f>
        <v>200690000</v>
      </c>
      <c r="K5157" s="954"/>
      <c r="L5157" s="954">
        <f>SUM(L5138:L5156)</f>
        <v>108500000</v>
      </c>
      <c r="M5157" s="1498"/>
      <c r="N5157" s="954">
        <f>SUM(N5138:N5156)</f>
        <v>605600000</v>
      </c>
      <c r="O5157" s="644"/>
      <c r="P5157" s="969">
        <f>SUM(P5138:P5145)</f>
        <v>0</v>
      </c>
      <c r="Q5157" s="969"/>
      <c r="R5157" s="969">
        <f>SUM(R5138:R5156)</f>
        <v>0</v>
      </c>
      <c r="S5157" s="48"/>
      <c r="T5157" s="1178">
        <f>SUM(T5138:T5156)</f>
        <v>14400</v>
      </c>
      <c r="U5157" s="48"/>
      <c r="V5157" s="878">
        <f>SUM(V5138:V5156)</f>
        <v>10000</v>
      </c>
    </row>
    <row r="5158" spans="7:22">
      <c r="T5158" s="1366"/>
    </row>
    <row r="5159" spans="7:22">
      <c r="T5159" s="1366"/>
    </row>
    <row r="5160" spans="7:22">
      <c r="R5160" s="661"/>
      <c r="T5160" s="1366"/>
    </row>
    <row r="5161" spans="7:22">
      <c r="T5161" s="1366"/>
    </row>
    <row r="5162" spans="7:22">
      <c r="T5162" s="1366"/>
    </row>
    <row r="5163" spans="7:22">
      <c r="I5163" s="946"/>
      <c r="M5163" s="1533" t="s">
        <v>3699</v>
      </c>
      <c r="O5163" s="1535" t="s">
        <v>3741</v>
      </c>
      <c r="P5163" s="1512">
        <f>P5157-R5157</f>
        <v>0</v>
      </c>
      <c r="S5163" s="906" t="s">
        <v>4049</v>
      </c>
      <c r="T5163" s="1107">
        <f>T5157-V5157</f>
        <v>4400</v>
      </c>
    </row>
    <row r="5164" spans="7:22">
      <c r="G5164" s="1574" t="s">
        <v>3530</v>
      </c>
      <c r="H5164" s="1574"/>
      <c r="I5164" s="1574"/>
      <c r="J5164" s="3">
        <f>J5157+L5157</f>
        <v>309190000</v>
      </c>
      <c r="K5164" s="1009"/>
      <c r="L5164" s="3"/>
      <c r="M5164" s="1533" t="s">
        <v>3664</v>
      </c>
      <c r="N5164" s="1527"/>
      <c r="O5164" s="1535" t="s">
        <v>4066</v>
      </c>
      <c r="P5164" s="1512"/>
      <c r="T5164" s="1366"/>
    </row>
    <row r="5165" spans="7:22">
      <c r="G5165" s="1574" t="s">
        <v>3512</v>
      </c>
      <c r="H5165" s="1574"/>
      <c r="I5165" s="1574"/>
      <c r="J5165" s="3">
        <f>N5157-J5164</f>
        <v>296410000</v>
      </c>
      <c r="K5165" s="1009"/>
      <c r="L5165" s="3"/>
      <c r="M5165" s="1528"/>
      <c r="O5165" s="1529"/>
      <c r="Q5165" s="661"/>
      <c r="T5165" s="1366"/>
    </row>
    <row r="5166" spans="7:22">
      <c r="G5166" s="1574" t="s">
        <v>3531</v>
      </c>
      <c r="H5166" s="1574"/>
      <c r="I5166" s="1574"/>
      <c r="J5166" s="3">
        <f>T5163</f>
        <v>4400</v>
      </c>
      <c r="Q5166" s="3"/>
      <c r="T5166" s="1366"/>
    </row>
    <row r="5167" spans="7:22">
      <c r="G5167" s="1564" t="s">
        <v>4455</v>
      </c>
      <c r="H5167" s="1564"/>
      <c r="I5167" s="1564"/>
      <c r="J5167" s="3">
        <f>+P5163</f>
        <v>0</v>
      </c>
      <c r="R5167" s="3"/>
      <c r="T5167" s="1366"/>
    </row>
    <row r="5168" spans="7:22">
      <c r="T5168" s="1366"/>
    </row>
    <row r="5171" spans="7:22">
      <c r="T5171" s="1371"/>
    </row>
    <row r="5172" spans="7:22">
      <c r="G5172" s="1008">
        <v>46106</v>
      </c>
      <c r="H5172" s="1169"/>
      <c r="I5172" s="1575" t="s">
        <v>3510</v>
      </c>
      <c r="J5172" s="1576"/>
      <c r="K5172" s="1575" t="s">
        <v>3509</v>
      </c>
      <c r="L5172" s="1576"/>
      <c r="M5172" s="1575" t="s">
        <v>3541</v>
      </c>
      <c r="N5172" s="1576"/>
      <c r="O5172" s="1577" t="s">
        <v>3598</v>
      </c>
      <c r="P5172" s="1578"/>
      <c r="Q5172" s="1579" t="s">
        <v>3599</v>
      </c>
      <c r="R5172" s="1580"/>
      <c r="S5172" s="1583" t="s">
        <v>3953</v>
      </c>
      <c r="T5172" s="1583"/>
      <c r="U5172" s="1583" t="s">
        <v>3954</v>
      </c>
      <c r="V5172" s="1583"/>
    </row>
    <row r="5173" spans="7:22">
      <c r="G5173" s="1097"/>
      <c r="H5173" s="1261"/>
      <c r="I5173" s="1380" t="s">
        <v>5041</v>
      </c>
      <c r="J5173" s="49">
        <v>20460000</v>
      </c>
      <c r="K5173" s="1495" t="s">
        <v>5040</v>
      </c>
      <c r="L5173" s="49">
        <v>200000</v>
      </c>
      <c r="M5173" s="1495" t="s">
        <v>4613</v>
      </c>
      <c r="N5173" s="1495">
        <v>296300000</v>
      </c>
      <c r="O5173" s="1383"/>
      <c r="P5173" s="644"/>
      <c r="Q5173" s="1279"/>
      <c r="R5173" s="644"/>
      <c r="S5173" s="1223"/>
      <c r="T5173" s="1191"/>
      <c r="U5173" s="1232"/>
      <c r="V5173" s="48"/>
    </row>
    <row r="5174" spans="7:22">
      <c r="G5174" s="1098"/>
      <c r="H5174" s="1172"/>
      <c r="I5174" s="1380" t="s">
        <v>5042</v>
      </c>
      <c r="J5174" s="49">
        <v>32550000</v>
      </c>
      <c r="K5174" s="1495" t="s">
        <v>4747</v>
      </c>
      <c r="L5174" s="49">
        <v>20000000</v>
      </c>
      <c r="M5174" s="1495" t="s">
        <v>5038</v>
      </c>
      <c r="N5174" s="49">
        <v>4000000</v>
      </c>
      <c r="O5174" s="1383" t="s">
        <v>4712</v>
      </c>
      <c r="P5174" s="644">
        <v>22560000</v>
      </c>
      <c r="Q5174" s="1290"/>
      <c r="R5174" s="1290"/>
      <c r="S5174" s="1373" t="s">
        <v>4613</v>
      </c>
      <c r="T5174" s="1191">
        <v>4400</v>
      </c>
      <c r="U5174" s="48"/>
      <c r="V5174" s="49"/>
    </row>
    <row r="5175" spans="7:22">
      <c r="G5175" s="48"/>
      <c r="H5175" s="48"/>
      <c r="I5175" s="1382" t="s">
        <v>5043</v>
      </c>
      <c r="J5175" s="49">
        <v>46000000</v>
      </c>
      <c r="K5175" s="1495" t="s">
        <v>4541</v>
      </c>
      <c r="L5175" s="49">
        <v>500000</v>
      </c>
      <c r="M5175" s="1495" t="s">
        <v>5023</v>
      </c>
      <c r="N5175" s="49">
        <v>500000000</v>
      </c>
      <c r="O5175" s="1383"/>
      <c r="P5175" s="644"/>
      <c r="Q5175" s="1376"/>
      <c r="R5175" s="644"/>
      <c r="S5175" s="1373"/>
      <c r="T5175" s="1191"/>
      <c r="U5175" s="1377"/>
      <c r="V5175" s="1191"/>
    </row>
    <row r="5176" spans="7:22">
      <c r="G5176" s="48"/>
      <c r="H5176" s="48"/>
      <c r="I5176" s="1382" t="s">
        <v>5044</v>
      </c>
      <c r="J5176" s="1368">
        <v>92000000</v>
      </c>
      <c r="K5176" s="1495" t="s">
        <v>4646</v>
      </c>
      <c r="L5176" s="49">
        <v>4000000</v>
      </c>
      <c r="M5176" s="1493" t="s">
        <v>5039</v>
      </c>
      <c r="N5176" s="49">
        <v>6000000</v>
      </c>
      <c r="O5176" s="1383"/>
      <c r="P5176" s="644"/>
      <c r="Q5176" s="1376"/>
      <c r="R5176" s="644"/>
      <c r="S5176" s="1358"/>
      <c r="T5176" s="1372"/>
      <c r="U5176" s="1358"/>
      <c r="V5176" s="1372"/>
    </row>
    <row r="5177" spans="7:22">
      <c r="G5177" s="48"/>
      <c r="H5177" s="48"/>
      <c r="I5177" s="1380" t="s">
        <v>5045</v>
      </c>
      <c r="J5177" s="49">
        <v>9000000</v>
      </c>
      <c r="K5177" s="1493" t="s">
        <v>5052</v>
      </c>
      <c r="L5177" s="49">
        <v>600000</v>
      </c>
      <c r="M5177" s="1495" t="s">
        <v>5048</v>
      </c>
      <c r="N5177" s="49">
        <v>1300000</v>
      </c>
      <c r="O5177" s="1383"/>
      <c r="P5177" s="644"/>
      <c r="Q5177" s="1360"/>
      <c r="R5177" s="644"/>
      <c r="S5177" s="1358"/>
      <c r="T5177" s="1372"/>
      <c r="U5177" s="48"/>
      <c r="V5177" s="49"/>
    </row>
    <row r="5178" spans="7:22">
      <c r="G5178" s="48"/>
      <c r="H5178" s="48"/>
      <c r="I5178" s="1382" t="s">
        <v>5046</v>
      </c>
      <c r="J5178" s="49">
        <v>17680000</v>
      </c>
      <c r="K5178" s="1493" t="s">
        <v>5053</v>
      </c>
      <c r="L5178" s="49">
        <v>600000</v>
      </c>
      <c r="M5178" s="1495" t="s">
        <v>5056</v>
      </c>
      <c r="N5178" s="49">
        <v>12600000</v>
      </c>
      <c r="O5178" s="1383"/>
      <c r="P5178" s="644"/>
      <c r="Q5178" s="1302"/>
      <c r="R5178" s="644"/>
      <c r="S5178" s="1358"/>
      <c r="T5178" s="1372"/>
      <c r="U5178" s="48"/>
      <c r="V5178" s="49"/>
    </row>
    <row r="5179" spans="7:22">
      <c r="G5179" s="48"/>
      <c r="H5179" s="48"/>
      <c r="I5179" s="1382" t="s">
        <v>5047</v>
      </c>
      <c r="J5179" s="49">
        <v>27000000</v>
      </c>
      <c r="K5179" s="1493" t="s">
        <v>4541</v>
      </c>
      <c r="L5179" s="49">
        <v>300000</v>
      </c>
      <c r="M5179" s="1495" t="s">
        <v>5057</v>
      </c>
      <c r="N5179" s="49">
        <v>3000000</v>
      </c>
      <c r="O5179" s="1383"/>
      <c r="P5179" s="644"/>
      <c r="Q5179" s="1290"/>
      <c r="R5179" s="644"/>
      <c r="S5179" s="48"/>
      <c r="T5179" s="1372"/>
      <c r="U5179" s="48"/>
      <c r="V5179" s="49"/>
    </row>
    <row r="5180" spans="7:22">
      <c r="G5180" s="48"/>
      <c r="H5180" s="48"/>
      <c r="I5180" s="1382" t="s">
        <v>5049</v>
      </c>
      <c r="J5180" s="49">
        <v>20240000</v>
      </c>
      <c r="K5180" s="1532" t="s">
        <v>4965</v>
      </c>
      <c r="L5180" s="49">
        <v>6000000</v>
      </c>
      <c r="M5180" s="1495"/>
      <c r="N5180" s="49"/>
      <c r="O5180" s="1383"/>
      <c r="P5180" s="644"/>
      <c r="Q5180" s="1291"/>
      <c r="R5180" s="644"/>
      <c r="S5180" s="48"/>
      <c r="T5180" s="1372"/>
      <c r="U5180" s="48"/>
      <c r="V5180" s="49"/>
    </row>
    <row r="5181" spans="7:22">
      <c r="G5181" s="48"/>
      <c r="H5181" s="48"/>
      <c r="I5181" s="1382" t="s">
        <v>5050</v>
      </c>
      <c r="J5181" s="49">
        <v>46500000</v>
      </c>
      <c r="K5181" s="1495" t="s">
        <v>4822</v>
      </c>
      <c r="L5181" s="49">
        <v>5000000</v>
      </c>
      <c r="M5181" s="1495"/>
      <c r="N5181" s="49"/>
      <c r="O5181" s="644"/>
      <c r="P5181" s="644"/>
      <c r="Q5181" s="1290"/>
      <c r="R5181" s="644"/>
      <c r="S5181" s="48"/>
      <c r="T5181" s="1372"/>
      <c r="U5181" s="48"/>
      <c r="V5181" s="49"/>
    </row>
    <row r="5182" spans="7:22">
      <c r="G5182" s="48"/>
      <c r="H5182" s="48"/>
      <c r="I5182" s="1382" t="s">
        <v>5051</v>
      </c>
      <c r="J5182" s="49">
        <v>45700000</v>
      </c>
      <c r="K5182" s="1498" t="s">
        <v>4473</v>
      </c>
      <c r="L5182" s="49">
        <v>200000</v>
      </c>
      <c r="M5182" s="1498"/>
      <c r="N5182" s="49"/>
      <c r="O5182" s="644"/>
      <c r="P5182" s="644"/>
      <c r="Q5182" s="1290"/>
      <c r="R5182" s="644"/>
      <c r="S5182" s="48"/>
      <c r="T5182" s="1372"/>
      <c r="U5182" s="48"/>
      <c r="V5182" s="49"/>
    </row>
    <row r="5183" spans="7:22">
      <c r="G5183" s="48"/>
      <c r="H5183" s="48"/>
      <c r="I5183" s="1382" t="s">
        <v>5054</v>
      </c>
      <c r="J5183" s="49">
        <v>46500000</v>
      </c>
      <c r="K5183" s="1495"/>
      <c r="L5183" s="49"/>
      <c r="M5183" s="1498"/>
      <c r="N5183" s="49"/>
      <c r="O5183" s="644"/>
      <c r="P5183" s="644"/>
      <c r="Q5183" s="1290"/>
      <c r="R5183" s="644"/>
      <c r="S5183" s="48"/>
      <c r="T5183" s="1372"/>
      <c r="U5183" s="48"/>
      <c r="V5183" s="48"/>
    </row>
    <row r="5184" spans="7:22">
      <c r="G5184" s="48"/>
      <c r="H5184" s="48"/>
      <c r="I5184" s="1382" t="s">
        <v>5055</v>
      </c>
      <c r="J5184" s="49">
        <v>46500000</v>
      </c>
      <c r="K5184" s="1498"/>
      <c r="L5184" s="49"/>
      <c r="M5184" s="1498"/>
      <c r="N5184" s="49"/>
      <c r="O5184" s="644"/>
      <c r="P5184" s="644"/>
      <c r="Q5184" s="1290"/>
      <c r="R5184" s="644"/>
      <c r="S5184" s="48"/>
      <c r="T5184" s="1372"/>
      <c r="U5184" s="48"/>
      <c r="V5184" s="48"/>
    </row>
    <row r="5185" spans="7:22">
      <c r="G5185" s="48"/>
      <c r="H5185" s="48"/>
      <c r="I5185" s="1382" t="s">
        <v>5058</v>
      </c>
      <c r="J5185" s="49">
        <v>46000000</v>
      </c>
      <c r="K5185" s="1498"/>
      <c r="L5185" s="49"/>
      <c r="M5185" s="1498"/>
      <c r="N5185" s="49"/>
      <c r="O5185" s="644"/>
      <c r="P5185" s="644"/>
      <c r="Q5185" s="1290"/>
      <c r="R5185" s="644"/>
      <c r="S5185" s="48"/>
      <c r="T5185" s="1372"/>
      <c r="U5185" s="48"/>
      <c r="V5185" s="48"/>
    </row>
    <row r="5186" spans="7:22">
      <c r="G5186" s="48"/>
      <c r="H5186" s="48"/>
      <c r="I5186" s="1382" t="s">
        <v>5059</v>
      </c>
      <c r="J5186" s="49">
        <v>36800000</v>
      </c>
      <c r="K5186" s="1498"/>
      <c r="L5186" s="49"/>
      <c r="M5186" s="1498"/>
      <c r="N5186" s="49"/>
      <c r="O5186" s="644"/>
      <c r="P5186" s="644"/>
      <c r="Q5186" s="1290"/>
      <c r="R5186" s="644"/>
      <c r="S5186" s="48"/>
      <c r="T5186" s="1372"/>
      <c r="U5186" s="48"/>
      <c r="V5186" s="48"/>
    </row>
    <row r="5187" spans="7:22">
      <c r="G5187" s="48"/>
      <c r="H5187" s="48"/>
      <c r="I5187" s="1382" t="s">
        <v>5060</v>
      </c>
      <c r="J5187" s="49">
        <v>37200000</v>
      </c>
      <c r="K5187" s="1498"/>
      <c r="L5187" s="49"/>
      <c r="M5187" s="1498"/>
      <c r="N5187" s="49"/>
      <c r="O5187" s="644"/>
      <c r="P5187" s="644"/>
      <c r="Q5187" s="1290"/>
      <c r="R5187" s="644"/>
      <c r="S5187" s="48"/>
      <c r="T5187" s="1372"/>
      <c r="U5187" s="48"/>
      <c r="V5187" s="48"/>
    </row>
    <row r="5188" spans="7:22">
      <c r="G5188" s="48"/>
      <c r="H5188" s="48"/>
      <c r="I5188" s="1382" t="s">
        <v>5061</v>
      </c>
      <c r="J5188" s="49">
        <v>39000000</v>
      </c>
      <c r="K5188" s="1498"/>
      <c r="L5188" s="49"/>
      <c r="M5188" s="1498"/>
      <c r="N5188" s="49"/>
      <c r="O5188" s="644"/>
      <c r="P5188" s="644"/>
      <c r="Q5188" s="1290"/>
      <c r="R5188" s="644"/>
      <c r="S5188" s="48"/>
      <c r="T5188" s="1372"/>
      <c r="U5188" s="48"/>
      <c r="V5188" s="48"/>
    </row>
    <row r="5189" spans="7:22">
      <c r="G5189" s="48"/>
      <c r="H5189" s="48"/>
      <c r="I5189" s="48"/>
      <c r="J5189" s="49"/>
      <c r="K5189" s="1498"/>
      <c r="L5189" s="49"/>
      <c r="M5189" s="1498"/>
      <c r="N5189" s="49"/>
      <c r="O5189" s="644"/>
      <c r="P5189" s="644"/>
      <c r="Q5189" s="1290"/>
      <c r="R5189" s="644"/>
      <c r="S5189" s="48"/>
      <c r="T5189" s="1372"/>
      <c r="U5189" s="48"/>
      <c r="V5189" s="48"/>
    </row>
    <row r="5190" spans="7:22">
      <c r="G5190" s="48"/>
      <c r="H5190" s="48"/>
      <c r="I5190" s="48"/>
      <c r="J5190" s="49"/>
      <c r="K5190" s="1498"/>
      <c r="L5190" s="49"/>
      <c r="M5190" s="1498"/>
      <c r="N5190" s="49"/>
      <c r="O5190" s="644"/>
      <c r="P5190" s="644"/>
      <c r="Q5190" s="1290"/>
      <c r="R5190" s="644"/>
      <c r="S5190" s="48"/>
      <c r="T5190" s="1372"/>
      <c r="U5190" s="48"/>
      <c r="V5190" s="48"/>
    </row>
    <row r="5191" spans="7:22">
      <c r="G5191" s="48"/>
      <c r="H5191" s="48"/>
      <c r="I5191" s="48"/>
      <c r="J5191" s="49"/>
      <c r="K5191" s="49"/>
      <c r="L5191" s="49"/>
      <c r="M5191" s="1498"/>
      <c r="N5191" s="49"/>
      <c r="O5191" s="644"/>
      <c r="P5191" s="644"/>
      <c r="Q5191" s="1290"/>
      <c r="R5191" s="644"/>
      <c r="S5191" s="48"/>
      <c r="T5191" s="1372"/>
      <c r="U5191" s="48"/>
      <c r="V5191" s="48"/>
    </row>
    <row r="5192" spans="7:22">
      <c r="G5192" s="48"/>
      <c r="H5192" s="48"/>
      <c r="I5192" s="48"/>
      <c r="J5192" s="954">
        <f>SUM(J5173:J5191)</f>
        <v>609130000</v>
      </c>
      <c r="K5192" s="954"/>
      <c r="L5192" s="954">
        <f>SUM(L5173:L5191)</f>
        <v>37400000</v>
      </c>
      <c r="M5192" s="1498"/>
      <c r="N5192" s="954">
        <f>SUM(N5173:N5191)</f>
        <v>823200000</v>
      </c>
      <c r="O5192" s="644"/>
      <c r="P5192" s="969">
        <f>SUM(P5173:P5180)</f>
        <v>22560000</v>
      </c>
      <c r="Q5192" s="969"/>
      <c r="R5192" s="969">
        <f>SUM(R5173:R5191)</f>
        <v>0</v>
      </c>
      <c r="S5192" s="48"/>
      <c r="T5192" s="1178">
        <f>SUM(T5173:T5191)</f>
        <v>4400</v>
      </c>
      <c r="U5192" s="48"/>
      <c r="V5192" s="878">
        <f>SUM(V5173:V5191)</f>
        <v>0</v>
      </c>
    </row>
    <row r="5193" spans="7:22">
      <c r="T5193" s="1371"/>
    </row>
    <row r="5194" spans="7:22">
      <c r="T5194" s="1371"/>
    </row>
    <row r="5195" spans="7:22">
      <c r="R5195" s="661"/>
      <c r="T5195" s="1371"/>
    </row>
    <row r="5196" spans="7:22">
      <c r="T5196" s="1371"/>
    </row>
    <row r="5197" spans="7:22">
      <c r="T5197" s="1371"/>
    </row>
    <row r="5198" spans="7:22">
      <c r="I5198" s="946"/>
      <c r="M5198" s="1533" t="s">
        <v>3699</v>
      </c>
      <c r="O5198" s="1535" t="s">
        <v>3741</v>
      </c>
      <c r="P5198" s="1512">
        <f>P5192-R5192</f>
        <v>22560000</v>
      </c>
      <c r="S5198" s="906" t="s">
        <v>4049</v>
      </c>
      <c r="T5198" s="1107">
        <f>T5192-V5192</f>
        <v>4400</v>
      </c>
    </row>
    <row r="5199" spans="7:22">
      <c r="G5199" s="1574" t="s">
        <v>3530</v>
      </c>
      <c r="H5199" s="1574"/>
      <c r="I5199" s="1574"/>
      <c r="J5199" s="3">
        <f>J5192+L5192</f>
        <v>646530000</v>
      </c>
      <c r="K5199" s="1009"/>
      <c r="L5199" s="3"/>
      <c r="M5199" s="1533" t="s">
        <v>3664</v>
      </c>
      <c r="N5199" s="1527"/>
      <c r="O5199" s="1535" t="s">
        <v>4066</v>
      </c>
      <c r="P5199" s="1512"/>
      <c r="T5199" s="1371"/>
    </row>
    <row r="5200" spans="7:22">
      <c r="G5200" s="1574" t="s">
        <v>3512</v>
      </c>
      <c r="H5200" s="1574"/>
      <c r="I5200" s="1574"/>
      <c r="J5200" s="3">
        <f>N5192-J5199</f>
        <v>176670000</v>
      </c>
      <c r="K5200" s="1009"/>
      <c r="L5200" s="3"/>
      <c r="M5200" s="1528"/>
      <c r="O5200" s="1529"/>
      <c r="Q5200" s="661"/>
      <c r="T5200" s="1371"/>
    </row>
    <row r="5201" spans="7:22">
      <c r="G5201" s="1574" t="s">
        <v>3531</v>
      </c>
      <c r="H5201" s="1574"/>
      <c r="I5201" s="1574"/>
      <c r="J5201" s="3">
        <f>T5198</f>
        <v>4400</v>
      </c>
      <c r="Q5201" s="3"/>
      <c r="T5201" s="1371"/>
    </row>
    <row r="5202" spans="7:22">
      <c r="G5202" s="1564" t="s">
        <v>4455</v>
      </c>
      <c r="H5202" s="1564"/>
      <c r="I5202" s="1564"/>
      <c r="J5202" s="3">
        <f>+P5198</f>
        <v>22560000</v>
      </c>
      <c r="R5202" s="3"/>
      <c r="T5202" s="1371"/>
    </row>
    <row r="5203" spans="7:22">
      <c r="T5203" s="1371"/>
    </row>
    <row r="5207" spans="7:22">
      <c r="T5207" s="1371"/>
    </row>
    <row r="5208" spans="7:22">
      <c r="T5208" s="1371"/>
    </row>
    <row r="5209" spans="7:22">
      <c r="T5209" s="1371"/>
    </row>
    <row r="5210" spans="7:22">
      <c r="G5210" s="1008">
        <v>46107</v>
      </c>
      <c r="H5210" s="1169"/>
      <c r="I5210" s="1575" t="s">
        <v>3510</v>
      </c>
      <c r="J5210" s="1576"/>
      <c r="K5210" s="1575" t="s">
        <v>3509</v>
      </c>
      <c r="L5210" s="1576"/>
      <c r="M5210" s="1575" t="s">
        <v>3541</v>
      </c>
      <c r="N5210" s="1576"/>
      <c r="O5210" s="1577" t="s">
        <v>3598</v>
      </c>
      <c r="P5210" s="1578"/>
      <c r="Q5210" s="1579" t="s">
        <v>3599</v>
      </c>
      <c r="R5210" s="1580"/>
      <c r="S5210" s="1583" t="s">
        <v>3953</v>
      </c>
      <c r="T5210" s="1583"/>
      <c r="U5210" s="1583" t="s">
        <v>3954</v>
      </c>
      <c r="V5210" s="1583"/>
    </row>
    <row r="5211" spans="7:22">
      <c r="G5211" s="1097"/>
      <c r="H5211" s="1261"/>
      <c r="I5211" s="1380" t="s">
        <v>5062</v>
      </c>
      <c r="J5211" s="49">
        <v>45000000</v>
      </c>
      <c r="K5211" s="1495" t="s">
        <v>5064</v>
      </c>
      <c r="L5211" s="49">
        <v>15000000</v>
      </c>
      <c r="M5211" s="1495" t="s">
        <v>4613</v>
      </c>
      <c r="N5211" s="1495">
        <v>176000000</v>
      </c>
      <c r="O5211" s="1383"/>
      <c r="P5211" s="644"/>
      <c r="Q5211" s="1279"/>
      <c r="R5211" s="644"/>
      <c r="S5211" s="1223"/>
      <c r="T5211" s="1191"/>
      <c r="U5211" s="1232"/>
      <c r="V5211" s="48"/>
    </row>
    <row r="5212" spans="7:22">
      <c r="G5212" s="1098"/>
      <c r="H5212" s="1172"/>
      <c r="I5212" s="1380" t="s">
        <v>5063</v>
      </c>
      <c r="J5212" s="49">
        <v>42320000</v>
      </c>
      <c r="K5212" s="1495" t="s">
        <v>3537</v>
      </c>
      <c r="L5212" s="49">
        <v>100000</v>
      </c>
      <c r="M5212" s="1495" t="s">
        <v>5023</v>
      </c>
      <c r="N5212" s="49">
        <v>400000000</v>
      </c>
      <c r="O5212" s="1383" t="s">
        <v>4712</v>
      </c>
      <c r="P5212" s="644">
        <v>22560000</v>
      </c>
      <c r="Q5212" s="1290"/>
      <c r="R5212" s="1290"/>
      <c r="S5212" s="1373" t="s">
        <v>4613</v>
      </c>
      <c r="T5212" s="1191">
        <v>4400</v>
      </c>
      <c r="U5212" s="48"/>
      <c r="V5212" s="49"/>
    </row>
    <row r="5213" spans="7:22">
      <c r="G5213" s="48"/>
      <c r="H5213" s="48"/>
      <c r="I5213" s="1382" t="s">
        <v>5065</v>
      </c>
      <c r="J5213" s="49">
        <v>45500000</v>
      </c>
      <c r="K5213" s="1495" t="s">
        <v>4777</v>
      </c>
      <c r="L5213" s="49">
        <v>100000</v>
      </c>
      <c r="M5213" s="1495" t="s">
        <v>5069</v>
      </c>
      <c r="N5213" s="49">
        <v>30000000</v>
      </c>
      <c r="O5213" s="1495" t="s">
        <v>5071</v>
      </c>
      <c r="P5213" s="644">
        <v>7200000</v>
      </c>
      <c r="Q5213" s="1376"/>
      <c r="R5213" s="644"/>
      <c r="S5213" s="1373"/>
      <c r="T5213" s="1191">
        <v>100</v>
      </c>
      <c r="U5213" s="1377"/>
      <c r="V5213" s="1191"/>
    </row>
    <row r="5214" spans="7:22">
      <c r="G5214" s="48"/>
      <c r="H5214" s="48"/>
      <c r="I5214" s="1382" t="s">
        <v>5066</v>
      </c>
      <c r="J5214" s="1368">
        <v>36400000</v>
      </c>
      <c r="K5214" s="1495" t="s">
        <v>4801</v>
      </c>
      <c r="L5214" s="49">
        <v>100000</v>
      </c>
      <c r="M5214" s="1493" t="s">
        <v>5070</v>
      </c>
      <c r="N5214" s="49">
        <v>62000000</v>
      </c>
      <c r="O5214" s="1383" t="s">
        <v>5081</v>
      </c>
      <c r="P5214" s="644">
        <v>59000000</v>
      </c>
      <c r="Q5214" s="1376"/>
      <c r="R5214" s="644"/>
      <c r="S5214" s="1358"/>
      <c r="T5214" s="1372">
        <v>1000</v>
      </c>
      <c r="U5214" s="1358"/>
      <c r="V5214" s="1372"/>
    </row>
    <row r="5215" spans="7:22">
      <c r="G5215" s="48"/>
      <c r="H5215" s="48"/>
      <c r="I5215" s="1380" t="s">
        <v>5067</v>
      </c>
      <c r="J5215" s="49">
        <v>27600000</v>
      </c>
      <c r="K5215" s="1493" t="s">
        <v>4551</v>
      </c>
      <c r="L5215" s="49">
        <v>500000</v>
      </c>
      <c r="M5215" s="1495" t="s">
        <v>5071</v>
      </c>
      <c r="N5215" s="49">
        <v>6800000</v>
      </c>
      <c r="O5215" s="1383"/>
      <c r="P5215" s="644"/>
      <c r="Q5215" s="1384" t="s">
        <v>5085</v>
      </c>
      <c r="R5215" s="644">
        <v>13000000</v>
      </c>
      <c r="S5215" s="1358"/>
      <c r="T5215" s="1372"/>
      <c r="U5215" s="48" t="s">
        <v>4602</v>
      </c>
      <c r="V5215" s="49">
        <v>5000</v>
      </c>
    </row>
    <row r="5216" spans="7:22">
      <c r="G5216" s="48"/>
      <c r="H5216" s="48"/>
      <c r="I5216" s="1382" t="s">
        <v>5068</v>
      </c>
      <c r="J5216" s="49">
        <v>30360000</v>
      </c>
      <c r="K5216" s="1493" t="s">
        <v>5077</v>
      </c>
      <c r="L5216" s="49">
        <v>400000</v>
      </c>
      <c r="M5216" s="1495" t="s">
        <v>4455</v>
      </c>
      <c r="N5216" s="49">
        <v>3830000</v>
      </c>
      <c r="O5216" s="1383"/>
      <c r="P5216" s="644"/>
      <c r="Q5216" s="1382" t="s">
        <v>5086</v>
      </c>
      <c r="R5216" s="644">
        <v>2300000</v>
      </c>
      <c r="S5216" s="1358"/>
      <c r="T5216" s="1372"/>
      <c r="U5216" s="48"/>
      <c r="V5216" s="49"/>
    </row>
    <row r="5217" spans="7:22">
      <c r="G5217" s="48"/>
      <c r="H5217" s="48"/>
      <c r="I5217" s="1382" t="s">
        <v>5072</v>
      </c>
      <c r="J5217" s="49">
        <v>44160000</v>
      </c>
      <c r="K5217" s="1493" t="s">
        <v>5080</v>
      </c>
      <c r="L5217" s="49">
        <v>1200000</v>
      </c>
      <c r="M5217" s="1495" t="s">
        <v>5090</v>
      </c>
      <c r="N5217" s="49">
        <v>20000000</v>
      </c>
      <c r="O5217" s="1383"/>
      <c r="P5217" s="644"/>
      <c r="Q5217" s="1383" t="s">
        <v>5087</v>
      </c>
      <c r="R5217" s="644">
        <v>1000000</v>
      </c>
      <c r="S5217" s="48"/>
      <c r="T5217" s="1372"/>
      <c r="U5217" s="48"/>
      <c r="V5217" s="49"/>
    </row>
    <row r="5218" spans="7:22">
      <c r="G5218" s="48"/>
      <c r="H5218" s="48"/>
      <c r="I5218" s="1382" t="s">
        <v>5073</v>
      </c>
      <c r="J5218" s="49">
        <v>46000000</v>
      </c>
      <c r="K5218" s="1532" t="s">
        <v>4473</v>
      </c>
      <c r="L5218" s="49">
        <v>1000000</v>
      </c>
      <c r="M5218" s="1495"/>
      <c r="N5218" s="49"/>
      <c r="O5218" s="1383"/>
      <c r="P5218" s="644"/>
      <c r="Q5218" s="1385" t="s">
        <v>4472</v>
      </c>
      <c r="R5218" s="644">
        <v>500000</v>
      </c>
      <c r="S5218" s="48"/>
      <c r="T5218" s="1372"/>
      <c r="U5218" s="48"/>
      <c r="V5218" s="49"/>
    </row>
    <row r="5219" spans="7:22">
      <c r="G5219" s="48"/>
      <c r="H5219" s="48"/>
      <c r="I5219" s="1382" t="s">
        <v>5074</v>
      </c>
      <c r="J5219" s="49">
        <v>13500000</v>
      </c>
      <c r="K5219" s="1495"/>
      <c r="L5219" s="49"/>
      <c r="M5219" s="1495"/>
      <c r="N5219" s="49"/>
      <c r="O5219" s="644"/>
      <c r="P5219" s="644"/>
      <c r="Q5219" s="1383" t="s">
        <v>5088</v>
      </c>
      <c r="R5219" s="644">
        <v>3830000</v>
      </c>
      <c r="S5219" s="48"/>
      <c r="T5219" s="1372"/>
      <c r="U5219" s="48"/>
      <c r="V5219" s="49"/>
    </row>
    <row r="5220" spans="7:22">
      <c r="G5220" s="48"/>
      <c r="H5220" s="48"/>
      <c r="I5220" s="1382" t="s">
        <v>5075</v>
      </c>
      <c r="J5220" s="49">
        <v>31300000</v>
      </c>
      <c r="K5220" s="1498"/>
      <c r="L5220" s="49"/>
      <c r="M5220" s="1498"/>
      <c r="N5220" s="49"/>
      <c r="O5220" s="644"/>
      <c r="P5220" s="644"/>
      <c r="Q5220" s="1290"/>
      <c r="R5220" s="644">
        <v>800000</v>
      </c>
      <c r="S5220" s="48"/>
      <c r="T5220" s="1372"/>
      <c r="U5220" s="48"/>
      <c r="V5220" s="49"/>
    </row>
    <row r="5221" spans="7:22">
      <c r="G5221" s="48"/>
      <c r="H5221" s="48"/>
      <c r="I5221" s="1382" t="s">
        <v>5076</v>
      </c>
      <c r="J5221" s="49">
        <v>37200000</v>
      </c>
      <c r="K5221" s="1495"/>
      <c r="L5221" s="49"/>
      <c r="M5221" s="1498"/>
      <c r="N5221" s="49"/>
      <c r="O5221" s="644"/>
      <c r="P5221" s="644"/>
      <c r="Q5221" s="1383" t="s">
        <v>5089</v>
      </c>
      <c r="R5221" s="644">
        <v>50000000</v>
      </c>
      <c r="S5221" s="48"/>
      <c r="T5221" s="1372"/>
      <c r="U5221" s="48"/>
      <c r="V5221" s="48"/>
    </row>
    <row r="5222" spans="7:22">
      <c r="G5222" s="48"/>
      <c r="H5222" s="48"/>
      <c r="I5222" s="1382" t="s">
        <v>5078</v>
      </c>
      <c r="J5222" s="49">
        <v>46000000</v>
      </c>
      <c r="K5222" s="1498"/>
      <c r="L5222" s="49"/>
      <c r="M5222" s="1498"/>
      <c r="N5222" s="49"/>
      <c r="O5222" s="644"/>
      <c r="P5222" s="644"/>
      <c r="Q5222" s="1290"/>
      <c r="R5222" s="644"/>
      <c r="S5222" s="48"/>
      <c r="T5222" s="1372"/>
      <c r="U5222" s="48"/>
      <c r="V5222" s="48"/>
    </row>
    <row r="5223" spans="7:22">
      <c r="G5223" s="48"/>
      <c r="H5223" s="48"/>
      <c r="I5223" s="1382" t="s">
        <v>5079</v>
      </c>
      <c r="J5223" s="49">
        <v>30525000</v>
      </c>
      <c r="K5223" s="1498"/>
      <c r="L5223" s="49"/>
      <c r="M5223" s="1498"/>
      <c r="N5223" s="49"/>
      <c r="O5223" s="644"/>
      <c r="P5223" s="644"/>
      <c r="Q5223" s="1290"/>
      <c r="R5223" s="644"/>
      <c r="S5223" s="48"/>
      <c r="T5223" s="1372"/>
      <c r="U5223" s="48"/>
      <c r="V5223" s="48"/>
    </row>
    <row r="5224" spans="7:22">
      <c r="G5224" s="48"/>
      <c r="H5224" s="48"/>
      <c r="I5224" s="1382" t="s">
        <v>5082</v>
      </c>
      <c r="J5224" s="49">
        <v>23000000</v>
      </c>
      <c r="K5224" s="1498"/>
      <c r="L5224" s="49"/>
      <c r="M5224" s="1498"/>
      <c r="N5224" s="49"/>
      <c r="O5224" s="644"/>
      <c r="P5224" s="644"/>
      <c r="Q5224" s="1290"/>
      <c r="R5224" s="644"/>
      <c r="S5224" s="48"/>
      <c r="T5224" s="1372"/>
      <c r="U5224" s="48"/>
      <c r="V5224" s="48"/>
    </row>
    <row r="5225" spans="7:22">
      <c r="G5225" s="48"/>
      <c r="H5225" s="48"/>
      <c r="I5225" s="1382" t="s">
        <v>5083</v>
      </c>
      <c r="J5225" s="49">
        <v>30360000</v>
      </c>
      <c r="K5225" s="1498"/>
      <c r="L5225" s="49"/>
      <c r="M5225" s="1498"/>
      <c r="N5225" s="49"/>
      <c r="O5225" s="644"/>
      <c r="P5225" s="644"/>
      <c r="Q5225" s="1290"/>
      <c r="R5225" s="644"/>
      <c r="S5225" s="48"/>
      <c r="T5225" s="1372"/>
      <c r="U5225" s="48"/>
      <c r="V5225" s="48"/>
    </row>
    <row r="5226" spans="7:22">
      <c r="G5226" s="48"/>
      <c r="H5226" s="48"/>
      <c r="I5226" s="1382" t="s">
        <v>5084</v>
      </c>
      <c r="J5226" s="49">
        <v>36800000</v>
      </c>
      <c r="K5226" s="1498"/>
      <c r="L5226" s="49"/>
      <c r="M5226" s="1498"/>
      <c r="N5226" s="49"/>
      <c r="O5226" s="644"/>
      <c r="P5226" s="644"/>
      <c r="Q5226" s="1290"/>
      <c r="R5226" s="644"/>
      <c r="S5226" s="48"/>
      <c r="T5226" s="1372"/>
      <c r="U5226" s="48"/>
      <c r="V5226" s="48"/>
    </row>
    <row r="5227" spans="7:22">
      <c r="G5227" s="48"/>
      <c r="H5227" s="48"/>
      <c r="I5227" s="48" t="s">
        <v>5085</v>
      </c>
      <c r="J5227" s="49">
        <v>32500000</v>
      </c>
      <c r="K5227" s="1498"/>
      <c r="L5227" s="49"/>
      <c r="M5227" s="1498"/>
      <c r="N5227" s="49"/>
      <c r="O5227" s="644"/>
      <c r="P5227" s="644"/>
      <c r="Q5227" s="1290"/>
      <c r="R5227" s="644"/>
      <c r="S5227" s="48"/>
      <c r="T5227" s="1372"/>
      <c r="U5227" s="48"/>
      <c r="V5227" s="48"/>
    </row>
    <row r="5228" spans="7:22">
      <c r="G5228" s="48"/>
      <c r="H5228" s="48"/>
      <c r="I5228" s="48" t="s">
        <v>4692</v>
      </c>
      <c r="J5228" s="49">
        <v>36800000</v>
      </c>
      <c r="K5228" s="1498"/>
      <c r="L5228" s="49"/>
      <c r="M5228" s="1498"/>
      <c r="N5228" s="49"/>
      <c r="O5228" s="644"/>
      <c r="P5228" s="644"/>
      <c r="Q5228" s="1290"/>
      <c r="R5228" s="644"/>
      <c r="S5228" s="48"/>
      <c r="T5228" s="1372"/>
      <c r="U5228" s="48"/>
      <c r="V5228" s="48"/>
    </row>
    <row r="5229" spans="7:22">
      <c r="G5229" s="48"/>
      <c r="H5229" s="48"/>
      <c r="I5229" s="48" t="s">
        <v>5091</v>
      </c>
      <c r="J5229" s="49">
        <v>11776000</v>
      </c>
      <c r="K5229" s="1498"/>
      <c r="L5229" s="49"/>
      <c r="M5229" s="1498"/>
      <c r="N5229" s="49"/>
      <c r="O5229" s="644"/>
      <c r="P5229" s="644"/>
      <c r="Q5229" s="1290"/>
      <c r="R5229" s="644"/>
      <c r="S5229" s="48"/>
      <c r="T5229" s="1372"/>
      <c r="U5229" s="48"/>
      <c r="V5229" s="48"/>
    </row>
    <row r="5230" spans="7:22">
      <c r="G5230" s="48"/>
      <c r="H5230" s="48"/>
      <c r="I5230" s="48" t="s">
        <v>4602</v>
      </c>
      <c r="J5230" s="49">
        <v>31500000</v>
      </c>
      <c r="K5230" s="1498"/>
      <c r="L5230" s="49"/>
      <c r="M5230" s="1498"/>
      <c r="N5230" s="49"/>
      <c r="O5230" s="644"/>
      <c r="P5230" s="644"/>
      <c r="Q5230" s="1290"/>
      <c r="R5230" s="644"/>
      <c r="S5230" s="48"/>
      <c r="T5230" s="1372"/>
      <c r="U5230" s="48"/>
      <c r="V5230" s="48"/>
    </row>
    <row r="5231" spans="7:22">
      <c r="G5231" s="48"/>
      <c r="H5231" s="48"/>
      <c r="I5231" s="48"/>
      <c r="J5231" s="49"/>
      <c r="K5231" s="1498"/>
      <c r="L5231" s="49"/>
      <c r="M5231" s="1498"/>
      <c r="N5231" s="49"/>
      <c r="O5231" s="644"/>
      <c r="P5231" s="644"/>
      <c r="Q5231" s="1290"/>
      <c r="R5231" s="644"/>
      <c r="S5231" s="48"/>
      <c r="T5231" s="1372"/>
      <c r="U5231" s="48"/>
      <c r="V5231" s="48"/>
    </row>
    <row r="5232" spans="7:22">
      <c r="G5232" s="48"/>
      <c r="H5232" s="48"/>
      <c r="I5232" s="48"/>
      <c r="J5232" s="49"/>
      <c r="K5232" s="1498"/>
      <c r="L5232" s="49"/>
      <c r="M5232" s="1498"/>
      <c r="N5232" s="49"/>
      <c r="O5232" s="644"/>
      <c r="P5232" s="644"/>
      <c r="Q5232" s="1290"/>
      <c r="R5232" s="644"/>
      <c r="S5232" s="48"/>
      <c r="T5232" s="1372"/>
      <c r="U5232" s="48"/>
      <c r="V5232" s="48"/>
    </row>
    <row r="5233" spans="7:22">
      <c r="G5233" s="48"/>
      <c r="H5233" s="48"/>
      <c r="I5233" s="48"/>
      <c r="J5233" s="49"/>
      <c r="K5233" s="49"/>
      <c r="L5233" s="49"/>
      <c r="M5233" s="1498"/>
      <c r="N5233" s="49"/>
      <c r="O5233" s="644"/>
      <c r="P5233" s="644"/>
      <c r="Q5233" s="1290"/>
      <c r="R5233" s="644"/>
      <c r="S5233" s="48"/>
      <c r="T5233" s="1372"/>
      <c r="U5233" s="48"/>
      <c r="V5233" s="48"/>
    </row>
    <row r="5234" spans="7:22">
      <c r="G5234" s="48"/>
      <c r="H5234" s="48"/>
      <c r="I5234" s="48"/>
      <c r="J5234" s="954">
        <f>SUM(J5211:J5233)</f>
        <v>678601000</v>
      </c>
      <c r="K5234" s="954"/>
      <c r="L5234" s="954">
        <f>SUM(L5211:L5233)</f>
        <v>18400000</v>
      </c>
      <c r="M5234" s="1498"/>
      <c r="N5234" s="954">
        <f>SUM(N5211:N5233)</f>
        <v>698630000</v>
      </c>
      <c r="O5234" s="644"/>
      <c r="P5234" s="969">
        <f>SUM(P5211:P5218)</f>
        <v>88760000</v>
      </c>
      <c r="Q5234" s="969"/>
      <c r="R5234" s="969">
        <f>SUM(R5211:R5233)</f>
        <v>71430000</v>
      </c>
      <c r="S5234" s="48"/>
      <c r="T5234" s="1178">
        <f>SUM(T5211:T5233)</f>
        <v>5500</v>
      </c>
      <c r="U5234" s="48"/>
      <c r="V5234" s="878">
        <f>SUM(V5211:V5233)</f>
        <v>5000</v>
      </c>
    </row>
    <row r="5235" spans="7:22">
      <c r="T5235" s="1371"/>
    </row>
    <row r="5236" spans="7:22">
      <c r="T5236" s="1371"/>
    </row>
    <row r="5237" spans="7:22">
      <c r="R5237" s="661"/>
      <c r="T5237" s="1371"/>
    </row>
    <row r="5238" spans="7:22">
      <c r="T5238" s="1371"/>
    </row>
    <row r="5239" spans="7:22">
      <c r="T5239" s="1371"/>
    </row>
    <row r="5240" spans="7:22">
      <c r="I5240" s="946"/>
      <c r="M5240" s="1533" t="s">
        <v>3699</v>
      </c>
      <c r="O5240" s="1535" t="s">
        <v>3741</v>
      </c>
      <c r="P5240" s="1512">
        <f>P5234-R5234</f>
        <v>17330000</v>
      </c>
      <c r="S5240" s="906" t="s">
        <v>4049</v>
      </c>
      <c r="T5240" s="1107">
        <f>T5234-V5234</f>
        <v>500</v>
      </c>
    </row>
    <row r="5241" spans="7:22">
      <c r="G5241" s="1574" t="s">
        <v>3530</v>
      </c>
      <c r="H5241" s="1574"/>
      <c r="I5241" s="1574"/>
      <c r="J5241" s="3">
        <f>J5234+L5234</f>
        <v>697001000</v>
      </c>
      <c r="K5241" s="1009"/>
      <c r="L5241" s="3"/>
      <c r="M5241" s="1533" t="s">
        <v>3664</v>
      </c>
      <c r="N5241" s="1527"/>
      <c r="O5241" s="1535" t="s">
        <v>4066</v>
      </c>
      <c r="P5241" s="1512"/>
      <c r="T5241" s="1371"/>
    </row>
    <row r="5242" spans="7:22">
      <c r="G5242" s="1574" t="s">
        <v>3512</v>
      </c>
      <c r="H5242" s="1574"/>
      <c r="I5242" s="1574"/>
      <c r="J5242" s="3">
        <f>N5234-J5241</f>
        <v>1629000</v>
      </c>
      <c r="K5242" s="1009"/>
      <c r="L5242" s="3"/>
      <c r="M5242" s="1528"/>
      <c r="O5242" s="1529"/>
      <c r="Q5242" s="661"/>
      <c r="T5242" s="1371"/>
    </row>
    <row r="5243" spans="7:22">
      <c r="G5243" s="1574" t="s">
        <v>3531</v>
      </c>
      <c r="H5243" s="1574"/>
      <c r="I5243" s="1574"/>
      <c r="J5243" s="3">
        <f>T5240</f>
        <v>500</v>
      </c>
      <c r="Q5243" s="3"/>
      <c r="T5243" s="1371"/>
    </row>
    <row r="5244" spans="7:22">
      <c r="G5244" s="1564" t="s">
        <v>4455</v>
      </c>
      <c r="H5244" s="1564"/>
      <c r="I5244" s="1564"/>
      <c r="J5244" s="3">
        <f>+P5240</f>
        <v>17330000</v>
      </c>
      <c r="R5244" s="3"/>
      <c r="T5244" s="1371"/>
    </row>
    <row r="5245" spans="7:22">
      <c r="T5245" s="1371"/>
    </row>
    <row r="5246" spans="7:22">
      <c r="T5246" s="1371"/>
    </row>
    <row r="5248" spans="7:22">
      <c r="T5248" s="1371"/>
    </row>
    <row r="5249" spans="7:22">
      <c r="T5249" s="1371"/>
    </row>
    <row r="5250" spans="7:22">
      <c r="G5250" s="1008">
        <v>46107</v>
      </c>
      <c r="H5250" s="1169"/>
      <c r="I5250" s="1575" t="s">
        <v>3510</v>
      </c>
      <c r="J5250" s="1576"/>
      <c r="K5250" s="1575" t="s">
        <v>3509</v>
      </c>
      <c r="L5250" s="1576"/>
      <c r="M5250" s="1575" t="s">
        <v>3541</v>
      </c>
      <c r="N5250" s="1576"/>
      <c r="O5250" s="1577" t="s">
        <v>3598</v>
      </c>
      <c r="P5250" s="1578"/>
      <c r="Q5250" s="1579" t="s">
        <v>3599</v>
      </c>
      <c r="R5250" s="1580"/>
      <c r="S5250" s="1583" t="s">
        <v>3953</v>
      </c>
      <c r="T5250" s="1583"/>
      <c r="U5250" s="1583" t="s">
        <v>3954</v>
      </c>
      <c r="V5250" s="1583"/>
    </row>
    <row r="5251" spans="7:22">
      <c r="G5251" s="1097"/>
      <c r="H5251" s="1261"/>
      <c r="I5251" s="1380" t="s">
        <v>5094</v>
      </c>
      <c r="J5251" s="49">
        <v>12600000</v>
      </c>
      <c r="K5251" s="1495" t="s">
        <v>4646</v>
      </c>
      <c r="L5251" s="49">
        <v>4000000</v>
      </c>
      <c r="M5251" s="1495" t="s">
        <v>5071</v>
      </c>
      <c r="N5251" s="1495">
        <v>14000000</v>
      </c>
      <c r="O5251" s="1383"/>
      <c r="P5251" s="644"/>
      <c r="Q5251" s="1279"/>
      <c r="R5251" s="644"/>
      <c r="S5251" s="1223"/>
      <c r="T5251" s="1191"/>
      <c r="U5251" s="1232"/>
      <c r="V5251" s="48"/>
    </row>
    <row r="5252" spans="7:22">
      <c r="G5252" s="1098"/>
      <c r="H5252" s="1172"/>
      <c r="I5252" s="1380" t="s">
        <v>5095</v>
      </c>
      <c r="J5252" s="49">
        <v>45000000</v>
      </c>
      <c r="K5252" s="1495" t="s">
        <v>4474</v>
      </c>
      <c r="L5252" s="49">
        <v>2000000</v>
      </c>
      <c r="M5252" s="1495" t="s">
        <v>5092</v>
      </c>
      <c r="N5252" s="49">
        <v>9800000</v>
      </c>
      <c r="O5252" s="1383" t="s">
        <v>4712</v>
      </c>
      <c r="P5252" s="644">
        <v>17000000</v>
      </c>
      <c r="Q5252" s="1290"/>
      <c r="R5252" s="1290"/>
      <c r="S5252" s="1381" t="s">
        <v>4463</v>
      </c>
      <c r="T5252" s="1191">
        <v>500</v>
      </c>
      <c r="U5252" s="48"/>
      <c r="V5252" s="49"/>
    </row>
    <row r="5253" spans="7:22">
      <c r="G5253" s="48"/>
      <c r="H5253" s="48"/>
      <c r="I5253" s="1382"/>
      <c r="J5253" s="49"/>
      <c r="K5253" s="1495" t="s">
        <v>4463</v>
      </c>
      <c r="L5253" s="49">
        <v>400000</v>
      </c>
      <c r="M5253" s="1495" t="s">
        <v>5093</v>
      </c>
      <c r="N5253" s="49">
        <v>5000000</v>
      </c>
      <c r="O5253" s="1495"/>
      <c r="P5253" s="644"/>
      <c r="Q5253" s="1376"/>
      <c r="R5253" s="644">
        <v>14000000</v>
      </c>
      <c r="S5253" s="1373"/>
      <c r="T5253" s="1191"/>
      <c r="U5253" s="1377"/>
      <c r="V5253" s="1191"/>
    </row>
    <row r="5254" spans="7:22">
      <c r="G5254" s="48"/>
      <c r="H5254" s="48"/>
      <c r="I5254" s="1382"/>
      <c r="J5254" s="1368"/>
      <c r="K5254" s="1495" t="s">
        <v>4965</v>
      </c>
      <c r="L5254" s="49">
        <v>9000000</v>
      </c>
      <c r="M5254" s="1493" t="s">
        <v>5023</v>
      </c>
      <c r="N5254" s="49">
        <v>300000000</v>
      </c>
      <c r="O5254" s="1383" t="s">
        <v>5096</v>
      </c>
      <c r="P5254" s="644">
        <v>8500000</v>
      </c>
      <c r="Q5254" s="1376"/>
      <c r="R5254" s="644"/>
      <c r="S5254" s="1358"/>
      <c r="T5254" s="1372"/>
      <c r="U5254" s="1358"/>
      <c r="V5254" s="1372"/>
    </row>
    <row r="5255" spans="7:22">
      <c r="G5255" s="48"/>
      <c r="H5255" s="48"/>
      <c r="I5255" s="1380"/>
      <c r="J5255" s="49"/>
      <c r="K5255" s="1493" t="s">
        <v>4541</v>
      </c>
      <c r="L5255" s="49">
        <v>400000</v>
      </c>
      <c r="M5255" s="1495"/>
      <c r="N5255" s="49"/>
      <c r="O5255" s="1383" t="s">
        <v>5096</v>
      </c>
      <c r="P5255" s="644">
        <v>2500000</v>
      </c>
      <c r="Q5255" s="1384"/>
      <c r="R5255" s="644"/>
      <c r="S5255" s="1358"/>
      <c r="T5255" s="1372"/>
      <c r="U5255" s="48"/>
      <c r="V5255" s="49"/>
    </row>
    <row r="5256" spans="7:22">
      <c r="G5256" s="48"/>
      <c r="H5256" s="48"/>
      <c r="I5256" s="1382"/>
      <c r="J5256" s="49"/>
      <c r="K5256" s="1493" t="s">
        <v>5097</v>
      </c>
      <c r="L5256" s="49">
        <v>5520000</v>
      </c>
      <c r="M5256" s="1495"/>
      <c r="N5256" s="49"/>
      <c r="O5256" s="1383"/>
      <c r="P5256" s="644"/>
      <c r="Q5256" s="1382"/>
      <c r="R5256" s="644"/>
      <c r="S5256" s="1358"/>
      <c r="T5256" s="1372"/>
      <c r="U5256" s="48"/>
      <c r="V5256" s="49"/>
    </row>
    <row r="5257" spans="7:22">
      <c r="G5257" s="48"/>
      <c r="H5257" s="48"/>
      <c r="I5257" s="1382"/>
      <c r="J5257" s="49"/>
      <c r="K5257" s="1493" t="s">
        <v>5098</v>
      </c>
      <c r="L5257" s="49">
        <v>46500000</v>
      </c>
      <c r="M5257" s="1495"/>
      <c r="N5257" s="49"/>
      <c r="O5257" s="1383"/>
      <c r="P5257" s="644"/>
      <c r="Q5257" s="1383"/>
      <c r="R5257" s="644"/>
      <c r="S5257" s="48"/>
      <c r="T5257" s="1372"/>
      <c r="U5257" s="48"/>
      <c r="V5257" s="49"/>
    </row>
    <row r="5258" spans="7:22">
      <c r="G5258" s="48"/>
      <c r="H5258" s="48"/>
      <c r="I5258" s="1382"/>
      <c r="J5258" s="49"/>
      <c r="K5258" s="1532"/>
      <c r="L5258" s="49"/>
      <c r="M5258" s="1495"/>
      <c r="N5258" s="49"/>
      <c r="O5258" s="1383"/>
      <c r="P5258" s="644"/>
      <c r="Q5258" s="1385"/>
      <c r="R5258" s="644"/>
      <c r="S5258" s="48"/>
      <c r="T5258" s="1372"/>
      <c r="U5258" s="48"/>
      <c r="V5258" s="49"/>
    </row>
    <row r="5259" spans="7:22">
      <c r="G5259" s="48"/>
      <c r="H5259" s="48"/>
      <c r="I5259" s="1382"/>
      <c r="J5259" s="49"/>
      <c r="K5259" s="1495"/>
      <c r="L5259" s="49"/>
      <c r="M5259" s="1495"/>
      <c r="N5259" s="49"/>
      <c r="O5259" s="644"/>
      <c r="P5259" s="644"/>
      <c r="Q5259" s="1383"/>
      <c r="R5259" s="644"/>
      <c r="S5259" s="48"/>
      <c r="T5259" s="1372"/>
      <c r="U5259" s="48"/>
      <c r="V5259" s="49"/>
    </row>
    <row r="5260" spans="7:22">
      <c r="G5260" s="48"/>
      <c r="H5260" s="48"/>
      <c r="I5260" s="1382"/>
      <c r="J5260" s="49"/>
      <c r="K5260" s="1498"/>
      <c r="L5260" s="49"/>
      <c r="M5260" s="1498"/>
      <c r="N5260" s="49"/>
      <c r="O5260" s="644"/>
      <c r="P5260" s="644"/>
      <c r="Q5260" s="1290"/>
      <c r="R5260" s="644"/>
      <c r="S5260" s="48"/>
      <c r="T5260" s="1372"/>
      <c r="U5260" s="48"/>
      <c r="V5260" s="49"/>
    </row>
    <row r="5261" spans="7:22">
      <c r="G5261" s="48"/>
      <c r="H5261" s="48"/>
      <c r="I5261" s="1382"/>
      <c r="J5261" s="49"/>
      <c r="K5261" s="1495"/>
      <c r="L5261" s="49"/>
      <c r="M5261" s="1498"/>
      <c r="N5261" s="49"/>
      <c r="O5261" s="644"/>
      <c r="P5261" s="644"/>
      <c r="Q5261" s="1383"/>
      <c r="R5261" s="644"/>
      <c r="S5261" s="48"/>
      <c r="T5261" s="1372"/>
      <c r="U5261" s="48"/>
      <c r="V5261" s="48"/>
    </row>
    <row r="5262" spans="7:22">
      <c r="G5262" s="48"/>
      <c r="H5262" s="48"/>
      <c r="I5262" s="1382"/>
      <c r="J5262" s="49"/>
      <c r="K5262" s="1498"/>
      <c r="L5262" s="49"/>
      <c r="M5262" s="1498"/>
      <c r="N5262" s="49"/>
      <c r="O5262" s="644"/>
      <c r="P5262" s="644"/>
      <c r="Q5262" s="1290"/>
      <c r="R5262" s="644"/>
      <c r="S5262" s="48"/>
      <c r="T5262" s="1372"/>
      <c r="U5262" s="48"/>
      <c r="V5262" s="48"/>
    </row>
    <row r="5263" spans="7:22">
      <c r="G5263" s="48"/>
      <c r="H5263" s="48"/>
      <c r="I5263" s="1382"/>
      <c r="J5263" s="49"/>
      <c r="K5263" s="1498"/>
      <c r="L5263" s="49"/>
      <c r="M5263" s="1498"/>
      <c r="N5263" s="49"/>
      <c r="O5263" s="644"/>
      <c r="P5263" s="644"/>
      <c r="Q5263" s="1290"/>
      <c r="R5263" s="644"/>
      <c r="S5263" s="48"/>
      <c r="T5263" s="1372"/>
      <c r="U5263" s="48"/>
      <c r="V5263" s="48"/>
    </row>
    <row r="5264" spans="7:22">
      <c r="G5264" s="48"/>
      <c r="H5264" s="48"/>
      <c r="I5264" s="1382"/>
      <c r="J5264" s="49"/>
      <c r="K5264" s="1498"/>
      <c r="L5264" s="49"/>
      <c r="M5264" s="1498"/>
      <c r="N5264" s="49"/>
      <c r="O5264" s="644"/>
      <c r="P5264" s="644"/>
      <c r="Q5264" s="1290"/>
      <c r="R5264" s="644"/>
      <c r="S5264" s="48"/>
      <c r="T5264" s="1372"/>
      <c r="U5264" s="48"/>
      <c r="V5264" s="48"/>
    </row>
    <row r="5265" spans="7:22">
      <c r="G5265" s="48"/>
      <c r="H5265" s="48"/>
      <c r="I5265" s="1382"/>
      <c r="J5265" s="49"/>
      <c r="K5265" s="1498"/>
      <c r="L5265" s="49"/>
      <c r="M5265" s="1498"/>
      <c r="N5265" s="49"/>
      <c r="O5265" s="644"/>
      <c r="P5265" s="644"/>
      <c r="Q5265" s="1290"/>
      <c r="R5265" s="644"/>
      <c r="S5265" s="48"/>
      <c r="T5265" s="1372"/>
      <c r="U5265" s="48"/>
      <c r="V5265" s="48"/>
    </row>
    <row r="5266" spans="7:22">
      <c r="G5266" s="48"/>
      <c r="H5266" s="48"/>
      <c r="I5266" s="1382"/>
      <c r="J5266" s="49"/>
      <c r="K5266" s="1498"/>
      <c r="L5266" s="49"/>
      <c r="M5266" s="1498"/>
      <c r="N5266" s="49"/>
      <c r="O5266" s="644"/>
      <c r="P5266" s="644"/>
      <c r="Q5266" s="1290"/>
      <c r="R5266" s="644"/>
      <c r="S5266" s="48"/>
      <c r="T5266" s="1372"/>
      <c r="U5266" s="48"/>
      <c r="V5266" s="48"/>
    </row>
    <row r="5267" spans="7:22">
      <c r="G5267" s="48"/>
      <c r="H5267" s="48"/>
      <c r="I5267" s="48"/>
      <c r="J5267" s="49"/>
      <c r="K5267" s="1498"/>
      <c r="L5267" s="49"/>
      <c r="M5267" s="1498"/>
      <c r="N5267" s="49"/>
      <c r="O5267" s="644"/>
      <c r="P5267" s="644"/>
      <c r="Q5267" s="1290"/>
      <c r="R5267" s="644"/>
      <c r="S5267" s="48"/>
      <c r="T5267" s="1372"/>
      <c r="U5267" s="48"/>
      <c r="V5267" s="48"/>
    </row>
    <row r="5268" spans="7:22">
      <c r="G5268" s="48"/>
      <c r="H5268" s="48"/>
      <c r="I5268" s="48"/>
      <c r="J5268" s="49"/>
      <c r="K5268" s="1498"/>
      <c r="L5268" s="49"/>
      <c r="M5268" s="1498"/>
      <c r="N5268" s="49"/>
      <c r="O5268" s="644"/>
      <c r="P5268" s="644"/>
      <c r="Q5268" s="1290"/>
      <c r="R5268" s="644"/>
      <c r="S5268" s="48"/>
      <c r="T5268" s="1372"/>
      <c r="U5268" s="48"/>
      <c r="V5268" s="48"/>
    </row>
    <row r="5269" spans="7:22">
      <c r="G5269" s="48"/>
      <c r="H5269" s="48"/>
      <c r="I5269" s="48"/>
      <c r="J5269" s="49"/>
      <c r="K5269" s="1498"/>
      <c r="L5269" s="49"/>
      <c r="M5269" s="1498"/>
      <c r="N5269" s="49"/>
      <c r="O5269" s="644"/>
      <c r="P5269" s="644"/>
      <c r="Q5269" s="1290"/>
      <c r="R5269" s="644"/>
      <c r="S5269" s="48"/>
      <c r="T5269" s="1372"/>
      <c r="U5269" s="48"/>
      <c r="V5269" s="48"/>
    </row>
    <row r="5270" spans="7:22">
      <c r="G5270" s="48"/>
      <c r="H5270" s="48"/>
      <c r="I5270" s="48"/>
      <c r="J5270" s="49"/>
      <c r="K5270" s="1498"/>
      <c r="L5270" s="49"/>
      <c r="M5270" s="1498"/>
      <c r="N5270" s="49"/>
      <c r="O5270" s="644"/>
      <c r="P5270" s="644"/>
      <c r="Q5270" s="1290"/>
      <c r="R5270" s="644"/>
      <c r="S5270" s="48"/>
      <c r="T5270" s="1372"/>
      <c r="U5270" s="48"/>
      <c r="V5270" s="48"/>
    </row>
    <row r="5271" spans="7:22">
      <c r="G5271" s="48"/>
      <c r="H5271" s="48"/>
      <c r="I5271" s="48"/>
      <c r="J5271" s="49"/>
      <c r="K5271" s="1498"/>
      <c r="L5271" s="49"/>
      <c r="M5271" s="1498"/>
      <c r="N5271" s="49"/>
      <c r="O5271" s="644"/>
      <c r="P5271" s="644"/>
      <c r="Q5271" s="1290"/>
      <c r="R5271" s="644"/>
      <c r="S5271" s="48"/>
      <c r="T5271" s="1372"/>
      <c r="U5271" s="48"/>
      <c r="V5271" s="48"/>
    </row>
    <row r="5272" spans="7:22">
      <c r="G5272" s="48"/>
      <c r="H5272" s="48"/>
      <c r="I5272" s="48"/>
      <c r="J5272" s="49"/>
      <c r="K5272" s="1498"/>
      <c r="L5272" s="49"/>
      <c r="M5272" s="1498"/>
      <c r="N5272" s="49"/>
      <c r="O5272" s="644"/>
      <c r="P5272" s="644"/>
      <c r="Q5272" s="1290"/>
      <c r="R5272" s="644"/>
      <c r="S5272" s="48"/>
      <c r="T5272" s="1372"/>
      <c r="U5272" s="48"/>
      <c r="V5272" s="48"/>
    </row>
    <row r="5273" spans="7:22">
      <c r="G5273" s="48"/>
      <c r="H5273" s="48"/>
      <c r="I5273" s="48"/>
      <c r="J5273" s="49"/>
      <c r="K5273" s="49"/>
      <c r="L5273" s="49"/>
      <c r="M5273" s="1498"/>
      <c r="N5273" s="49"/>
      <c r="O5273" s="644"/>
      <c r="P5273" s="644"/>
      <c r="Q5273" s="1290"/>
      <c r="R5273" s="644"/>
      <c r="S5273" s="48"/>
      <c r="T5273" s="1372"/>
      <c r="U5273" s="48"/>
      <c r="V5273" s="48"/>
    </row>
    <row r="5274" spans="7:22">
      <c r="G5274" s="48"/>
      <c r="H5274" s="48"/>
      <c r="I5274" s="48"/>
      <c r="J5274" s="954">
        <f>SUM(J5251:J5273)</f>
        <v>57600000</v>
      </c>
      <c r="K5274" s="954"/>
      <c r="L5274" s="954">
        <f>SUM(L5251:L5273)</f>
        <v>67820000</v>
      </c>
      <c r="M5274" s="1498"/>
      <c r="N5274" s="954">
        <f>SUM(N5251:N5273)</f>
        <v>328800000</v>
      </c>
      <c r="O5274" s="644"/>
      <c r="P5274" s="969">
        <f>SUM(P5251:P5258)</f>
        <v>28000000</v>
      </c>
      <c r="Q5274" s="969"/>
      <c r="R5274" s="969">
        <f>SUM(R5251:R5273)</f>
        <v>14000000</v>
      </c>
      <c r="S5274" s="48"/>
      <c r="T5274" s="1178">
        <f>SUM(T5251:T5273)</f>
        <v>500</v>
      </c>
      <c r="U5274" s="48"/>
      <c r="V5274" s="878">
        <f>SUM(V5251:V5273)</f>
        <v>0</v>
      </c>
    </row>
    <row r="5275" spans="7:22">
      <c r="T5275" s="1371"/>
    </row>
    <row r="5276" spans="7:22">
      <c r="T5276" s="1371"/>
    </row>
    <row r="5277" spans="7:22">
      <c r="R5277" s="661"/>
      <c r="T5277" s="1371"/>
    </row>
    <row r="5278" spans="7:22">
      <c r="T5278" s="1371"/>
    </row>
    <row r="5279" spans="7:22">
      <c r="T5279" s="1371"/>
    </row>
    <row r="5280" spans="7:22">
      <c r="I5280" s="946"/>
      <c r="M5280" s="1533" t="s">
        <v>3699</v>
      </c>
      <c r="O5280" s="1535" t="s">
        <v>3741</v>
      </c>
      <c r="P5280" s="1512">
        <f>P5274-R5274</f>
        <v>14000000</v>
      </c>
      <c r="S5280" s="906" t="s">
        <v>4049</v>
      </c>
      <c r="T5280" s="1107">
        <f>T5274-V5274</f>
        <v>500</v>
      </c>
    </row>
    <row r="5281" spans="7:22">
      <c r="G5281" s="1574" t="s">
        <v>3530</v>
      </c>
      <c r="H5281" s="1574"/>
      <c r="I5281" s="1574"/>
      <c r="J5281" s="3">
        <f>J5274+L5274</f>
        <v>125420000</v>
      </c>
      <c r="K5281" s="1009"/>
      <c r="L5281" s="3"/>
      <c r="M5281" s="1533" t="s">
        <v>3664</v>
      </c>
      <c r="N5281" s="1527"/>
      <c r="O5281" s="1535" t="s">
        <v>4066</v>
      </c>
      <c r="P5281" s="1512"/>
      <c r="T5281" s="1371"/>
    </row>
    <row r="5282" spans="7:22">
      <c r="G5282" s="1574" t="s">
        <v>3512</v>
      </c>
      <c r="H5282" s="1574"/>
      <c r="I5282" s="1574"/>
      <c r="J5282" s="3">
        <f>N5274-J5281</f>
        <v>203380000</v>
      </c>
      <c r="K5282" s="1009"/>
      <c r="L5282" s="3"/>
      <c r="M5282" s="1528"/>
      <c r="O5282" s="1529"/>
      <c r="Q5282" s="661"/>
      <c r="T5282" s="1371"/>
    </row>
    <row r="5283" spans="7:22">
      <c r="G5283" s="1574" t="s">
        <v>3531</v>
      </c>
      <c r="H5283" s="1574"/>
      <c r="I5283" s="1574"/>
      <c r="J5283" s="3">
        <f>T5280</f>
        <v>500</v>
      </c>
      <c r="Q5283" s="3"/>
      <c r="T5283" s="1371"/>
    </row>
    <row r="5284" spans="7:22">
      <c r="G5284" s="1564" t="s">
        <v>4455</v>
      </c>
      <c r="H5284" s="1564"/>
      <c r="I5284" s="1564"/>
      <c r="J5284" s="3">
        <f>+P5280</f>
        <v>14000000</v>
      </c>
      <c r="R5284" s="3"/>
      <c r="T5284" s="1371"/>
    </row>
    <row r="5285" spans="7:22">
      <c r="T5285" s="1371"/>
    </row>
    <row r="5288" spans="7:22">
      <c r="T5288" s="1378"/>
    </row>
    <row r="5289" spans="7:22">
      <c r="T5289" s="1378"/>
    </row>
    <row r="5290" spans="7:22">
      <c r="T5290" s="1378"/>
    </row>
    <row r="5291" spans="7:22">
      <c r="G5291" s="1008">
        <v>46109</v>
      </c>
      <c r="H5291" s="1169"/>
      <c r="I5291" s="1575" t="s">
        <v>3510</v>
      </c>
      <c r="J5291" s="1576"/>
      <c r="K5291" s="1575" t="s">
        <v>3509</v>
      </c>
      <c r="L5291" s="1576"/>
      <c r="M5291" s="1575" t="s">
        <v>3541</v>
      </c>
      <c r="N5291" s="1576"/>
      <c r="O5291" s="1577" t="s">
        <v>3598</v>
      </c>
      <c r="P5291" s="1578"/>
      <c r="Q5291" s="1579" t="s">
        <v>3599</v>
      </c>
      <c r="R5291" s="1580"/>
      <c r="S5291" s="1583" t="s">
        <v>3953</v>
      </c>
      <c r="T5291" s="1583"/>
      <c r="U5291" s="1583" t="s">
        <v>3954</v>
      </c>
      <c r="V5291" s="1583"/>
    </row>
    <row r="5292" spans="7:22">
      <c r="G5292" s="1097"/>
      <c r="H5292" s="1261"/>
      <c r="I5292" s="1388" t="s">
        <v>5100</v>
      </c>
      <c r="J5292" s="49">
        <v>92000000</v>
      </c>
      <c r="K5292" s="1495" t="s">
        <v>4472</v>
      </c>
      <c r="L5292" s="49">
        <v>1000000</v>
      </c>
      <c r="M5292" s="1495" t="s">
        <v>4613</v>
      </c>
      <c r="N5292" s="1495">
        <v>201500000</v>
      </c>
      <c r="O5292" s="1383"/>
      <c r="P5292" s="644"/>
      <c r="Q5292" s="1279"/>
      <c r="R5292" s="644"/>
      <c r="S5292" s="1223"/>
      <c r="T5292" s="1191"/>
      <c r="U5292" s="1232"/>
      <c r="V5292" s="48"/>
    </row>
    <row r="5293" spans="7:22">
      <c r="G5293" s="1098"/>
      <c r="H5293" s="1172"/>
      <c r="I5293" s="1380"/>
      <c r="J5293" s="49"/>
      <c r="K5293" s="1495"/>
      <c r="L5293" s="49"/>
      <c r="M5293" s="1495" t="s">
        <v>5099</v>
      </c>
      <c r="N5293" s="49">
        <v>43000000</v>
      </c>
      <c r="O5293" s="1383" t="s">
        <v>4712</v>
      </c>
      <c r="P5293" s="644">
        <v>17000000</v>
      </c>
      <c r="Q5293" s="1290"/>
      <c r="R5293" s="1290"/>
      <c r="S5293" s="1381" t="s">
        <v>4463</v>
      </c>
      <c r="T5293" s="1191"/>
      <c r="U5293" s="48"/>
      <c r="V5293" s="49"/>
    </row>
    <row r="5294" spans="7:22">
      <c r="G5294" s="48"/>
      <c r="H5294" s="48"/>
      <c r="I5294" s="1382"/>
      <c r="J5294" s="49"/>
      <c r="K5294" s="1495"/>
      <c r="L5294" s="49"/>
      <c r="M5294" s="1495"/>
      <c r="N5294" s="49"/>
      <c r="O5294" s="1495"/>
      <c r="P5294" s="644"/>
      <c r="Q5294" s="1376"/>
      <c r="R5294" s="644"/>
      <c r="S5294" s="1373"/>
      <c r="T5294" s="1191"/>
      <c r="U5294" s="1377"/>
      <c r="V5294" s="1191"/>
    </row>
    <row r="5295" spans="7:22">
      <c r="G5295" s="48"/>
      <c r="H5295" s="48"/>
      <c r="I5295" s="1382"/>
      <c r="J5295" s="1368"/>
      <c r="K5295" s="1495"/>
      <c r="L5295" s="49"/>
      <c r="M5295" s="1493"/>
      <c r="N5295" s="49"/>
      <c r="O5295" s="1383"/>
      <c r="P5295" s="644"/>
      <c r="Q5295" s="1376"/>
      <c r="R5295" s="644"/>
      <c r="S5295" s="1358"/>
      <c r="T5295" s="1379"/>
      <c r="U5295" s="1358"/>
      <c r="V5295" s="1379"/>
    </row>
    <row r="5296" spans="7:22">
      <c r="G5296" s="48"/>
      <c r="H5296" s="48"/>
      <c r="I5296" s="1380"/>
      <c r="J5296" s="49"/>
      <c r="K5296" s="1493"/>
      <c r="L5296" s="49"/>
      <c r="M5296" s="1495"/>
      <c r="N5296" s="49"/>
      <c r="O5296" s="1383"/>
      <c r="P5296" s="644"/>
      <c r="Q5296" s="1384"/>
      <c r="R5296" s="644"/>
      <c r="S5296" s="1358"/>
      <c r="T5296" s="1379"/>
      <c r="U5296" s="48"/>
      <c r="V5296" s="49"/>
    </row>
    <row r="5297" spans="7:22">
      <c r="G5297" s="48"/>
      <c r="H5297" s="48"/>
      <c r="I5297" s="1382"/>
      <c r="J5297" s="49"/>
      <c r="K5297" s="1493"/>
      <c r="L5297" s="49"/>
      <c r="M5297" s="1495"/>
      <c r="N5297" s="49"/>
      <c r="O5297" s="1383"/>
      <c r="P5297" s="644"/>
      <c r="Q5297" s="1382"/>
      <c r="R5297" s="644"/>
      <c r="S5297" s="1358"/>
      <c r="T5297" s="1379"/>
      <c r="U5297" s="48"/>
      <c r="V5297" s="49"/>
    </row>
    <row r="5298" spans="7:22">
      <c r="G5298" s="48"/>
      <c r="H5298" s="48"/>
      <c r="I5298" s="1382"/>
      <c r="J5298" s="49"/>
      <c r="K5298" s="1493"/>
      <c r="L5298" s="49"/>
      <c r="M5298" s="1495"/>
      <c r="N5298" s="49"/>
      <c r="O5298" s="1383"/>
      <c r="P5298" s="644"/>
      <c r="Q5298" s="1383"/>
      <c r="R5298" s="644"/>
      <c r="S5298" s="48"/>
      <c r="T5298" s="1379"/>
      <c r="U5298" s="48"/>
      <c r="V5298" s="49"/>
    </row>
    <row r="5299" spans="7:22">
      <c r="G5299" s="48"/>
      <c r="H5299" s="48"/>
      <c r="I5299" s="1382"/>
      <c r="J5299" s="49"/>
      <c r="K5299" s="1532"/>
      <c r="L5299" s="49"/>
      <c r="M5299" s="1495"/>
      <c r="N5299" s="49"/>
      <c r="O5299" s="1383"/>
      <c r="P5299" s="644"/>
      <c r="Q5299" s="1385"/>
      <c r="R5299" s="644"/>
      <c r="S5299" s="48"/>
      <c r="T5299" s="1379"/>
      <c r="U5299" s="48"/>
      <c r="V5299" s="49"/>
    </row>
    <row r="5300" spans="7:22">
      <c r="G5300" s="48"/>
      <c r="H5300" s="48"/>
      <c r="I5300" s="1382"/>
      <c r="J5300" s="49"/>
      <c r="K5300" s="1495"/>
      <c r="L5300" s="49"/>
      <c r="M5300" s="1495"/>
      <c r="N5300" s="49"/>
      <c r="O5300" s="644"/>
      <c r="P5300" s="644"/>
      <c r="Q5300" s="1383"/>
      <c r="R5300" s="644"/>
      <c r="S5300" s="48"/>
      <c r="T5300" s="1379"/>
      <c r="U5300" s="48"/>
      <c r="V5300" s="49"/>
    </row>
    <row r="5301" spans="7:22">
      <c r="G5301" s="48"/>
      <c r="H5301" s="48"/>
      <c r="I5301" s="1382"/>
      <c r="J5301" s="49"/>
      <c r="K5301" s="1498"/>
      <c r="L5301" s="49"/>
      <c r="M5301" s="1498"/>
      <c r="N5301" s="49"/>
      <c r="O5301" s="644"/>
      <c r="P5301" s="644"/>
      <c r="Q5301" s="1290"/>
      <c r="R5301" s="644"/>
      <c r="S5301" s="48"/>
      <c r="T5301" s="1379"/>
      <c r="U5301" s="48"/>
      <c r="V5301" s="49"/>
    </row>
    <row r="5302" spans="7:22">
      <c r="G5302" s="48"/>
      <c r="H5302" s="48"/>
      <c r="I5302" s="1382"/>
      <c r="J5302" s="49"/>
      <c r="K5302" s="1495"/>
      <c r="L5302" s="49"/>
      <c r="M5302" s="1498"/>
      <c r="N5302" s="49"/>
      <c r="O5302" s="644"/>
      <c r="P5302" s="644"/>
      <c r="Q5302" s="1383"/>
      <c r="R5302" s="644"/>
      <c r="S5302" s="48"/>
      <c r="T5302" s="1379"/>
      <c r="U5302" s="48"/>
      <c r="V5302" s="48"/>
    </row>
    <row r="5303" spans="7:22">
      <c r="G5303" s="48"/>
      <c r="H5303" s="48"/>
      <c r="I5303" s="1382"/>
      <c r="J5303" s="49"/>
      <c r="K5303" s="1498"/>
      <c r="L5303" s="49"/>
      <c r="M5303" s="1498"/>
      <c r="N5303" s="49"/>
      <c r="O5303" s="644"/>
      <c r="P5303" s="644"/>
      <c r="Q5303" s="1290"/>
      <c r="R5303" s="644"/>
      <c r="S5303" s="48"/>
      <c r="T5303" s="1379"/>
      <c r="U5303" s="48"/>
      <c r="V5303" s="48"/>
    </row>
    <row r="5304" spans="7:22">
      <c r="G5304" s="48"/>
      <c r="H5304" s="48"/>
      <c r="I5304" s="1382"/>
      <c r="J5304" s="49"/>
      <c r="K5304" s="1498"/>
      <c r="L5304" s="49"/>
      <c r="M5304" s="1498"/>
      <c r="N5304" s="49"/>
      <c r="O5304" s="644"/>
      <c r="P5304" s="644"/>
      <c r="Q5304" s="1290"/>
      <c r="R5304" s="644"/>
      <c r="S5304" s="48"/>
      <c r="T5304" s="1379"/>
      <c r="U5304" s="48"/>
      <c r="V5304" s="48"/>
    </row>
    <row r="5305" spans="7:22">
      <c r="G5305" s="48"/>
      <c r="H5305" s="48"/>
      <c r="I5305" s="1382"/>
      <c r="J5305" s="49"/>
      <c r="K5305" s="1498"/>
      <c r="L5305" s="49"/>
      <c r="M5305" s="1498"/>
      <c r="N5305" s="49"/>
      <c r="O5305" s="644"/>
      <c r="P5305" s="644"/>
      <c r="Q5305" s="1290"/>
      <c r="R5305" s="644"/>
      <c r="S5305" s="48"/>
      <c r="T5305" s="1379"/>
      <c r="U5305" s="48"/>
      <c r="V5305" s="48"/>
    </row>
    <row r="5306" spans="7:22">
      <c r="G5306" s="48"/>
      <c r="H5306" s="48"/>
      <c r="I5306" s="1382"/>
      <c r="J5306" s="49"/>
      <c r="K5306" s="1498"/>
      <c r="L5306" s="49"/>
      <c r="M5306" s="1498"/>
      <c r="N5306" s="49"/>
      <c r="O5306" s="644"/>
      <c r="P5306" s="644"/>
      <c r="Q5306" s="1290"/>
      <c r="R5306" s="644"/>
      <c r="S5306" s="48"/>
      <c r="T5306" s="1379"/>
      <c r="U5306" s="48"/>
      <c r="V5306" s="48"/>
    </row>
    <row r="5307" spans="7:22">
      <c r="G5307" s="48"/>
      <c r="H5307" s="48"/>
      <c r="I5307" s="1382"/>
      <c r="J5307" s="49"/>
      <c r="K5307" s="1498"/>
      <c r="L5307" s="49"/>
      <c r="M5307" s="1498"/>
      <c r="N5307" s="49"/>
      <c r="O5307" s="644"/>
      <c r="P5307" s="644"/>
      <c r="Q5307" s="1290"/>
      <c r="R5307" s="644"/>
      <c r="S5307" s="48"/>
      <c r="T5307" s="1379"/>
      <c r="U5307" s="48"/>
      <c r="V5307" s="48"/>
    </row>
    <row r="5308" spans="7:22">
      <c r="G5308" s="48"/>
      <c r="H5308" s="48"/>
      <c r="I5308" s="48"/>
      <c r="J5308" s="49"/>
      <c r="K5308" s="1498"/>
      <c r="L5308" s="49"/>
      <c r="M5308" s="1498"/>
      <c r="N5308" s="49"/>
      <c r="O5308" s="644"/>
      <c r="P5308" s="644"/>
      <c r="Q5308" s="1290"/>
      <c r="R5308" s="644"/>
      <c r="S5308" s="48"/>
      <c r="T5308" s="1379"/>
      <c r="U5308" s="48"/>
      <c r="V5308" s="48"/>
    </row>
    <row r="5309" spans="7:22">
      <c r="G5309" s="48"/>
      <c r="H5309" s="48"/>
      <c r="I5309" s="48"/>
      <c r="J5309" s="49"/>
      <c r="K5309" s="1498"/>
      <c r="L5309" s="49"/>
      <c r="M5309" s="1498"/>
      <c r="N5309" s="49"/>
      <c r="O5309" s="644"/>
      <c r="P5309" s="644"/>
      <c r="Q5309" s="1290"/>
      <c r="R5309" s="644"/>
      <c r="S5309" s="48"/>
      <c r="T5309" s="1379"/>
      <c r="U5309" s="48"/>
      <c r="V5309" s="48"/>
    </row>
    <row r="5310" spans="7:22">
      <c r="G5310" s="48"/>
      <c r="H5310" s="48"/>
      <c r="I5310" s="48"/>
      <c r="J5310" s="49"/>
      <c r="K5310" s="1498"/>
      <c r="L5310" s="49"/>
      <c r="M5310" s="1498"/>
      <c r="N5310" s="49"/>
      <c r="O5310" s="644"/>
      <c r="P5310" s="644"/>
      <c r="Q5310" s="1290"/>
      <c r="R5310" s="644"/>
      <c r="S5310" s="48"/>
      <c r="T5310" s="1379"/>
      <c r="U5310" s="48"/>
      <c r="V5310" s="48"/>
    </row>
    <row r="5311" spans="7:22">
      <c r="G5311" s="48"/>
      <c r="H5311" s="48"/>
      <c r="I5311" s="48"/>
      <c r="J5311" s="49"/>
      <c r="K5311" s="1498"/>
      <c r="L5311" s="49"/>
      <c r="M5311" s="1498"/>
      <c r="N5311" s="49"/>
      <c r="O5311" s="644"/>
      <c r="P5311" s="644"/>
      <c r="Q5311" s="1290"/>
      <c r="R5311" s="644"/>
      <c r="S5311" s="48"/>
      <c r="T5311" s="1379"/>
      <c r="U5311" s="48"/>
      <c r="V5311" s="48"/>
    </row>
    <row r="5312" spans="7:22">
      <c r="G5312" s="48"/>
      <c r="H5312" s="48"/>
      <c r="I5312" s="48"/>
      <c r="J5312" s="49"/>
      <c r="K5312" s="1498"/>
      <c r="L5312" s="49"/>
      <c r="M5312" s="1498"/>
      <c r="N5312" s="49"/>
      <c r="O5312" s="644"/>
      <c r="P5312" s="644"/>
      <c r="Q5312" s="1290"/>
      <c r="R5312" s="644"/>
      <c r="S5312" s="48"/>
      <c r="T5312" s="1379"/>
      <c r="U5312" s="48"/>
      <c r="V5312" s="48"/>
    </row>
    <row r="5313" spans="7:22">
      <c r="G5313" s="48"/>
      <c r="H5313" s="48"/>
      <c r="I5313" s="48"/>
      <c r="J5313" s="49"/>
      <c r="K5313" s="1498"/>
      <c r="L5313" s="49"/>
      <c r="M5313" s="1498"/>
      <c r="N5313" s="49"/>
      <c r="O5313" s="644"/>
      <c r="P5313" s="644"/>
      <c r="Q5313" s="1290"/>
      <c r="R5313" s="644"/>
      <c r="S5313" s="48"/>
      <c r="T5313" s="1379"/>
      <c r="U5313" s="48"/>
      <c r="V5313" s="48"/>
    </row>
    <row r="5314" spans="7:22">
      <c r="G5314" s="48"/>
      <c r="H5314" s="48"/>
      <c r="I5314" s="48"/>
      <c r="J5314" s="49"/>
      <c r="K5314" s="49"/>
      <c r="L5314" s="49"/>
      <c r="M5314" s="1498"/>
      <c r="N5314" s="49"/>
      <c r="O5314" s="644"/>
      <c r="P5314" s="644"/>
      <c r="Q5314" s="1290"/>
      <c r="R5314" s="644"/>
      <c r="S5314" s="48"/>
      <c r="T5314" s="1379"/>
      <c r="U5314" s="48"/>
      <c r="V5314" s="48"/>
    </row>
    <row r="5315" spans="7:22">
      <c r="G5315" s="48"/>
      <c r="H5315" s="48"/>
      <c r="I5315" s="48"/>
      <c r="J5315" s="954">
        <f>SUM(J5292:J5314)</f>
        <v>92000000</v>
      </c>
      <c r="K5315" s="954"/>
      <c r="L5315" s="954">
        <f>SUM(L5292:L5314)</f>
        <v>1000000</v>
      </c>
      <c r="M5315" s="1498"/>
      <c r="N5315" s="954">
        <f>SUM(N5292:N5314)</f>
        <v>244500000</v>
      </c>
      <c r="O5315" s="644"/>
      <c r="P5315" s="969">
        <f>SUM(P5292:P5299)</f>
        <v>17000000</v>
      </c>
      <c r="Q5315" s="969"/>
      <c r="R5315" s="969">
        <f>SUM(R5292:R5314)</f>
        <v>0</v>
      </c>
      <c r="S5315" s="48"/>
      <c r="T5315" s="1178">
        <f>SUM(T5292:T5314)</f>
        <v>0</v>
      </c>
      <c r="U5315" s="48"/>
      <c r="V5315" s="878">
        <f>SUM(V5292:V5314)</f>
        <v>0</v>
      </c>
    </row>
    <row r="5316" spans="7:22">
      <c r="T5316" s="1378"/>
    </row>
    <row r="5317" spans="7:22">
      <c r="T5317" s="1378"/>
    </row>
    <row r="5318" spans="7:22">
      <c r="R5318" s="661"/>
      <c r="T5318" s="1378"/>
    </row>
    <row r="5319" spans="7:22">
      <c r="T5319" s="1378"/>
    </row>
    <row r="5320" spans="7:22">
      <c r="T5320" s="1378"/>
    </row>
    <row r="5321" spans="7:22">
      <c r="I5321" s="946"/>
      <c r="M5321" s="1533" t="s">
        <v>3699</v>
      </c>
      <c r="O5321" s="1535" t="s">
        <v>3741</v>
      </c>
      <c r="P5321" s="1512">
        <f>P5315-R5315</f>
        <v>17000000</v>
      </c>
      <c r="S5321" s="906" t="s">
        <v>4049</v>
      </c>
      <c r="T5321" s="1107">
        <f>T5315-V5315</f>
        <v>0</v>
      </c>
    </row>
    <row r="5322" spans="7:22">
      <c r="G5322" s="1574" t="s">
        <v>3530</v>
      </c>
      <c r="H5322" s="1574"/>
      <c r="I5322" s="1574"/>
      <c r="J5322" s="3">
        <f>J5315+L5315</f>
        <v>93000000</v>
      </c>
      <c r="K5322" s="1009"/>
      <c r="L5322" s="3"/>
      <c r="M5322" s="1533" t="s">
        <v>3664</v>
      </c>
      <c r="N5322" s="1527"/>
      <c r="O5322" s="1535" t="s">
        <v>4066</v>
      </c>
      <c r="P5322" s="1512"/>
      <c r="T5322" s="1378"/>
    </row>
    <row r="5323" spans="7:22">
      <c r="G5323" s="1574" t="s">
        <v>3512</v>
      </c>
      <c r="H5323" s="1574"/>
      <c r="I5323" s="1574"/>
      <c r="J5323" s="3">
        <f>N5315-J5322</f>
        <v>151500000</v>
      </c>
      <c r="K5323" s="1009"/>
      <c r="L5323" s="3"/>
      <c r="M5323" s="1528"/>
      <c r="O5323" s="1529"/>
      <c r="Q5323" s="661"/>
      <c r="T5323" s="1378"/>
    </row>
    <row r="5324" spans="7:22">
      <c r="G5324" s="1574" t="s">
        <v>3531</v>
      </c>
      <c r="H5324" s="1574"/>
      <c r="I5324" s="1574"/>
      <c r="J5324" s="3">
        <f>T5321</f>
        <v>0</v>
      </c>
      <c r="Q5324" s="3"/>
      <c r="T5324" s="1378"/>
    </row>
    <row r="5325" spans="7:22">
      <c r="G5325" s="1564" t="s">
        <v>4455</v>
      </c>
      <c r="H5325" s="1564"/>
      <c r="I5325" s="1564"/>
      <c r="J5325" s="3">
        <f>+P5321</f>
        <v>17000000</v>
      </c>
      <c r="R5325" s="3"/>
      <c r="T5325" s="1378"/>
    </row>
    <row r="5326" spans="7:22">
      <c r="T5326" s="1378"/>
    </row>
    <row r="5328" spans="7:22">
      <c r="T5328" s="1378"/>
    </row>
    <row r="5329" spans="7:22">
      <c r="T5329" s="1378"/>
    </row>
    <row r="5330" spans="7:22">
      <c r="G5330" s="1008">
        <v>46111</v>
      </c>
      <c r="H5330" s="1169"/>
      <c r="I5330" s="1575" t="s">
        <v>3510</v>
      </c>
      <c r="J5330" s="1576"/>
      <c r="K5330" s="1575" t="s">
        <v>3509</v>
      </c>
      <c r="L5330" s="1576"/>
      <c r="M5330" s="1575" t="s">
        <v>3541</v>
      </c>
      <c r="N5330" s="1576"/>
      <c r="O5330" s="1577" t="s">
        <v>3598</v>
      </c>
      <c r="P5330" s="1578"/>
      <c r="Q5330" s="1579" t="s">
        <v>3599</v>
      </c>
      <c r="R5330" s="1580"/>
      <c r="S5330" s="1583" t="s">
        <v>3953</v>
      </c>
      <c r="T5330" s="1583"/>
      <c r="U5330" s="1583" t="s">
        <v>3954</v>
      </c>
      <c r="V5330" s="1583"/>
    </row>
    <row r="5331" spans="7:22">
      <c r="G5331" s="1097"/>
      <c r="H5331" s="1261"/>
      <c r="I5331" s="1388" t="s">
        <v>5102</v>
      </c>
      <c r="J5331" s="49">
        <v>30000000</v>
      </c>
      <c r="K5331" s="1495" t="s">
        <v>4597</v>
      </c>
      <c r="L5331" s="49">
        <v>537000000</v>
      </c>
      <c r="M5331" s="1495" t="s">
        <v>4613</v>
      </c>
      <c r="N5331" s="1495">
        <v>14400000</v>
      </c>
      <c r="O5331" s="1383"/>
      <c r="P5331" s="644"/>
      <c r="Q5331" s="1279"/>
      <c r="R5331" s="644"/>
      <c r="S5331" s="1223"/>
      <c r="T5331" s="1191"/>
      <c r="U5331" s="1232"/>
      <c r="V5331" s="48"/>
    </row>
    <row r="5332" spans="7:22">
      <c r="G5332" s="1098"/>
      <c r="H5332" s="1172"/>
      <c r="I5332" s="1388" t="s">
        <v>5105</v>
      </c>
      <c r="J5332" s="49">
        <v>45000000</v>
      </c>
      <c r="K5332" s="1495" t="s">
        <v>4423</v>
      </c>
      <c r="L5332" s="49">
        <v>2500000</v>
      </c>
      <c r="M5332" s="1495" t="s">
        <v>5101</v>
      </c>
      <c r="N5332" s="49">
        <v>1130000000</v>
      </c>
      <c r="O5332" s="1383" t="s">
        <v>4712</v>
      </c>
      <c r="P5332" s="644">
        <v>17000000</v>
      </c>
      <c r="Q5332" s="1290"/>
      <c r="R5332" s="1290"/>
      <c r="S5332" s="1389" t="s">
        <v>4613</v>
      </c>
      <c r="T5332" s="1191">
        <v>800</v>
      </c>
      <c r="U5332" s="48"/>
      <c r="V5332" s="49"/>
    </row>
    <row r="5333" spans="7:22">
      <c r="G5333" s="48"/>
      <c r="H5333" s="48"/>
      <c r="I5333" s="1390" t="s">
        <v>5107</v>
      </c>
      <c r="J5333" s="49">
        <v>36400000</v>
      </c>
      <c r="K5333" s="1495" t="s">
        <v>4822</v>
      </c>
      <c r="L5333" s="49">
        <v>3000000</v>
      </c>
      <c r="M5333" s="1495" t="s">
        <v>4463</v>
      </c>
      <c r="N5333" s="49">
        <v>6800000</v>
      </c>
      <c r="O5333" s="1495"/>
      <c r="P5333" s="644"/>
      <c r="Q5333" s="1376"/>
      <c r="R5333" s="644"/>
      <c r="S5333" s="1389" t="s">
        <v>5103</v>
      </c>
      <c r="T5333" s="1191">
        <v>100000</v>
      </c>
      <c r="U5333" s="1377"/>
      <c r="V5333" s="1191"/>
    </row>
    <row r="5334" spans="7:22">
      <c r="G5334" s="48"/>
      <c r="H5334" s="48"/>
      <c r="I5334" s="1390" t="s">
        <v>5108</v>
      </c>
      <c r="J5334" s="1368">
        <v>30030000</v>
      </c>
      <c r="K5334" s="1495" t="s">
        <v>4477</v>
      </c>
      <c r="L5334" s="49">
        <v>15000000</v>
      </c>
      <c r="M5334" s="1493"/>
      <c r="N5334" s="49"/>
      <c r="O5334" s="1383"/>
      <c r="P5334" s="644"/>
      <c r="Q5334" s="1376"/>
      <c r="R5334" s="644"/>
      <c r="S5334" s="1390" t="s">
        <v>4463</v>
      </c>
      <c r="T5334" s="1379">
        <v>100</v>
      </c>
      <c r="U5334" s="1390" t="s">
        <v>4980</v>
      </c>
      <c r="V5334" s="1379">
        <v>3600</v>
      </c>
    </row>
    <row r="5335" spans="7:22">
      <c r="G5335" s="48"/>
      <c r="H5335" s="48"/>
      <c r="I5335" s="1388" t="s">
        <v>5109</v>
      </c>
      <c r="J5335" s="49">
        <v>30030000</v>
      </c>
      <c r="K5335" s="1493" t="s">
        <v>5106</v>
      </c>
      <c r="L5335" s="49">
        <v>15000000</v>
      </c>
      <c r="M5335" s="1495"/>
      <c r="N5335" s="49"/>
      <c r="O5335" s="1383"/>
      <c r="P5335" s="644"/>
      <c r="Q5335" s="1384"/>
      <c r="R5335" s="644"/>
      <c r="S5335" s="1390" t="s">
        <v>5104</v>
      </c>
      <c r="T5335" s="1379">
        <v>200</v>
      </c>
      <c r="U5335" s="48"/>
      <c r="V5335" s="49"/>
    </row>
    <row r="5336" spans="7:22">
      <c r="G5336" s="48"/>
      <c r="H5336" s="48"/>
      <c r="I5336" s="1390" t="s">
        <v>5110</v>
      </c>
      <c r="J5336" s="49">
        <v>46000000</v>
      </c>
      <c r="K5336" s="1493" t="s">
        <v>4507</v>
      </c>
      <c r="L5336" s="49">
        <v>15000000</v>
      </c>
      <c r="M5336" s="1495"/>
      <c r="N5336" s="49"/>
      <c r="O5336" s="1383"/>
      <c r="P5336" s="644"/>
      <c r="Q5336" s="1382"/>
      <c r="R5336" s="644"/>
      <c r="S5336" s="1358"/>
      <c r="T5336" s="1379"/>
      <c r="U5336" s="48"/>
      <c r="V5336" s="49"/>
    </row>
    <row r="5337" spans="7:22">
      <c r="G5337" s="48"/>
      <c r="H5337" s="48"/>
      <c r="I5337" s="1390" t="s">
        <v>5112</v>
      </c>
      <c r="J5337" s="49">
        <v>91000000</v>
      </c>
      <c r="K5337" s="1493" t="s">
        <v>2341</v>
      </c>
      <c r="L5337" s="49">
        <v>2000000</v>
      </c>
      <c r="M5337" s="1495"/>
      <c r="N5337" s="49"/>
      <c r="O5337" s="1383"/>
      <c r="P5337" s="644"/>
      <c r="Q5337" s="1383"/>
      <c r="R5337" s="644"/>
      <c r="S5337" s="48"/>
      <c r="T5337" s="1379"/>
      <c r="U5337" s="48"/>
      <c r="V5337" s="49"/>
    </row>
    <row r="5338" spans="7:22">
      <c r="G5338" s="48"/>
      <c r="H5338" s="48"/>
      <c r="I5338" s="1390" t="s">
        <v>5114</v>
      </c>
      <c r="J5338" s="49">
        <v>29700000</v>
      </c>
      <c r="K5338" s="1532" t="s">
        <v>5111</v>
      </c>
      <c r="L5338" s="49">
        <v>1500000</v>
      </c>
      <c r="M5338" s="1495"/>
      <c r="N5338" s="49"/>
      <c r="O5338" s="1383"/>
      <c r="P5338" s="644"/>
      <c r="Q5338" s="1385"/>
      <c r="R5338" s="644"/>
      <c r="S5338" s="48"/>
      <c r="T5338" s="1379"/>
      <c r="U5338" s="48"/>
      <c r="V5338" s="49"/>
    </row>
    <row r="5339" spans="7:22">
      <c r="G5339" s="48"/>
      <c r="H5339" s="48"/>
      <c r="I5339" s="1390" t="s">
        <v>5116</v>
      </c>
      <c r="J5339" s="49">
        <v>30030000</v>
      </c>
      <c r="K5339" s="1495" t="s">
        <v>5113</v>
      </c>
      <c r="L5339" s="49">
        <v>1000000</v>
      </c>
      <c r="M5339" s="1495"/>
      <c r="N5339" s="49"/>
      <c r="O5339" s="644"/>
      <c r="P5339" s="644"/>
      <c r="Q5339" s="1383"/>
      <c r="R5339" s="644"/>
      <c r="S5339" s="48"/>
      <c r="T5339" s="1379"/>
      <c r="U5339" s="48"/>
      <c r="V5339" s="49"/>
    </row>
    <row r="5340" spans="7:22">
      <c r="G5340" s="48"/>
      <c r="H5340" s="48"/>
      <c r="I5340" s="1390" t="s">
        <v>5117</v>
      </c>
      <c r="J5340" s="49">
        <v>93000000</v>
      </c>
      <c r="K5340" s="1498" t="s">
        <v>5115</v>
      </c>
      <c r="L5340" s="49">
        <v>660000</v>
      </c>
      <c r="M5340" s="1498"/>
      <c r="N5340" s="49"/>
      <c r="O5340" s="644"/>
      <c r="P5340" s="644"/>
      <c r="Q5340" s="1290"/>
      <c r="R5340" s="644"/>
      <c r="S5340" s="48"/>
      <c r="T5340" s="1379"/>
      <c r="U5340" s="48"/>
      <c r="V5340" s="49"/>
    </row>
    <row r="5341" spans="7:22">
      <c r="G5341" s="48"/>
      <c r="H5341" s="48"/>
      <c r="I5341" s="1382"/>
      <c r="J5341" s="49"/>
      <c r="K5341" s="1495" t="s">
        <v>4619</v>
      </c>
      <c r="L5341" s="49">
        <v>5000000</v>
      </c>
      <c r="M5341" s="1498"/>
      <c r="N5341" s="49"/>
      <c r="O5341" s="644"/>
      <c r="P5341" s="644"/>
      <c r="Q5341" s="1383"/>
      <c r="R5341" s="644"/>
      <c r="S5341" s="48"/>
      <c r="T5341" s="1379"/>
      <c r="U5341" s="48"/>
      <c r="V5341" s="48"/>
    </row>
    <row r="5342" spans="7:22">
      <c r="G5342" s="48"/>
      <c r="H5342" s="48"/>
      <c r="I5342" s="1382"/>
      <c r="J5342" s="49"/>
      <c r="K5342" s="1498" t="s">
        <v>4541</v>
      </c>
      <c r="L5342" s="49">
        <v>300000</v>
      </c>
      <c r="M5342" s="1498"/>
      <c r="N5342" s="49"/>
      <c r="O5342" s="644"/>
      <c r="P5342" s="644"/>
      <c r="Q5342" s="1290"/>
      <c r="R5342" s="644"/>
      <c r="S5342" s="48"/>
      <c r="T5342" s="1379"/>
      <c r="U5342" s="48"/>
      <c r="V5342" s="48"/>
    </row>
    <row r="5343" spans="7:22">
      <c r="G5343" s="48"/>
      <c r="H5343" s="48"/>
      <c r="I5343" s="1382"/>
      <c r="J5343" s="49"/>
      <c r="K5343" s="1498"/>
      <c r="L5343" s="49"/>
      <c r="M5343" s="1498"/>
      <c r="N5343" s="49"/>
      <c r="O5343" s="644"/>
      <c r="P5343" s="644"/>
      <c r="Q5343" s="1290"/>
      <c r="R5343" s="644"/>
      <c r="S5343" s="48"/>
      <c r="T5343" s="1379"/>
      <c r="U5343" s="48"/>
      <c r="V5343" s="48"/>
    </row>
    <row r="5344" spans="7:22">
      <c r="G5344" s="48"/>
      <c r="H5344" s="48"/>
      <c r="I5344" s="1382"/>
      <c r="J5344" s="49"/>
      <c r="K5344" s="1498"/>
      <c r="L5344" s="49"/>
      <c r="M5344" s="1498"/>
      <c r="N5344" s="49"/>
      <c r="O5344" s="644"/>
      <c r="P5344" s="644"/>
      <c r="Q5344" s="1290"/>
      <c r="R5344" s="644"/>
      <c r="S5344" s="48"/>
      <c r="T5344" s="1379"/>
      <c r="U5344" s="48"/>
      <c r="V5344" s="48"/>
    </row>
    <row r="5345" spans="7:22">
      <c r="G5345" s="48"/>
      <c r="H5345" s="48"/>
      <c r="I5345" s="1382"/>
      <c r="J5345" s="49"/>
      <c r="K5345" s="1498"/>
      <c r="L5345" s="49"/>
      <c r="M5345" s="1498"/>
      <c r="N5345" s="49"/>
      <c r="O5345" s="644"/>
      <c r="P5345" s="644"/>
      <c r="Q5345" s="1290"/>
      <c r="R5345" s="644"/>
      <c r="S5345" s="48"/>
      <c r="T5345" s="1379"/>
      <c r="U5345" s="48"/>
      <c r="V5345" s="48"/>
    </row>
    <row r="5346" spans="7:22">
      <c r="G5346" s="48"/>
      <c r="H5346" s="48"/>
      <c r="I5346" s="1382"/>
      <c r="J5346" s="49"/>
      <c r="K5346" s="1498"/>
      <c r="L5346" s="49"/>
      <c r="M5346" s="1498"/>
      <c r="N5346" s="49"/>
      <c r="O5346" s="644"/>
      <c r="P5346" s="644"/>
      <c r="Q5346" s="1290"/>
      <c r="R5346" s="644"/>
      <c r="S5346" s="48"/>
      <c r="T5346" s="1379"/>
      <c r="U5346" s="48"/>
      <c r="V5346" s="48"/>
    </row>
    <row r="5347" spans="7:22">
      <c r="G5347" s="48"/>
      <c r="H5347" s="48"/>
      <c r="I5347" s="48"/>
      <c r="J5347" s="49"/>
      <c r="K5347" s="1498"/>
      <c r="L5347" s="49"/>
      <c r="M5347" s="1498"/>
      <c r="N5347" s="49"/>
      <c r="O5347" s="644"/>
      <c r="P5347" s="644"/>
      <c r="Q5347" s="1290"/>
      <c r="R5347" s="644"/>
      <c r="S5347" s="48"/>
      <c r="T5347" s="1379"/>
      <c r="U5347" s="48"/>
      <c r="V5347" s="48"/>
    </row>
    <row r="5348" spans="7:22">
      <c r="G5348" s="48"/>
      <c r="H5348" s="48"/>
      <c r="I5348" s="48"/>
      <c r="J5348" s="49"/>
      <c r="K5348" s="1498"/>
      <c r="L5348" s="49"/>
      <c r="M5348" s="1498"/>
      <c r="N5348" s="49"/>
      <c r="O5348" s="644"/>
      <c r="P5348" s="644"/>
      <c r="Q5348" s="1290"/>
      <c r="R5348" s="644"/>
      <c r="S5348" s="48"/>
      <c r="T5348" s="1379"/>
      <c r="U5348" s="48"/>
      <c r="V5348" s="48"/>
    </row>
    <row r="5349" spans="7:22">
      <c r="G5349" s="48"/>
      <c r="H5349" s="48"/>
      <c r="I5349" s="48"/>
      <c r="J5349" s="49"/>
      <c r="K5349" s="1498"/>
      <c r="L5349" s="49"/>
      <c r="M5349" s="1498"/>
      <c r="N5349" s="49"/>
      <c r="O5349" s="644"/>
      <c r="P5349" s="644"/>
      <c r="Q5349" s="1290"/>
      <c r="R5349" s="644"/>
      <c r="S5349" s="48"/>
      <c r="T5349" s="1379"/>
      <c r="U5349" s="48"/>
      <c r="V5349" s="48"/>
    </row>
    <row r="5350" spans="7:22">
      <c r="G5350" s="48"/>
      <c r="H5350" s="48"/>
      <c r="I5350" s="48"/>
      <c r="J5350" s="49"/>
      <c r="K5350" s="1498"/>
      <c r="L5350" s="49"/>
      <c r="M5350" s="1498"/>
      <c r="N5350" s="49"/>
      <c r="O5350" s="644"/>
      <c r="P5350" s="644"/>
      <c r="Q5350" s="1290"/>
      <c r="R5350" s="644"/>
      <c r="S5350" s="48"/>
      <c r="T5350" s="1379"/>
      <c r="U5350" s="48"/>
      <c r="V5350" s="48"/>
    </row>
    <row r="5351" spans="7:22">
      <c r="G5351" s="48"/>
      <c r="H5351" s="48"/>
      <c r="I5351" s="48"/>
      <c r="J5351" s="49"/>
      <c r="K5351" s="1498"/>
      <c r="L5351" s="49"/>
      <c r="M5351" s="1498"/>
      <c r="N5351" s="49"/>
      <c r="O5351" s="644"/>
      <c r="P5351" s="644"/>
      <c r="Q5351" s="1290"/>
      <c r="R5351" s="644"/>
      <c r="S5351" s="48"/>
      <c r="T5351" s="1379"/>
      <c r="U5351" s="48"/>
      <c r="V5351" s="48"/>
    </row>
    <row r="5352" spans="7:22">
      <c r="G5352" s="48"/>
      <c r="H5352" s="48"/>
      <c r="I5352" s="48"/>
      <c r="J5352" s="49"/>
      <c r="K5352" s="1498"/>
      <c r="L5352" s="49"/>
      <c r="M5352" s="1498"/>
      <c r="N5352" s="49"/>
      <c r="O5352" s="644"/>
      <c r="P5352" s="644"/>
      <c r="Q5352" s="1290"/>
      <c r="R5352" s="644"/>
      <c r="S5352" s="48"/>
      <c r="T5352" s="1379"/>
      <c r="U5352" s="48"/>
      <c r="V5352" s="48"/>
    </row>
    <row r="5353" spans="7:22">
      <c r="G5353" s="48"/>
      <c r="H5353" s="48"/>
      <c r="I5353" s="48"/>
      <c r="J5353" s="49"/>
      <c r="K5353" s="49"/>
      <c r="L5353" s="49"/>
      <c r="M5353" s="1498"/>
      <c r="N5353" s="49"/>
      <c r="O5353" s="644"/>
      <c r="P5353" s="644"/>
      <c r="Q5353" s="1290"/>
      <c r="R5353" s="644"/>
      <c r="S5353" s="48"/>
      <c r="T5353" s="1379"/>
      <c r="U5353" s="48"/>
      <c r="V5353" s="48"/>
    </row>
    <row r="5354" spans="7:22">
      <c r="G5354" s="48"/>
      <c r="H5354" s="48"/>
      <c r="I5354" s="48"/>
      <c r="J5354" s="954">
        <f>SUM(J5331:J5353)</f>
        <v>461190000</v>
      </c>
      <c r="K5354" s="954"/>
      <c r="L5354" s="954">
        <f>SUM(L5331:L5353)</f>
        <v>597960000</v>
      </c>
      <c r="M5354" s="1498"/>
      <c r="N5354" s="954">
        <f>SUM(N5331:N5353)</f>
        <v>1151200000</v>
      </c>
      <c r="O5354" s="644"/>
      <c r="P5354" s="969">
        <f>SUM(P5331:P5338)</f>
        <v>17000000</v>
      </c>
      <c r="Q5354" s="969"/>
      <c r="R5354" s="969">
        <f>SUM(R5331:R5353)</f>
        <v>0</v>
      </c>
      <c r="S5354" s="48"/>
      <c r="T5354" s="1178">
        <f>SUM(T5331:T5353)</f>
        <v>101100</v>
      </c>
      <c r="U5354" s="48"/>
      <c r="V5354" s="878">
        <f>SUM(V5331:V5353)</f>
        <v>3600</v>
      </c>
    </row>
    <row r="5355" spans="7:22">
      <c r="T5355" s="1378"/>
    </row>
    <row r="5356" spans="7:22">
      <c r="T5356" s="1378"/>
    </row>
    <row r="5357" spans="7:22">
      <c r="R5357" s="661"/>
      <c r="T5357" s="1378"/>
    </row>
    <row r="5358" spans="7:22">
      <c r="T5358" s="1378"/>
    </row>
    <row r="5359" spans="7:22">
      <c r="T5359" s="1378"/>
    </row>
    <row r="5360" spans="7:22">
      <c r="I5360" s="946"/>
      <c r="M5360" s="1533" t="s">
        <v>3699</v>
      </c>
      <c r="O5360" s="1535" t="s">
        <v>3741</v>
      </c>
      <c r="P5360" s="1512">
        <f>P5354-R5354</f>
        <v>17000000</v>
      </c>
      <c r="S5360" s="906" t="s">
        <v>4049</v>
      </c>
      <c r="T5360" s="1107">
        <f>T5354-V5354</f>
        <v>97500</v>
      </c>
    </row>
    <row r="5361" spans="7:22">
      <c r="G5361" s="1574" t="s">
        <v>3530</v>
      </c>
      <c r="H5361" s="1574"/>
      <c r="I5361" s="1574"/>
      <c r="J5361" s="3">
        <f>J5354+L5354</f>
        <v>1059150000</v>
      </c>
      <c r="K5361" s="1009"/>
      <c r="L5361" s="3"/>
      <c r="M5361" s="1533" t="s">
        <v>3664</v>
      </c>
      <c r="N5361" s="1527"/>
      <c r="O5361" s="1535" t="s">
        <v>4066</v>
      </c>
      <c r="P5361" s="1512"/>
      <c r="T5361" s="1378"/>
    </row>
    <row r="5362" spans="7:22">
      <c r="G5362" s="1574" t="s">
        <v>3512</v>
      </c>
      <c r="H5362" s="1574"/>
      <c r="I5362" s="1574"/>
      <c r="J5362" s="3">
        <f>N5354-J5361</f>
        <v>92050000</v>
      </c>
      <c r="K5362" s="1009"/>
      <c r="L5362" s="3"/>
      <c r="M5362" s="1528"/>
      <c r="O5362" s="1529"/>
      <c r="Q5362" s="661"/>
      <c r="T5362" s="1378"/>
    </row>
    <row r="5363" spans="7:22">
      <c r="G5363" s="1574" t="s">
        <v>3531</v>
      </c>
      <c r="H5363" s="1574"/>
      <c r="I5363" s="1574"/>
      <c r="J5363" s="3">
        <f>T5360</f>
        <v>97500</v>
      </c>
      <c r="Q5363" s="3"/>
      <c r="T5363" s="1378"/>
    </row>
    <row r="5364" spans="7:22">
      <c r="G5364" s="1564" t="s">
        <v>4455</v>
      </c>
      <c r="H5364" s="1564"/>
      <c r="I5364" s="1564"/>
      <c r="J5364" s="3">
        <f>+P5360</f>
        <v>17000000</v>
      </c>
      <c r="R5364" s="3"/>
      <c r="T5364" s="1378"/>
    </row>
    <row r="5365" spans="7:22">
      <c r="T5365" s="1378"/>
    </row>
    <row r="5366" spans="7:22">
      <c r="T5366" s="1378"/>
    </row>
    <row r="5367" spans="7:22">
      <c r="T5367" s="1378"/>
    </row>
    <row r="5368" spans="7:22">
      <c r="G5368" s="1008">
        <v>46112</v>
      </c>
      <c r="H5368" s="1169"/>
      <c r="I5368" s="1575" t="s">
        <v>3510</v>
      </c>
      <c r="J5368" s="1576"/>
      <c r="K5368" s="1575" t="s">
        <v>3509</v>
      </c>
      <c r="L5368" s="1576"/>
      <c r="M5368" s="1575" t="s">
        <v>3541</v>
      </c>
      <c r="N5368" s="1576"/>
      <c r="O5368" s="1577" t="s">
        <v>3598</v>
      </c>
      <c r="P5368" s="1578"/>
      <c r="Q5368" s="1579" t="s">
        <v>3599</v>
      </c>
      <c r="R5368" s="1580"/>
      <c r="S5368" s="1583" t="s">
        <v>3953</v>
      </c>
      <c r="T5368" s="1583"/>
      <c r="U5368" s="1583" t="s">
        <v>3954</v>
      </c>
      <c r="V5368" s="1583"/>
    </row>
    <row r="5369" spans="7:22">
      <c r="G5369" s="1097"/>
      <c r="H5369" s="1261"/>
      <c r="I5369" s="1391" t="s">
        <v>5120</v>
      </c>
      <c r="J5369" s="1081">
        <v>8300000</v>
      </c>
      <c r="K5369" s="1493" t="s">
        <v>4447</v>
      </c>
      <c r="L5369" s="1081">
        <v>600000</v>
      </c>
      <c r="M5369" s="1495" t="s">
        <v>4613</v>
      </c>
      <c r="N5369" s="1495">
        <v>91600000</v>
      </c>
      <c r="O5369" s="1383"/>
      <c r="P5369" s="644"/>
      <c r="Q5369" s="1279"/>
      <c r="R5369" s="644"/>
      <c r="S5369" s="1223"/>
      <c r="T5369" s="1191"/>
      <c r="U5369" s="1232"/>
      <c r="V5369" s="48"/>
    </row>
    <row r="5370" spans="7:22">
      <c r="G5370" s="1098"/>
      <c r="H5370" s="1172"/>
      <c r="I5370" s="1391" t="s">
        <v>5121</v>
      </c>
      <c r="J5370" s="1081">
        <v>91000000</v>
      </c>
      <c r="K5370" s="1493" t="s">
        <v>4747</v>
      </c>
      <c r="L5370" s="1081">
        <v>5000000</v>
      </c>
      <c r="M5370" s="1495" t="s">
        <v>5119</v>
      </c>
      <c r="N5370" s="49">
        <v>30000000</v>
      </c>
      <c r="O5370" s="1383" t="s">
        <v>4712</v>
      </c>
      <c r="P5370" s="644"/>
      <c r="Q5370" s="1290"/>
      <c r="R5370" s="1290"/>
      <c r="S5370" s="1389" t="s">
        <v>4613</v>
      </c>
      <c r="T5370" s="1191">
        <v>97400</v>
      </c>
      <c r="U5370" s="48"/>
      <c r="V5370" s="49"/>
    </row>
    <row r="5371" spans="7:22">
      <c r="G5371" s="48"/>
      <c r="H5371" s="48"/>
      <c r="I5371" s="1392" t="s">
        <v>4949</v>
      </c>
      <c r="J5371" s="1081">
        <v>30000000</v>
      </c>
      <c r="K5371" s="1493" t="s">
        <v>859</v>
      </c>
      <c r="L5371" s="1081">
        <v>3300000</v>
      </c>
      <c r="M5371" s="1495" t="s">
        <v>5101</v>
      </c>
      <c r="N5371" s="49">
        <v>500000000</v>
      </c>
      <c r="O5371" s="1495"/>
      <c r="P5371" s="644"/>
      <c r="Q5371" s="1376"/>
      <c r="R5371" s="644"/>
      <c r="S5371" s="1389" t="s">
        <v>4463</v>
      </c>
      <c r="T5371" s="1191">
        <v>1000</v>
      </c>
      <c r="U5371" s="1395" t="s">
        <v>5118</v>
      </c>
      <c r="V5371" s="1191">
        <v>700</v>
      </c>
    </row>
    <row r="5372" spans="7:22">
      <c r="G5372" s="48"/>
      <c r="H5372" s="48"/>
      <c r="I5372" s="1392" t="s">
        <v>5123</v>
      </c>
      <c r="J5372" s="1393">
        <v>46000000</v>
      </c>
      <c r="K5372" s="1493" t="s">
        <v>4455</v>
      </c>
      <c r="L5372" s="1081">
        <v>10000000</v>
      </c>
      <c r="M5372" s="1493" t="s">
        <v>5128</v>
      </c>
      <c r="N5372" s="49">
        <v>30000000</v>
      </c>
      <c r="O5372" s="1383"/>
      <c r="P5372" s="644"/>
      <c r="Q5372" s="1376"/>
      <c r="R5372" s="644"/>
      <c r="S5372" s="1388" t="s">
        <v>5135</v>
      </c>
      <c r="T5372" s="1379">
        <v>500</v>
      </c>
      <c r="U5372" s="1390"/>
      <c r="V5372" s="1379"/>
    </row>
    <row r="5373" spans="7:22">
      <c r="G5373" s="48"/>
      <c r="H5373" s="48"/>
      <c r="I5373" s="1391" t="s">
        <v>5129</v>
      </c>
      <c r="J5373" s="1081">
        <v>92000000</v>
      </c>
      <c r="K5373" s="1493" t="s">
        <v>859</v>
      </c>
      <c r="L5373" s="1081">
        <v>1450000</v>
      </c>
      <c r="M5373" s="1495" t="s">
        <v>5135</v>
      </c>
      <c r="N5373" s="49">
        <v>20000000</v>
      </c>
      <c r="O5373" s="1383"/>
      <c r="P5373" s="644"/>
      <c r="Q5373" s="1384"/>
      <c r="R5373" s="644"/>
      <c r="S5373" s="1390"/>
      <c r="T5373" s="1379"/>
      <c r="U5373" s="48"/>
      <c r="V5373" s="49"/>
    </row>
    <row r="5374" spans="7:22">
      <c r="G5374" s="48"/>
      <c r="H5374" s="48"/>
      <c r="I5374" s="1392" t="s">
        <v>5130</v>
      </c>
      <c r="J5374" s="1081">
        <v>93000000</v>
      </c>
      <c r="K5374" s="1493" t="s">
        <v>5122</v>
      </c>
      <c r="L5374" s="1081">
        <v>2700000</v>
      </c>
      <c r="M5374" s="1495"/>
      <c r="N5374" s="49"/>
      <c r="O5374" s="1383"/>
      <c r="P5374" s="644"/>
      <c r="Q5374" s="1382"/>
      <c r="R5374" s="644"/>
      <c r="S5374" s="1358"/>
      <c r="T5374" s="1379"/>
      <c r="U5374" s="48"/>
      <c r="V5374" s="49"/>
    </row>
    <row r="5375" spans="7:22">
      <c r="G5375" s="48"/>
      <c r="H5375" s="48"/>
      <c r="I5375" s="1392" t="s">
        <v>5131</v>
      </c>
      <c r="J5375" s="1081">
        <v>37200000</v>
      </c>
      <c r="K5375" s="1493" t="s">
        <v>5124</v>
      </c>
      <c r="L5375" s="1081">
        <v>5000000</v>
      </c>
      <c r="M5375" s="1495"/>
      <c r="N5375" s="49"/>
      <c r="O5375" s="1383"/>
      <c r="P5375" s="644"/>
      <c r="Q5375" s="1383"/>
      <c r="R5375" s="644"/>
      <c r="S5375" s="48"/>
      <c r="T5375" s="1379"/>
      <c r="U5375" s="48"/>
      <c r="V5375" s="49"/>
    </row>
    <row r="5376" spans="7:22">
      <c r="G5376" s="48"/>
      <c r="H5376" s="48"/>
      <c r="I5376" s="1392" t="s">
        <v>5132</v>
      </c>
      <c r="J5376" s="1081">
        <v>31400000</v>
      </c>
      <c r="K5376" s="1536" t="s">
        <v>4517</v>
      </c>
      <c r="L5376" s="1081">
        <v>3000000</v>
      </c>
      <c r="M5376" s="1495"/>
      <c r="N5376" s="49"/>
      <c r="O5376" s="1383"/>
      <c r="P5376" s="644"/>
      <c r="Q5376" s="1385"/>
      <c r="R5376" s="644"/>
      <c r="S5376" s="48"/>
      <c r="T5376" s="1379"/>
      <c r="U5376" s="48"/>
      <c r="V5376" s="49"/>
    </row>
    <row r="5377" spans="7:22">
      <c r="G5377" s="48"/>
      <c r="H5377" s="48"/>
      <c r="I5377" s="1392" t="s">
        <v>5133</v>
      </c>
      <c r="J5377" s="1081">
        <v>46500000</v>
      </c>
      <c r="K5377" s="1493" t="s">
        <v>5125</v>
      </c>
      <c r="L5377" s="1081">
        <v>2000000</v>
      </c>
      <c r="M5377" s="1495"/>
      <c r="N5377" s="49"/>
      <c r="O5377" s="644"/>
      <c r="P5377" s="644"/>
      <c r="Q5377" s="1383"/>
      <c r="R5377" s="644"/>
      <c r="S5377" s="48"/>
      <c r="T5377" s="1379"/>
      <c r="U5377" s="48"/>
      <c r="V5377" s="49"/>
    </row>
    <row r="5378" spans="7:22">
      <c r="G5378" s="48"/>
      <c r="H5378" s="48"/>
      <c r="I5378" s="1392" t="s">
        <v>5134</v>
      </c>
      <c r="J5378" s="1081">
        <v>37200000</v>
      </c>
      <c r="K5378" s="1509" t="s">
        <v>4551</v>
      </c>
      <c r="L5378" s="1081">
        <v>600000</v>
      </c>
      <c r="M5378" s="1498"/>
      <c r="N5378" s="49"/>
      <c r="O5378" s="644"/>
      <c r="P5378" s="644"/>
      <c r="Q5378" s="1290"/>
      <c r="R5378" s="644"/>
      <c r="S5378" s="48"/>
      <c r="T5378" s="1379"/>
      <c r="U5378" s="48"/>
      <c r="V5378" s="49"/>
    </row>
    <row r="5379" spans="7:22">
      <c r="G5379" s="48"/>
      <c r="H5379" s="48"/>
      <c r="I5379" s="1394"/>
      <c r="J5379" s="1081"/>
      <c r="K5379" s="1493" t="s">
        <v>4619</v>
      </c>
      <c r="L5379" s="1081">
        <v>4000000</v>
      </c>
      <c r="M5379" s="1498"/>
      <c r="N5379" s="49"/>
      <c r="O5379" s="644"/>
      <c r="P5379" s="644"/>
      <c r="Q5379" s="1383"/>
      <c r="R5379" s="644"/>
      <c r="S5379" s="48"/>
      <c r="T5379" s="1379"/>
      <c r="U5379" s="48"/>
      <c r="V5379" s="48"/>
    </row>
    <row r="5380" spans="7:22">
      <c r="G5380" s="48"/>
      <c r="H5380" s="48"/>
      <c r="I5380" s="1394"/>
      <c r="J5380" s="1081"/>
      <c r="K5380" s="1509" t="s">
        <v>5126</v>
      </c>
      <c r="L5380" s="1081">
        <v>2000000</v>
      </c>
      <c r="M5380" s="1498"/>
      <c r="N5380" s="49"/>
      <c r="O5380" s="644"/>
      <c r="P5380" s="644"/>
      <c r="Q5380" s="1290"/>
      <c r="R5380" s="644"/>
      <c r="S5380" s="48"/>
      <c r="T5380" s="1379"/>
      <c r="U5380" s="48"/>
      <c r="V5380" s="48"/>
    </row>
    <row r="5381" spans="7:22">
      <c r="G5381" s="48"/>
      <c r="H5381" s="48"/>
      <c r="I5381" s="1394"/>
      <c r="J5381" s="1081"/>
      <c r="K5381" s="1509" t="s">
        <v>5127</v>
      </c>
      <c r="L5381" s="1081">
        <v>3000000</v>
      </c>
      <c r="M5381" s="1498"/>
      <c r="N5381" s="49"/>
      <c r="O5381" s="644"/>
      <c r="P5381" s="644"/>
      <c r="Q5381" s="1290"/>
      <c r="R5381" s="644"/>
      <c r="S5381" s="48"/>
      <c r="T5381" s="1379"/>
      <c r="U5381" s="48"/>
      <c r="V5381" s="48"/>
    </row>
    <row r="5382" spans="7:22">
      <c r="G5382" s="48"/>
      <c r="H5382" s="48"/>
      <c r="I5382" s="1382"/>
      <c r="J5382" s="49"/>
      <c r="K5382" s="1498" t="s">
        <v>4647</v>
      </c>
      <c r="L5382" s="49">
        <v>4000000</v>
      </c>
      <c r="M5382" s="1498"/>
      <c r="N5382" s="49"/>
      <c r="O5382" s="644"/>
      <c r="P5382" s="644"/>
      <c r="Q5382" s="1290"/>
      <c r="R5382" s="644"/>
      <c r="S5382" s="48"/>
      <c r="T5382" s="1379"/>
      <c r="U5382" s="48"/>
      <c r="V5382" s="48"/>
    </row>
    <row r="5383" spans="7:22">
      <c r="G5383" s="48"/>
      <c r="H5383" s="48"/>
      <c r="I5383" s="1382"/>
      <c r="J5383" s="49"/>
      <c r="K5383" s="1498" t="s">
        <v>5136</v>
      </c>
      <c r="L5383" s="49">
        <v>4500000</v>
      </c>
      <c r="M5383" s="1498"/>
      <c r="N5383" s="49"/>
      <c r="O5383" s="644"/>
      <c r="P5383" s="644"/>
      <c r="Q5383" s="1290"/>
      <c r="R5383" s="644"/>
      <c r="S5383" s="48"/>
      <c r="T5383" s="1379"/>
      <c r="U5383" s="48"/>
      <c r="V5383" s="48"/>
    </row>
    <row r="5384" spans="7:22">
      <c r="G5384" s="48"/>
      <c r="H5384" s="48"/>
      <c r="I5384" s="1382"/>
      <c r="J5384" s="49"/>
      <c r="K5384" s="1498" t="s">
        <v>4646</v>
      </c>
      <c r="L5384" s="49">
        <v>4000000</v>
      </c>
      <c r="M5384" s="1498"/>
      <c r="N5384" s="49"/>
      <c r="O5384" s="644"/>
      <c r="P5384" s="644"/>
      <c r="Q5384" s="1290"/>
      <c r="R5384" s="644"/>
      <c r="S5384" s="48"/>
      <c r="T5384" s="1379"/>
      <c r="U5384" s="48"/>
      <c r="V5384" s="48"/>
    </row>
    <row r="5385" spans="7:22">
      <c r="G5385" s="48"/>
      <c r="H5385" s="48"/>
      <c r="I5385" s="48"/>
      <c r="J5385" s="49"/>
      <c r="K5385" s="1498"/>
      <c r="L5385" s="49"/>
      <c r="M5385" s="1498"/>
      <c r="N5385" s="49"/>
      <c r="O5385" s="644"/>
      <c r="P5385" s="644"/>
      <c r="Q5385" s="1290"/>
      <c r="R5385" s="644"/>
      <c r="S5385" s="48"/>
      <c r="T5385" s="1379"/>
      <c r="U5385" s="48"/>
      <c r="V5385" s="48"/>
    </row>
    <row r="5386" spans="7:22">
      <c r="G5386" s="48"/>
      <c r="H5386" s="48"/>
      <c r="I5386" s="48"/>
      <c r="J5386" s="49"/>
      <c r="K5386" s="1498"/>
      <c r="L5386" s="49"/>
      <c r="M5386" s="1498"/>
      <c r="N5386" s="49"/>
      <c r="O5386" s="644"/>
      <c r="P5386" s="644"/>
      <c r="Q5386" s="1290"/>
      <c r="R5386" s="644"/>
      <c r="S5386" s="48"/>
      <c r="T5386" s="1379"/>
      <c r="U5386" s="48"/>
      <c r="V5386" s="48"/>
    </row>
    <row r="5387" spans="7:22">
      <c r="G5387" s="48"/>
      <c r="H5387" s="48"/>
      <c r="I5387" s="48"/>
      <c r="J5387" s="49"/>
      <c r="K5387" s="1498"/>
      <c r="L5387" s="49"/>
      <c r="M5387" s="1498"/>
      <c r="N5387" s="49"/>
      <c r="O5387" s="644"/>
      <c r="P5387" s="644"/>
      <c r="Q5387" s="1290"/>
      <c r="R5387" s="644"/>
      <c r="S5387" s="48"/>
      <c r="T5387" s="1379"/>
      <c r="U5387" s="48"/>
      <c r="V5387" s="48"/>
    </row>
    <row r="5388" spans="7:22">
      <c r="G5388" s="48"/>
      <c r="H5388" s="48"/>
      <c r="I5388" s="48"/>
      <c r="J5388" s="49"/>
      <c r="K5388" s="1498"/>
      <c r="L5388" s="49"/>
      <c r="M5388" s="1498"/>
      <c r="N5388" s="49"/>
      <c r="O5388" s="644"/>
      <c r="P5388" s="644"/>
      <c r="Q5388" s="1290"/>
      <c r="R5388" s="644"/>
      <c r="S5388" s="48"/>
      <c r="T5388" s="1379"/>
      <c r="U5388" s="48"/>
      <c r="V5388" s="48"/>
    </row>
    <row r="5389" spans="7:22">
      <c r="G5389" s="48"/>
      <c r="H5389" s="48"/>
      <c r="I5389" s="48"/>
      <c r="J5389" s="49"/>
      <c r="K5389" s="1498"/>
      <c r="L5389" s="49"/>
      <c r="M5389" s="1498"/>
      <c r="N5389" s="49"/>
      <c r="O5389" s="644"/>
      <c r="P5389" s="644"/>
      <c r="Q5389" s="1290"/>
      <c r="R5389" s="644"/>
      <c r="S5389" s="48"/>
      <c r="T5389" s="1379"/>
      <c r="U5389" s="48"/>
      <c r="V5389" s="48"/>
    </row>
    <row r="5390" spans="7:22">
      <c r="G5390" s="48"/>
      <c r="H5390" s="48"/>
      <c r="I5390" s="48"/>
      <c r="J5390" s="49"/>
      <c r="K5390" s="1498"/>
      <c r="L5390" s="49"/>
      <c r="M5390" s="1498"/>
      <c r="N5390" s="49"/>
      <c r="O5390" s="644"/>
      <c r="P5390" s="644"/>
      <c r="Q5390" s="1290"/>
      <c r="R5390" s="644"/>
      <c r="S5390" s="48"/>
      <c r="T5390" s="1379"/>
      <c r="U5390" s="48"/>
      <c r="V5390" s="48"/>
    </row>
    <row r="5391" spans="7:22">
      <c r="G5391" s="48"/>
      <c r="H5391" s="48"/>
      <c r="I5391" s="48"/>
      <c r="J5391" s="49"/>
      <c r="K5391" s="49"/>
      <c r="L5391" s="49"/>
      <c r="M5391" s="1498"/>
      <c r="N5391" s="49"/>
      <c r="O5391" s="644"/>
      <c r="P5391" s="644"/>
      <c r="Q5391" s="1290"/>
      <c r="R5391" s="644"/>
      <c r="S5391" s="48"/>
      <c r="T5391" s="1379"/>
      <c r="U5391" s="48"/>
      <c r="V5391" s="48"/>
    </row>
    <row r="5392" spans="7:22">
      <c r="G5392" s="48"/>
      <c r="H5392" s="48"/>
      <c r="I5392" s="48"/>
      <c r="J5392" s="954">
        <f>SUM(J5369:J5391)</f>
        <v>512600000</v>
      </c>
      <c r="K5392" s="954"/>
      <c r="L5392" s="954">
        <f>SUM(L5369:L5391)</f>
        <v>55150000</v>
      </c>
      <c r="M5392" s="1498"/>
      <c r="N5392" s="954">
        <f>SUM(N5369:N5391)</f>
        <v>671600000</v>
      </c>
      <c r="O5392" s="644"/>
      <c r="P5392" s="969">
        <f>SUM(P5369:P5376)</f>
        <v>0</v>
      </c>
      <c r="Q5392" s="969"/>
      <c r="R5392" s="969">
        <f>SUM(R5369:R5391)</f>
        <v>0</v>
      </c>
      <c r="S5392" s="48"/>
      <c r="T5392" s="1178">
        <f>SUM(T5369:T5391)</f>
        <v>98900</v>
      </c>
      <c r="U5392" s="48"/>
      <c r="V5392" s="878">
        <f>SUM(V5369:V5391)</f>
        <v>700</v>
      </c>
    </row>
    <row r="5393" spans="7:22">
      <c r="T5393" s="1378"/>
    </row>
    <row r="5394" spans="7:22">
      <c r="T5394" s="1378"/>
    </row>
    <row r="5395" spans="7:22">
      <c r="R5395" s="661"/>
      <c r="T5395" s="1378"/>
    </row>
    <row r="5396" spans="7:22">
      <c r="T5396" s="1378"/>
    </row>
    <row r="5397" spans="7:22">
      <c r="T5397" s="1378"/>
    </row>
    <row r="5398" spans="7:22">
      <c r="I5398" s="946"/>
      <c r="M5398" s="1533" t="s">
        <v>3699</v>
      </c>
      <c r="O5398" s="1535" t="s">
        <v>3741</v>
      </c>
      <c r="P5398" s="1512">
        <f>P5392-R5392</f>
        <v>0</v>
      </c>
      <c r="S5398" s="906" t="s">
        <v>4049</v>
      </c>
      <c r="T5398" s="1107">
        <f>T5392-V5392</f>
        <v>98200</v>
      </c>
    </row>
    <row r="5399" spans="7:22">
      <c r="G5399" s="1574" t="s">
        <v>3530</v>
      </c>
      <c r="H5399" s="1574"/>
      <c r="I5399" s="1574"/>
      <c r="J5399" s="3">
        <f>J5392+L5392</f>
        <v>567750000</v>
      </c>
      <c r="K5399" s="1009"/>
      <c r="L5399" s="3"/>
      <c r="M5399" s="1533" t="s">
        <v>3664</v>
      </c>
      <c r="N5399" s="1527"/>
      <c r="O5399" s="1535" t="s">
        <v>4066</v>
      </c>
      <c r="P5399" s="1512"/>
      <c r="T5399" s="1378"/>
    </row>
    <row r="5400" spans="7:22">
      <c r="G5400" s="1574" t="s">
        <v>3512</v>
      </c>
      <c r="H5400" s="1574"/>
      <c r="I5400" s="1574"/>
      <c r="J5400" s="3">
        <f>N5392-J5399</f>
        <v>103850000</v>
      </c>
      <c r="K5400" s="1009"/>
      <c r="L5400" s="3"/>
      <c r="M5400" s="1528"/>
      <c r="O5400" s="1529"/>
      <c r="Q5400" s="661"/>
      <c r="T5400" s="1378"/>
    </row>
    <row r="5401" spans="7:22">
      <c r="G5401" s="1574" t="s">
        <v>3531</v>
      </c>
      <c r="H5401" s="1574"/>
      <c r="I5401" s="1574"/>
      <c r="J5401" s="3">
        <f>T5398</f>
        <v>98200</v>
      </c>
      <c r="Q5401" s="3"/>
      <c r="T5401" s="1378"/>
    </row>
    <row r="5402" spans="7:22">
      <c r="G5402" s="1564" t="s">
        <v>4455</v>
      </c>
      <c r="H5402" s="1564"/>
      <c r="I5402" s="1564"/>
      <c r="J5402" s="3">
        <f>+P5398</f>
        <v>0</v>
      </c>
      <c r="R5402" s="3"/>
      <c r="T5402" s="1378"/>
    </row>
    <row r="5404" spans="7:22">
      <c r="T5404" s="1378"/>
    </row>
    <row r="5405" spans="7:22">
      <c r="G5405" s="1008">
        <v>46113</v>
      </c>
      <c r="H5405" s="1169"/>
      <c r="I5405" s="1575" t="s">
        <v>3510</v>
      </c>
      <c r="J5405" s="1576"/>
      <c r="K5405" s="1575" t="s">
        <v>3509</v>
      </c>
      <c r="L5405" s="1576"/>
      <c r="M5405" s="1575" t="s">
        <v>3541</v>
      </c>
      <c r="N5405" s="1576"/>
      <c r="O5405" s="1577" t="s">
        <v>3598</v>
      </c>
      <c r="P5405" s="1578"/>
      <c r="Q5405" s="1579" t="s">
        <v>3599</v>
      </c>
      <c r="R5405" s="1580"/>
      <c r="S5405" s="1583" t="s">
        <v>3953</v>
      </c>
      <c r="T5405" s="1583"/>
      <c r="U5405" s="1583" t="s">
        <v>3954</v>
      </c>
      <c r="V5405" s="1583"/>
    </row>
    <row r="5406" spans="7:22">
      <c r="G5406" s="1097"/>
      <c r="H5406" s="1261"/>
      <c r="I5406" s="1398" t="s">
        <v>810</v>
      </c>
      <c r="J5406" s="1081">
        <v>33150000</v>
      </c>
      <c r="K5406" s="1493" t="s">
        <v>4507</v>
      </c>
      <c r="L5406" s="1081">
        <v>10000000</v>
      </c>
      <c r="M5406" s="1495" t="s">
        <v>4613</v>
      </c>
      <c r="N5406" s="1495">
        <v>95000000</v>
      </c>
      <c r="O5406" s="1383"/>
      <c r="P5406" s="644"/>
      <c r="Q5406" s="1279"/>
      <c r="R5406" s="644"/>
      <c r="S5406" s="1223"/>
      <c r="T5406" s="1191"/>
      <c r="U5406" s="1232"/>
      <c r="V5406" s="48"/>
    </row>
    <row r="5407" spans="7:22">
      <c r="G5407" s="1098"/>
      <c r="H5407" s="1172"/>
      <c r="I5407" s="1398" t="s">
        <v>5137</v>
      </c>
      <c r="J5407" s="1081">
        <v>23000000</v>
      </c>
      <c r="K5407" s="1493" t="s">
        <v>4876</v>
      </c>
      <c r="L5407" s="1081">
        <v>200000</v>
      </c>
      <c r="M5407" s="1495" t="s">
        <v>5139</v>
      </c>
      <c r="N5407" s="49">
        <v>1000000</v>
      </c>
      <c r="O5407" s="1383" t="s">
        <v>4712</v>
      </c>
      <c r="P5407" s="644"/>
      <c r="Q5407" s="1290"/>
      <c r="R5407" s="1290"/>
      <c r="S5407" s="1389" t="s">
        <v>4613</v>
      </c>
      <c r="T5407" s="1191">
        <v>98300</v>
      </c>
      <c r="U5407" s="48" t="s">
        <v>4788</v>
      </c>
      <c r="V5407" s="49">
        <v>12600</v>
      </c>
    </row>
    <row r="5408" spans="7:22">
      <c r="G5408" s="48"/>
      <c r="H5408" s="48"/>
      <c r="I5408" s="1400" t="s">
        <v>5138</v>
      </c>
      <c r="J5408" s="1081">
        <v>1425000</v>
      </c>
      <c r="K5408" s="1493" t="s">
        <v>4411</v>
      </c>
      <c r="L5408" s="1081">
        <v>6500000</v>
      </c>
      <c r="M5408" s="1495" t="s">
        <v>4518</v>
      </c>
      <c r="N5408" s="49">
        <v>8000000</v>
      </c>
      <c r="O5408" s="1495"/>
      <c r="P5408" s="644"/>
      <c r="Q5408" s="1399" t="s">
        <v>4551</v>
      </c>
      <c r="R5408" s="644">
        <v>2200000</v>
      </c>
      <c r="S5408" s="1389"/>
      <c r="T5408" s="1191"/>
      <c r="U5408" s="48" t="s">
        <v>4788</v>
      </c>
      <c r="V5408" s="1191">
        <v>2600</v>
      </c>
    </row>
    <row r="5409" spans="7:22">
      <c r="G5409" s="48"/>
      <c r="H5409" s="48"/>
      <c r="I5409" s="1392"/>
      <c r="J5409" s="1393"/>
      <c r="K5409" s="1493" t="s">
        <v>5141</v>
      </c>
      <c r="L5409" s="1081">
        <v>3500000</v>
      </c>
      <c r="M5409" s="1493" t="s">
        <v>5140</v>
      </c>
      <c r="N5409" s="49">
        <v>16000000</v>
      </c>
      <c r="O5409" s="1383"/>
      <c r="P5409" s="644"/>
      <c r="Q5409" s="1376"/>
      <c r="R5409" s="644"/>
      <c r="S5409" s="1388"/>
      <c r="T5409" s="1379"/>
      <c r="U5409" s="1390"/>
      <c r="V5409" s="1379"/>
    </row>
    <row r="5410" spans="7:22">
      <c r="G5410" s="48"/>
      <c r="H5410" s="48"/>
      <c r="I5410" s="1391"/>
      <c r="J5410" s="1081"/>
      <c r="K5410" s="1493"/>
      <c r="L5410" s="1081"/>
      <c r="M5410" s="1495"/>
      <c r="N5410" s="49"/>
      <c r="O5410" s="1383"/>
      <c r="P5410" s="644"/>
      <c r="Q5410" s="1384"/>
      <c r="R5410" s="644"/>
      <c r="S5410" s="1390"/>
      <c r="T5410" s="1379"/>
      <c r="U5410" s="48"/>
      <c r="V5410" s="49"/>
    </row>
    <row r="5411" spans="7:22">
      <c r="G5411" s="48"/>
      <c r="H5411" s="48"/>
      <c r="I5411" s="1392"/>
      <c r="J5411" s="1081"/>
      <c r="K5411" s="1493"/>
      <c r="L5411" s="1081"/>
      <c r="M5411" s="1495"/>
      <c r="N5411" s="49"/>
      <c r="O5411" s="1383"/>
      <c r="P5411" s="644"/>
      <c r="Q5411" s="1382"/>
      <c r="R5411" s="644"/>
      <c r="S5411" s="1358"/>
      <c r="T5411" s="1379"/>
      <c r="U5411" s="48"/>
      <c r="V5411" s="49"/>
    </row>
    <row r="5412" spans="7:22">
      <c r="G5412" s="48"/>
      <c r="H5412" s="48"/>
      <c r="I5412" s="1392"/>
      <c r="J5412" s="1081"/>
      <c r="K5412" s="1493"/>
      <c r="L5412" s="1081"/>
      <c r="M5412" s="1495"/>
      <c r="N5412" s="49"/>
      <c r="O5412" s="1383"/>
      <c r="P5412" s="644"/>
      <c r="Q5412" s="1383"/>
      <c r="R5412" s="644"/>
      <c r="S5412" s="48"/>
      <c r="T5412" s="1379"/>
      <c r="U5412" s="48"/>
      <c r="V5412" s="49"/>
    </row>
    <row r="5413" spans="7:22">
      <c r="G5413" s="48"/>
      <c r="H5413" s="48"/>
      <c r="I5413" s="1392"/>
      <c r="J5413" s="1081"/>
      <c r="K5413" s="1536"/>
      <c r="L5413" s="1081"/>
      <c r="M5413" s="1495"/>
      <c r="N5413" s="49"/>
      <c r="O5413" s="1383"/>
      <c r="P5413" s="644"/>
      <c r="Q5413" s="1385"/>
      <c r="R5413" s="644"/>
      <c r="S5413" s="48"/>
      <c r="T5413" s="1379"/>
      <c r="U5413" s="48"/>
      <c r="V5413" s="49"/>
    </row>
    <row r="5414" spans="7:22">
      <c r="G5414" s="48"/>
      <c r="H5414" s="48"/>
      <c r="I5414" s="1392"/>
      <c r="J5414" s="1081"/>
      <c r="K5414" s="1493"/>
      <c r="L5414" s="1081"/>
      <c r="M5414" s="1495"/>
      <c r="N5414" s="49"/>
      <c r="O5414" s="644"/>
      <c r="P5414" s="644"/>
      <c r="Q5414" s="1383"/>
      <c r="R5414" s="644"/>
      <c r="S5414" s="48"/>
      <c r="T5414" s="1379"/>
      <c r="U5414" s="48"/>
      <c r="V5414" s="49"/>
    </row>
    <row r="5415" spans="7:22">
      <c r="G5415" s="48"/>
      <c r="H5415" s="48"/>
      <c r="I5415" s="1392"/>
      <c r="J5415" s="1081"/>
      <c r="K5415" s="1509"/>
      <c r="L5415" s="1081"/>
      <c r="M5415" s="1498"/>
      <c r="N5415" s="49"/>
      <c r="O5415" s="644"/>
      <c r="P5415" s="644"/>
      <c r="Q5415" s="1290"/>
      <c r="R5415" s="644"/>
      <c r="S5415" s="48"/>
      <c r="T5415" s="1379"/>
      <c r="U5415" s="48"/>
      <c r="V5415" s="49"/>
    </row>
    <row r="5416" spans="7:22">
      <c r="G5416" s="48"/>
      <c r="H5416" s="48"/>
      <c r="I5416" s="1394"/>
      <c r="J5416" s="1081"/>
      <c r="K5416" s="1493"/>
      <c r="L5416" s="1081"/>
      <c r="M5416" s="1498"/>
      <c r="N5416" s="49"/>
      <c r="O5416" s="644"/>
      <c r="P5416" s="644"/>
      <c r="Q5416" s="1383"/>
      <c r="R5416" s="644"/>
      <c r="S5416" s="48"/>
      <c r="T5416" s="1379"/>
      <c r="U5416" s="48"/>
      <c r="V5416" s="48"/>
    </row>
    <row r="5417" spans="7:22">
      <c r="G5417" s="48"/>
      <c r="H5417" s="48"/>
      <c r="I5417" s="1394"/>
      <c r="J5417" s="1081"/>
      <c r="K5417" s="1509"/>
      <c r="L5417" s="1081"/>
      <c r="M5417" s="1498"/>
      <c r="N5417" s="49"/>
      <c r="O5417" s="644"/>
      <c r="P5417" s="644"/>
      <c r="Q5417" s="1290"/>
      <c r="R5417" s="644"/>
      <c r="S5417" s="48"/>
      <c r="T5417" s="1379"/>
      <c r="U5417" s="48"/>
      <c r="V5417" s="48"/>
    </row>
    <row r="5418" spans="7:22">
      <c r="G5418" s="48"/>
      <c r="H5418" s="48"/>
      <c r="I5418" s="1394"/>
      <c r="J5418" s="1081"/>
      <c r="K5418" s="1509"/>
      <c r="L5418" s="1081"/>
      <c r="M5418" s="1498"/>
      <c r="N5418" s="49"/>
      <c r="O5418" s="644"/>
      <c r="P5418" s="644"/>
      <c r="Q5418" s="1290"/>
      <c r="R5418" s="644"/>
      <c r="S5418" s="48"/>
      <c r="T5418" s="1379"/>
      <c r="U5418" s="48"/>
      <c r="V5418" s="48"/>
    </row>
    <row r="5419" spans="7:22">
      <c r="G5419" s="48"/>
      <c r="H5419" s="48"/>
      <c r="I5419" s="1382"/>
      <c r="J5419" s="49"/>
      <c r="K5419" s="1498"/>
      <c r="L5419" s="49"/>
      <c r="M5419" s="1498"/>
      <c r="N5419" s="49"/>
      <c r="O5419" s="644"/>
      <c r="P5419" s="644"/>
      <c r="Q5419" s="1290"/>
      <c r="R5419" s="644"/>
      <c r="S5419" s="48"/>
      <c r="T5419" s="1379"/>
      <c r="U5419" s="48"/>
      <c r="V5419" s="48"/>
    </row>
    <row r="5420" spans="7:22">
      <c r="G5420" s="48"/>
      <c r="H5420" s="48"/>
      <c r="I5420" s="1382"/>
      <c r="J5420" s="49"/>
      <c r="K5420" s="1498"/>
      <c r="L5420" s="49"/>
      <c r="M5420" s="1498"/>
      <c r="N5420" s="49"/>
      <c r="O5420" s="644"/>
      <c r="P5420" s="644"/>
      <c r="Q5420" s="1290"/>
      <c r="R5420" s="644"/>
      <c r="S5420" s="48"/>
      <c r="T5420" s="1379"/>
      <c r="U5420" s="48"/>
      <c r="V5420" s="48"/>
    </row>
    <row r="5421" spans="7:22">
      <c r="G5421" s="48"/>
      <c r="H5421" s="48"/>
      <c r="I5421" s="1382"/>
      <c r="J5421" s="49"/>
      <c r="K5421" s="1498"/>
      <c r="L5421" s="49"/>
      <c r="M5421" s="1498"/>
      <c r="N5421" s="49"/>
      <c r="O5421" s="644"/>
      <c r="P5421" s="644"/>
      <c r="Q5421" s="1290"/>
      <c r="R5421" s="644"/>
      <c r="S5421" s="48"/>
      <c r="T5421" s="1379"/>
      <c r="U5421" s="48"/>
      <c r="V5421" s="48"/>
    </row>
    <row r="5422" spans="7:22">
      <c r="G5422" s="48"/>
      <c r="H5422" s="48"/>
      <c r="I5422" s="48"/>
      <c r="J5422" s="49"/>
      <c r="K5422" s="1498"/>
      <c r="L5422" s="49"/>
      <c r="M5422" s="1498"/>
      <c r="N5422" s="49"/>
      <c r="O5422" s="644"/>
      <c r="P5422" s="644"/>
      <c r="Q5422" s="1290"/>
      <c r="R5422" s="644"/>
      <c r="S5422" s="48"/>
      <c r="T5422" s="1379"/>
      <c r="U5422" s="48"/>
      <c r="V5422" s="48"/>
    </row>
    <row r="5423" spans="7:22">
      <c r="G5423" s="48"/>
      <c r="H5423" s="48"/>
      <c r="I5423" s="48"/>
      <c r="J5423" s="49"/>
      <c r="K5423" s="1498"/>
      <c r="L5423" s="49"/>
      <c r="M5423" s="1498"/>
      <c r="N5423" s="49"/>
      <c r="O5423" s="644"/>
      <c r="P5423" s="644"/>
      <c r="Q5423" s="1290"/>
      <c r="R5423" s="644"/>
      <c r="S5423" s="48"/>
      <c r="T5423" s="1379"/>
      <c r="U5423" s="48"/>
      <c r="V5423" s="48"/>
    </row>
    <row r="5424" spans="7:22">
      <c r="G5424" s="48"/>
      <c r="H5424" s="48"/>
      <c r="I5424" s="48"/>
      <c r="J5424" s="49"/>
      <c r="K5424" s="1498"/>
      <c r="L5424" s="49"/>
      <c r="M5424" s="1498"/>
      <c r="N5424" s="49"/>
      <c r="O5424" s="644"/>
      <c r="P5424" s="644"/>
      <c r="Q5424" s="1290"/>
      <c r="R5424" s="644"/>
      <c r="S5424" s="48"/>
      <c r="T5424" s="1379"/>
      <c r="U5424" s="48"/>
      <c r="V5424" s="48"/>
    </row>
    <row r="5425" spans="7:22">
      <c r="G5425" s="48"/>
      <c r="H5425" s="48"/>
      <c r="I5425" s="48"/>
      <c r="J5425" s="49"/>
      <c r="K5425" s="1498"/>
      <c r="L5425" s="49"/>
      <c r="M5425" s="1498"/>
      <c r="N5425" s="49"/>
      <c r="O5425" s="644"/>
      <c r="P5425" s="644"/>
      <c r="Q5425" s="1290"/>
      <c r="R5425" s="644"/>
      <c r="S5425" s="48"/>
      <c r="T5425" s="1379"/>
      <c r="U5425" s="48"/>
      <c r="V5425" s="48"/>
    </row>
    <row r="5426" spans="7:22">
      <c r="G5426" s="48"/>
      <c r="H5426" s="48"/>
      <c r="I5426" s="48"/>
      <c r="J5426" s="49"/>
      <c r="K5426" s="1498"/>
      <c r="L5426" s="49"/>
      <c r="M5426" s="1498"/>
      <c r="N5426" s="49"/>
      <c r="O5426" s="644"/>
      <c r="P5426" s="644"/>
      <c r="Q5426" s="1290"/>
      <c r="R5426" s="644"/>
      <c r="S5426" s="48"/>
      <c r="T5426" s="1379"/>
      <c r="U5426" s="48"/>
      <c r="V5426" s="48"/>
    </row>
    <row r="5427" spans="7:22">
      <c r="G5427" s="48"/>
      <c r="H5427" s="48"/>
      <c r="I5427" s="48"/>
      <c r="J5427" s="49"/>
      <c r="K5427" s="1498"/>
      <c r="L5427" s="49"/>
      <c r="M5427" s="1498"/>
      <c r="N5427" s="49"/>
      <c r="O5427" s="644"/>
      <c r="P5427" s="644"/>
      <c r="Q5427" s="1290"/>
      <c r="R5427" s="644"/>
      <c r="S5427" s="48"/>
      <c r="T5427" s="1379"/>
      <c r="U5427" s="48"/>
      <c r="V5427" s="48"/>
    </row>
    <row r="5428" spans="7:22">
      <c r="G5428" s="48"/>
      <c r="H5428" s="48"/>
      <c r="I5428" s="48"/>
      <c r="J5428" s="49"/>
      <c r="K5428" s="49"/>
      <c r="L5428" s="49"/>
      <c r="M5428" s="1498"/>
      <c r="N5428" s="49"/>
      <c r="O5428" s="644"/>
      <c r="P5428" s="644"/>
      <c r="Q5428" s="1290"/>
      <c r="R5428" s="644"/>
      <c r="S5428" s="48"/>
      <c r="T5428" s="1379"/>
      <c r="U5428" s="48"/>
      <c r="V5428" s="48"/>
    </row>
    <row r="5429" spans="7:22">
      <c r="G5429" s="48"/>
      <c r="H5429" s="48"/>
      <c r="I5429" s="48"/>
      <c r="J5429" s="954">
        <f>SUM(J5406:J5428)</f>
        <v>57575000</v>
      </c>
      <c r="K5429" s="954"/>
      <c r="L5429" s="954">
        <f>SUM(L5406:L5428)</f>
        <v>20200000</v>
      </c>
      <c r="M5429" s="1498"/>
      <c r="N5429" s="954">
        <f>SUM(N5406:N5428)</f>
        <v>120000000</v>
      </c>
      <c r="O5429" s="644"/>
      <c r="P5429" s="969">
        <f>SUM(P5406:P5413)</f>
        <v>0</v>
      </c>
      <c r="Q5429" s="969"/>
      <c r="R5429" s="969">
        <f>SUM(R5406:R5428)</f>
        <v>2200000</v>
      </c>
      <c r="S5429" s="48"/>
      <c r="T5429" s="1178">
        <f>SUM(T5406:T5428)</f>
        <v>98300</v>
      </c>
      <c r="U5429" s="48"/>
      <c r="V5429" s="878">
        <f>SUM(V5406:V5428)</f>
        <v>15200</v>
      </c>
    </row>
    <row r="5430" spans="7:22">
      <c r="T5430" s="1378"/>
    </row>
    <row r="5431" spans="7:22">
      <c r="T5431" s="1378"/>
    </row>
    <row r="5432" spans="7:22">
      <c r="R5432" s="661"/>
      <c r="T5432" s="1378"/>
    </row>
    <row r="5433" spans="7:22">
      <c r="T5433" s="1378"/>
    </row>
    <row r="5434" spans="7:22">
      <c r="T5434" s="1378"/>
    </row>
    <row r="5435" spans="7:22">
      <c r="I5435" s="946"/>
      <c r="M5435" s="1533" t="s">
        <v>3699</v>
      </c>
      <c r="O5435" s="1535" t="s">
        <v>3741</v>
      </c>
      <c r="P5435" s="1512">
        <f>P5429-R5429</f>
        <v>-2200000</v>
      </c>
      <c r="S5435" s="906" t="s">
        <v>4049</v>
      </c>
      <c r="T5435" s="1107">
        <f>T5429-V5429</f>
        <v>83100</v>
      </c>
    </row>
    <row r="5436" spans="7:22">
      <c r="G5436" s="1574" t="s">
        <v>3530</v>
      </c>
      <c r="H5436" s="1574"/>
      <c r="I5436" s="1574"/>
      <c r="J5436" s="3">
        <f>J5429+L5429</f>
        <v>77775000</v>
      </c>
      <c r="K5436" s="1009"/>
      <c r="L5436" s="3"/>
      <c r="M5436" s="1533" t="s">
        <v>3664</v>
      </c>
      <c r="N5436" s="1527"/>
      <c r="O5436" s="1535" t="s">
        <v>4066</v>
      </c>
      <c r="P5436" s="1512"/>
      <c r="T5436" s="1378"/>
    </row>
    <row r="5437" spans="7:22">
      <c r="G5437" s="1574" t="s">
        <v>3512</v>
      </c>
      <c r="H5437" s="1574"/>
      <c r="I5437" s="1574"/>
      <c r="J5437" s="3">
        <f>N5429-J5436</f>
        <v>42225000</v>
      </c>
      <c r="K5437" s="1009"/>
      <c r="L5437" s="3"/>
      <c r="M5437" s="1528"/>
      <c r="O5437" s="1529"/>
      <c r="Q5437" s="661"/>
      <c r="T5437" s="1378"/>
    </row>
    <row r="5438" spans="7:22">
      <c r="G5438" s="1574" t="s">
        <v>3531</v>
      </c>
      <c r="H5438" s="1574"/>
      <c r="I5438" s="1574"/>
      <c r="J5438" s="3">
        <f>T5435</f>
        <v>83100</v>
      </c>
      <c r="Q5438" s="3"/>
      <c r="T5438" s="1378"/>
    </row>
    <row r="5439" spans="7:22">
      <c r="G5439" s="1564" t="s">
        <v>4455</v>
      </c>
      <c r="H5439" s="1564"/>
      <c r="I5439" s="1564"/>
      <c r="J5439" s="3">
        <f>+P5435</f>
        <v>-2200000</v>
      </c>
      <c r="R5439" s="3"/>
      <c r="T5439" s="1378"/>
    </row>
    <row r="5440" spans="7:22">
      <c r="T5440" s="1378"/>
    </row>
    <row r="5442" spans="7:22">
      <c r="T5442" s="1386"/>
    </row>
    <row r="5443" spans="7:22">
      <c r="G5443" s="1008">
        <v>46114</v>
      </c>
      <c r="H5443" s="1169"/>
      <c r="I5443" s="1575" t="s">
        <v>3510</v>
      </c>
      <c r="J5443" s="1576"/>
      <c r="K5443" s="1575" t="s">
        <v>3509</v>
      </c>
      <c r="L5443" s="1576"/>
      <c r="M5443" s="1575" t="s">
        <v>3541</v>
      </c>
      <c r="N5443" s="1576"/>
      <c r="O5443" s="1577" t="s">
        <v>3598</v>
      </c>
      <c r="P5443" s="1578"/>
      <c r="Q5443" s="1579" t="s">
        <v>3599</v>
      </c>
      <c r="R5443" s="1580"/>
      <c r="S5443" s="1583" t="s">
        <v>3953</v>
      </c>
      <c r="T5443" s="1583"/>
      <c r="U5443" s="1583" t="s">
        <v>3954</v>
      </c>
      <c r="V5443" s="1583"/>
    </row>
    <row r="5444" spans="7:22">
      <c r="G5444" s="1097"/>
      <c r="H5444" s="1261"/>
      <c r="I5444" s="1398" t="s">
        <v>5142</v>
      </c>
      <c r="J5444" s="1081">
        <v>93000000</v>
      </c>
      <c r="K5444" s="1493" t="s">
        <v>4447</v>
      </c>
      <c r="L5444" s="1081">
        <v>815000</v>
      </c>
      <c r="M5444" s="1495" t="s">
        <v>4613</v>
      </c>
      <c r="N5444" s="1495">
        <v>40500000</v>
      </c>
      <c r="O5444" s="1383"/>
      <c r="P5444" s="644"/>
      <c r="Q5444" s="1279"/>
      <c r="R5444" s="644"/>
      <c r="S5444" s="1223"/>
      <c r="T5444" s="1191"/>
      <c r="U5444" s="1232"/>
      <c r="V5444" s="48"/>
    </row>
    <row r="5445" spans="7:22">
      <c r="G5445" s="1098"/>
      <c r="H5445" s="1172"/>
      <c r="I5445" s="1398" t="s">
        <v>5143</v>
      </c>
      <c r="J5445" s="1081">
        <v>93000000</v>
      </c>
      <c r="K5445" s="1493" t="s">
        <v>5021</v>
      </c>
      <c r="L5445" s="1081">
        <v>300000</v>
      </c>
      <c r="M5445" s="1495" t="s">
        <v>5101</v>
      </c>
      <c r="N5445" s="49">
        <v>200000000</v>
      </c>
      <c r="O5445" s="1383" t="s">
        <v>4712</v>
      </c>
      <c r="P5445" s="644"/>
      <c r="Q5445" s="1290"/>
      <c r="R5445" s="1290"/>
      <c r="S5445" s="1389" t="s">
        <v>4613</v>
      </c>
      <c r="T5445" s="1191">
        <v>83100</v>
      </c>
      <c r="U5445" s="48"/>
      <c r="V5445" s="49"/>
    </row>
    <row r="5446" spans="7:22">
      <c r="G5446" s="48"/>
      <c r="H5446" s="48"/>
      <c r="I5446" s="1400" t="s">
        <v>5144</v>
      </c>
      <c r="J5446" s="1081">
        <v>20750000</v>
      </c>
      <c r="K5446" s="1493" t="s">
        <v>4876</v>
      </c>
      <c r="L5446" s="1081">
        <v>500000</v>
      </c>
      <c r="M5446" s="1495"/>
      <c r="N5446" s="49">
        <v>1000000</v>
      </c>
      <c r="O5446" s="1495"/>
      <c r="P5446" s="644"/>
      <c r="Q5446" s="1399"/>
      <c r="R5446" s="644"/>
      <c r="S5446" s="1389"/>
      <c r="T5446" s="1191"/>
      <c r="U5446" s="1401" t="s">
        <v>5146</v>
      </c>
      <c r="V5446" s="1191">
        <v>2000</v>
      </c>
    </row>
    <row r="5447" spans="7:22">
      <c r="G5447" s="48"/>
      <c r="H5447" s="48"/>
      <c r="I5447" s="1400" t="s">
        <v>5145</v>
      </c>
      <c r="J5447" s="1393">
        <v>11500000</v>
      </c>
      <c r="K5447" s="1493" t="s">
        <v>5148</v>
      </c>
      <c r="L5447" s="1081">
        <v>350000</v>
      </c>
      <c r="M5447" s="1493"/>
      <c r="N5447" s="49"/>
      <c r="O5447" s="1383"/>
      <c r="P5447" s="644"/>
      <c r="Q5447" s="1376"/>
      <c r="R5447" s="644"/>
      <c r="S5447" s="1388"/>
      <c r="T5447" s="1387"/>
      <c r="U5447" s="1401" t="s">
        <v>5021</v>
      </c>
      <c r="V5447" s="1387">
        <v>800</v>
      </c>
    </row>
    <row r="5448" spans="7:22">
      <c r="G5448" s="48"/>
      <c r="H5448" s="48"/>
      <c r="I5448" s="1398" t="s">
        <v>5149</v>
      </c>
      <c r="J5448" s="1081">
        <v>18200000</v>
      </c>
      <c r="K5448" s="1493"/>
      <c r="L5448" s="1081"/>
      <c r="M5448" s="1495"/>
      <c r="N5448" s="49"/>
      <c r="O5448" s="1383"/>
      <c r="P5448" s="644"/>
      <c r="Q5448" s="1384"/>
      <c r="R5448" s="644"/>
      <c r="S5448" s="1390"/>
      <c r="T5448" s="1387"/>
      <c r="U5448" s="1401" t="s">
        <v>5147</v>
      </c>
      <c r="V5448" s="49">
        <v>1000</v>
      </c>
    </row>
    <row r="5449" spans="7:22">
      <c r="G5449" s="48"/>
      <c r="H5449" s="48"/>
      <c r="I5449" s="1392"/>
      <c r="J5449" s="1081"/>
      <c r="K5449" s="1493"/>
      <c r="L5449" s="1081"/>
      <c r="M5449" s="1495"/>
      <c r="N5449" s="49"/>
      <c r="O5449" s="1383"/>
      <c r="P5449" s="644"/>
      <c r="Q5449" s="1382"/>
      <c r="R5449" s="644"/>
      <c r="S5449" s="1358"/>
      <c r="T5449" s="1387"/>
      <c r="U5449" s="1401" t="s">
        <v>4646</v>
      </c>
      <c r="V5449" s="49">
        <v>400</v>
      </c>
    </row>
    <row r="5450" spans="7:22">
      <c r="G5450" s="48"/>
      <c r="H5450" s="48"/>
      <c r="I5450" s="1392"/>
      <c r="J5450" s="1081"/>
      <c r="K5450" s="1493"/>
      <c r="L5450" s="1081"/>
      <c r="M5450" s="1495"/>
      <c r="N5450" s="49"/>
      <c r="O5450" s="1383"/>
      <c r="P5450" s="644"/>
      <c r="Q5450" s="1383"/>
      <c r="R5450" s="644"/>
      <c r="S5450" s="48"/>
      <c r="T5450" s="1387"/>
      <c r="U5450" s="1401" t="s">
        <v>5143</v>
      </c>
      <c r="V5450" s="49">
        <v>3100</v>
      </c>
    </row>
    <row r="5451" spans="7:22">
      <c r="G5451" s="48"/>
      <c r="H5451" s="48"/>
      <c r="I5451" s="1392"/>
      <c r="J5451" s="1081"/>
      <c r="K5451" s="1536"/>
      <c r="L5451" s="1081"/>
      <c r="M5451" s="1495"/>
      <c r="N5451" s="49"/>
      <c r="O5451" s="1383"/>
      <c r="P5451" s="644"/>
      <c r="Q5451" s="1385"/>
      <c r="R5451" s="644"/>
      <c r="S5451" s="48"/>
      <c r="T5451" s="1387"/>
      <c r="U5451" s="48"/>
      <c r="V5451" s="49"/>
    </row>
    <row r="5452" spans="7:22">
      <c r="G5452" s="48"/>
      <c r="H5452" s="48"/>
      <c r="I5452" s="1392"/>
      <c r="J5452" s="1081"/>
      <c r="K5452" s="1493"/>
      <c r="L5452" s="1081"/>
      <c r="M5452" s="1495"/>
      <c r="N5452" s="49"/>
      <c r="O5452" s="644"/>
      <c r="P5452" s="644"/>
      <c r="Q5452" s="1383"/>
      <c r="R5452" s="644"/>
      <c r="S5452" s="48"/>
      <c r="T5452" s="1387"/>
      <c r="U5452" s="48"/>
      <c r="V5452" s="49"/>
    </row>
    <row r="5453" spans="7:22">
      <c r="G5453" s="48"/>
      <c r="H5453" s="48"/>
      <c r="I5453" s="1392"/>
      <c r="J5453" s="1081"/>
      <c r="K5453" s="1509"/>
      <c r="L5453" s="1081"/>
      <c r="M5453" s="1498"/>
      <c r="N5453" s="49"/>
      <c r="O5453" s="644"/>
      <c r="P5453" s="644"/>
      <c r="Q5453" s="1290"/>
      <c r="R5453" s="644"/>
      <c r="S5453" s="48"/>
      <c r="T5453" s="1387"/>
      <c r="U5453" s="48"/>
      <c r="V5453" s="49"/>
    </row>
    <row r="5454" spans="7:22">
      <c r="G5454" s="48"/>
      <c r="H5454" s="48"/>
      <c r="I5454" s="1394"/>
      <c r="J5454" s="1081"/>
      <c r="K5454" s="1493"/>
      <c r="L5454" s="1081"/>
      <c r="M5454" s="1498"/>
      <c r="N5454" s="49"/>
      <c r="O5454" s="644"/>
      <c r="P5454" s="644"/>
      <c r="Q5454" s="1383"/>
      <c r="R5454" s="644"/>
      <c r="S5454" s="48"/>
      <c r="T5454" s="1387"/>
      <c r="U5454" s="48"/>
      <c r="V5454" s="48"/>
    </row>
    <row r="5455" spans="7:22">
      <c r="G5455" s="48"/>
      <c r="H5455" s="48"/>
      <c r="I5455" s="1394"/>
      <c r="J5455" s="1081"/>
      <c r="K5455" s="1509"/>
      <c r="L5455" s="1081"/>
      <c r="M5455" s="1498"/>
      <c r="N5455" s="49"/>
      <c r="O5455" s="644"/>
      <c r="P5455" s="644"/>
      <c r="Q5455" s="1290"/>
      <c r="R5455" s="644"/>
      <c r="S5455" s="48"/>
      <c r="T5455" s="1387"/>
      <c r="U5455" s="48"/>
      <c r="V5455" s="48"/>
    </row>
    <row r="5456" spans="7:22">
      <c r="G5456" s="48"/>
      <c r="H5456" s="48"/>
      <c r="I5456" s="1394"/>
      <c r="J5456" s="1081"/>
      <c r="K5456" s="1509"/>
      <c r="L5456" s="1081"/>
      <c r="M5456" s="1498"/>
      <c r="N5456" s="49"/>
      <c r="O5456" s="644"/>
      <c r="P5456" s="644"/>
      <c r="Q5456" s="1290"/>
      <c r="R5456" s="644"/>
      <c r="S5456" s="48"/>
      <c r="T5456" s="1387"/>
      <c r="U5456" s="48"/>
      <c r="V5456" s="48"/>
    </row>
    <row r="5457" spans="7:22">
      <c r="G5457" s="48"/>
      <c r="H5457" s="48"/>
      <c r="I5457" s="1382"/>
      <c r="J5457" s="49"/>
      <c r="K5457" s="1498"/>
      <c r="L5457" s="49"/>
      <c r="M5457" s="1498"/>
      <c r="N5457" s="49"/>
      <c r="O5457" s="644"/>
      <c r="P5457" s="644"/>
      <c r="Q5457" s="1290"/>
      <c r="R5457" s="644"/>
      <c r="S5457" s="48"/>
      <c r="T5457" s="1387"/>
      <c r="U5457" s="48"/>
      <c r="V5457" s="48"/>
    </row>
    <row r="5458" spans="7:22">
      <c r="G5458" s="48"/>
      <c r="H5458" s="48"/>
      <c r="I5458" s="1382"/>
      <c r="J5458" s="49"/>
      <c r="K5458" s="1498"/>
      <c r="L5458" s="49"/>
      <c r="M5458" s="1498"/>
      <c r="N5458" s="49"/>
      <c r="O5458" s="644"/>
      <c r="P5458" s="644"/>
      <c r="Q5458" s="1290"/>
      <c r="R5458" s="644"/>
      <c r="S5458" s="48"/>
      <c r="T5458" s="1387"/>
      <c r="U5458" s="48"/>
      <c r="V5458" s="48"/>
    </row>
    <row r="5459" spans="7:22">
      <c r="G5459" s="48"/>
      <c r="H5459" s="48"/>
      <c r="I5459" s="1382"/>
      <c r="J5459" s="49"/>
      <c r="K5459" s="1498"/>
      <c r="L5459" s="49"/>
      <c r="M5459" s="1498"/>
      <c r="N5459" s="49"/>
      <c r="O5459" s="644"/>
      <c r="P5459" s="644"/>
      <c r="Q5459" s="1290"/>
      <c r="R5459" s="644"/>
      <c r="S5459" s="48"/>
      <c r="T5459" s="1387"/>
      <c r="U5459" s="48"/>
      <c r="V5459" s="48"/>
    </row>
    <row r="5460" spans="7:22">
      <c r="G5460" s="48"/>
      <c r="H5460" s="48"/>
      <c r="I5460" s="48"/>
      <c r="J5460" s="49"/>
      <c r="K5460" s="1498"/>
      <c r="L5460" s="49"/>
      <c r="M5460" s="1498"/>
      <c r="N5460" s="49"/>
      <c r="O5460" s="644"/>
      <c r="P5460" s="644"/>
      <c r="Q5460" s="1290"/>
      <c r="R5460" s="644"/>
      <c r="S5460" s="48"/>
      <c r="T5460" s="1387"/>
      <c r="U5460" s="48"/>
      <c r="V5460" s="48"/>
    </row>
    <row r="5461" spans="7:22">
      <c r="G5461" s="48"/>
      <c r="H5461" s="48"/>
      <c r="I5461" s="48"/>
      <c r="J5461" s="49"/>
      <c r="K5461" s="1498"/>
      <c r="L5461" s="49"/>
      <c r="M5461" s="1498"/>
      <c r="N5461" s="49"/>
      <c r="O5461" s="644"/>
      <c r="P5461" s="644"/>
      <c r="Q5461" s="1290"/>
      <c r="R5461" s="644"/>
      <c r="S5461" s="48"/>
      <c r="T5461" s="1387"/>
      <c r="U5461" s="48"/>
      <c r="V5461" s="48"/>
    </row>
    <row r="5462" spans="7:22">
      <c r="G5462" s="48"/>
      <c r="H5462" s="48"/>
      <c r="I5462" s="48"/>
      <c r="J5462" s="49"/>
      <c r="K5462" s="1498"/>
      <c r="L5462" s="49"/>
      <c r="M5462" s="1498"/>
      <c r="N5462" s="49"/>
      <c r="O5462" s="644"/>
      <c r="P5462" s="644"/>
      <c r="Q5462" s="1290"/>
      <c r="R5462" s="644"/>
      <c r="S5462" s="48"/>
      <c r="T5462" s="1387"/>
      <c r="U5462" s="48"/>
      <c r="V5462" s="48"/>
    </row>
    <row r="5463" spans="7:22">
      <c r="G5463" s="48"/>
      <c r="H5463" s="48"/>
      <c r="I5463" s="48"/>
      <c r="J5463" s="49"/>
      <c r="K5463" s="1498"/>
      <c r="L5463" s="49"/>
      <c r="M5463" s="1498"/>
      <c r="N5463" s="49"/>
      <c r="O5463" s="644"/>
      <c r="P5463" s="644"/>
      <c r="Q5463" s="1290"/>
      <c r="R5463" s="644"/>
      <c r="S5463" s="48"/>
      <c r="T5463" s="1387"/>
      <c r="U5463" s="48"/>
      <c r="V5463" s="48"/>
    </row>
    <row r="5464" spans="7:22">
      <c r="G5464" s="48"/>
      <c r="H5464" s="48"/>
      <c r="I5464" s="48"/>
      <c r="J5464" s="49"/>
      <c r="K5464" s="1498"/>
      <c r="L5464" s="49"/>
      <c r="M5464" s="1498"/>
      <c r="N5464" s="49"/>
      <c r="O5464" s="644"/>
      <c r="P5464" s="644"/>
      <c r="Q5464" s="1290"/>
      <c r="R5464" s="644"/>
      <c r="S5464" s="48"/>
      <c r="T5464" s="1387"/>
      <c r="U5464" s="48"/>
      <c r="V5464" s="48"/>
    </row>
    <row r="5465" spans="7:22">
      <c r="G5465" s="48"/>
      <c r="H5465" s="48"/>
      <c r="I5465" s="48"/>
      <c r="J5465" s="49"/>
      <c r="K5465" s="1498"/>
      <c r="L5465" s="49"/>
      <c r="M5465" s="1498"/>
      <c r="N5465" s="49"/>
      <c r="O5465" s="644"/>
      <c r="P5465" s="644"/>
      <c r="Q5465" s="1290"/>
      <c r="R5465" s="644"/>
      <c r="S5465" s="48"/>
      <c r="T5465" s="1387"/>
      <c r="U5465" s="48"/>
      <c r="V5465" s="48"/>
    </row>
    <row r="5466" spans="7:22">
      <c r="G5466" s="48"/>
      <c r="H5466" s="48"/>
      <c r="I5466" s="48"/>
      <c r="J5466" s="49"/>
      <c r="K5466" s="49"/>
      <c r="L5466" s="49"/>
      <c r="M5466" s="1498"/>
      <c r="N5466" s="49"/>
      <c r="O5466" s="644"/>
      <c r="P5466" s="644"/>
      <c r="Q5466" s="1290"/>
      <c r="R5466" s="644"/>
      <c r="S5466" s="48"/>
      <c r="T5466" s="1387"/>
      <c r="U5466" s="48"/>
      <c r="V5466" s="48"/>
    </row>
    <row r="5467" spans="7:22">
      <c r="G5467" s="48"/>
      <c r="H5467" s="48"/>
      <c r="I5467" s="48"/>
      <c r="J5467" s="954">
        <f>SUM(J5444:J5466)</f>
        <v>236450000</v>
      </c>
      <c r="K5467" s="954"/>
      <c r="L5467" s="954">
        <f>SUM(L5444:L5466)</f>
        <v>1965000</v>
      </c>
      <c r="M5467" s="1498"/>
      <c r="N5467" s="954">
        <f>SUM(N5444:N5466)</f>
        <v>241500000</v>
      </c>
      <c r="O5467" s="644"/>
      <c r="P5467" s="969">
        <f>SUM(P5444:P5451)</f>
        <v>0</v>
      </c>
      <c r="Q5467" s="969"/>
      <c r="R5467" s="969">
        <f>SUM(R5444:R5466)</f>
        <v>0</v>
      </c>
      <c r="S5467" s="48"/>
      <c r="T5467" s="1178">
        <f>SUM(T5444:T5466)</f>
        <v>83100</v>
      </c>
      <c r="U5467" s="48"/>
      <c r="V5467" s="878">
        <f>SUM(V5444:V5466)</f>
        <v>7300</v>
      </c>
    </row>
    <row r="5468" spans="7:22">
      <c r="T5468" s="1386"/>
    </row>
    <row r="5469" spans="7:22">
      <c r="T5469" s="1386"/>
    </row>
    <row r="5470" spans="7:22">
      <c r="R5470" s="661"/>
      <c r="T5470" s="1386"/>
    </row>
    <row r="5471" spans="7:22">
      <c r="T5471" s="1386"/>
    </row>
    <row r="5472" spans="7:22">
      <c r="T5472" s="1386"/>
    </row>
    <row r="5473" spans="7:22">
      <c r="I5473" s="946"/>
      <c r="M5473" s="1533" t="s">
        <v>3699</v>
      </c>
      <c r="O5473" s="1535" t="s">
        <v>3741</v>
      </c>
      <c r="P5473" s="1512">
        <f>P5467-R5467</f>
        <v>0</v>
      </c>
      <c r="S5473" s="906" t="s">
        <v>4049</v>
      </c>
      <c r="T5473" s="1107">
        <f>T5467-V5467</f>
        <v>75800</v>
      </c>
    </row>
    <row r="5474" spans="7:22">
      <c r="G5474" s="1574" t="s">
        <v>3530</v>
      </c>
      <c r="H5474" s="1574"/>
      <c r="I5474" s="1574"/>
      <c r="J5474" s="3">
        <f>J5467+L5467</f>
        <v>238415000</v>
      </c>
      <c r="K5474" s="1009"/>
      <c r="L5474" s="3"/>
      <c r="M5474" s="1533" t="s">
        <v>3664</v>
      </c>
      <c r="N5474" s="1527"/>
      <c r="O5474" s="1535" t="s">
        <v>4066</v>
      </c>
      <c r="P5474" s="1512"/>
      <c r="T5474" s="1386"/>
    </row>
    <row r="5475" spans="7:22">
      <c r="G5475" s="1574" t="s">
        <v>3512</v>
      </c>
      <c r="H5475" s="1574"/>
      <c r="I5475" s="1574"/>
      <c r="J5475" s="3">
        <f>N5467-J5474</f>
        <v>3085000</v>
      </c>
      <c r="K5475" s="1009"/>
      <c r="L5475" s="3"/>
      <c r="M5475" s="1528"/>
      <c r="O5475" s="1529"/>
      <c r="Q5475" s="661"/>
      <c r="T5475" s="1386"/>
    </row>
    <row r="5476" spans="7:22">
      <c r="G5476" s="1574" t="s">
        <v>3531</v>
      </c>
      <c r="H5476" s="1574"/>
      <c r="I5476" s="1574"/>
      <c r="J5476" s="3">
        <f>T5473</f>
        <v>75800</v>
      </c>
      <c r="Q5476" s="3"/>
      <c r="T5476" s="1386"/>
    </row>
    <row r="5477" spans="7:22">
      <c r="G5477" s="1564" t="s">
        <v>4455</v>
      </c>
      <c r="H5477" s="1564"/>
      <c r="I5477" s="1564"/>
      <c r="J5477" s="3">
        <f>+P5473</f>
        <v>0</v>
      </c>
      <c r="R5477" s="3"/>
      <c r="T5477" s="1386"/>
    </row>
    <row r="5478" spans="7:22">
      <c r="T5478" s="1386"/>
    </row>
    <row r="5479" spans="7:22">
      <c r="T5479" s="1386"/>
    </row>
    <row r="5480" spans="7:22">
      <c r="G5480" s="1008">
        <v>46115</v>
      </c>
      <c r="H5480" s="1169"/>
      <c r="I5480" s="1575" t="s">
        <v>3510</v>
      </c>
      <c r="J5480" s="1576"/>
      <c r="K5480" s="1575" t="s">
        <v>3509</v>
      </c>
      <c r="L5480" s="1576"/>
      <c r="M5480" s="1575" t="s">
        <v>3541</v>
      </c>
      <c r="N5480" s="1576"/>
      <c r="O5480" s="1577" t="s">
        <v>3598</v>
      </c>
      <c r="P5480" s="1578"/>
      <c r="Q5480" s="1579" t="s">
        <v>3599</v>
      </c>
      <c r="R5480" s="1580"/>
      <c r="S5480" s="1583" t="s">
        <v>3953</v>
      </c>
      <c r="T5480" s="1583"/>
      <c r="U5480" s="1583" t="s">
        <v>3954</v>
      </c>
      <c r="V5480" s="1583"/>
    </row>
    <row r="5481" spans="7:22">
      <c r="G5481" s="1097"/>
      <c r="H5481" s="1261"/>
      <c r="I5481" s="1398"/>
      <c r="J5481" s="1081"/>
      <c r="K5481" s="1493" t="s">
        <v>5152</v>
      </c>
      <c r="L5481" s="1081">
        <v>500000</v>
      </c>
      <c r="M5481" s="1495" t="s">
        <v>4613</v>
      </c>
      <c r="N5481" s="1495">
        <v>1800000</v>
      </c>
      <c r="O5481" s="1383"/>
      <c r="P5481" s="644"/>
      <c r="Q5481" s="1279"/>
      <c r="R5481" s="644"/>
      <c r="S5481" s="1223"/>
      <c r="T5481" s="1191"/>
      <c r="U5481" s="1232"/>
      <c r="V5481" s="48"/>
    </row>
    <row r="5482" spans="7:22">
      <c r="G5482" s="1098"/>
      <c r="H5482" s="1172"/>
      <c r="I5482" s="1398"/>
      <c r="J5482" s="1081"/>
      <c r="K5482" s="1493" t="s">
        <v>5153</v>
      </c>
      <c r="L5482" s="1081">
        <v>750000</v>
      </c>
      <c r="M5482" s="1495"/>
      <c r="N5482" s="49"/>
      <c r="O5482" s="1383" t="s">
        <v>4712</v>
      </c>
      <c r="P5482" s="644"/>
      <c r="Q5482" s="1290"/>
      <c r="R5482" s="1290"/>
      <c r="S5482" s="1389" t="s">
        <v>4613</v>
      </c>
      <c r="T5482" s="1191">
        <v>75800</v>
      </c>
      <c r="U5482" s="48"/>
      <c r="V5482" s="49"/>
    </row>
    <row r="5483" spans="7:22">
      <c r="G5483" s="48"/>
      <c r="H5483" s="48"/>
      <c r="I5483" s="1400"/>
      <c r="J5483" s="1081"/>
      <c r="K5483" s="1493"/>
      <c r="L5483" s="1081"/>
      <c r="M5483" s="1495"/>
      <c r="N5483" s="49"/>
      <c r="O5483" s="1495"/>
      <c r="P5483" s="644"/>
      <c r="Q5483" s="1399"/>
      <c r="R5483" s="644"/>
      <c r="S5483" s="1389"/>
      <c r="T5483" s="1191"/>
      <c r="U5483" s="1404" t="s">
        <v>5150</v>
      </c>
      <c r="V5483" s="1191">
        <v>3500</v>
      </c>
    </row>
    <row r="5484" spans="7:22">
      <c r="G5484" s="48"/>
      <c r="H5484" s="48"/>
      <c r="I5484" s="1400"/>
      <c r="J5484" s="1393"/>
      <c r="K5484" s="1493"/>
      <c r="L5484" s="1081"/>
      <c r="M5484" s="1493"/>
      <c r="N5484" s="49"/>
      <c r="O5484" s="1383"/>
      <c r="P5484" s="644"/>
      <c r="Q5484" s="1376"/>
      <c r="R5484" s="644"/>
      <c r="S5484" s="1388"/>
      <c r="T5484" s="1387"/>
      <c r="U5484" s="1404" t="s">
        <v>5151</v>
      </c>
      <c r="V5484" s="1387">
        <v>3000</v>
      </c>
    </row>
    <row r="5485" spans="7:22">
      <c r="G5485" s="48"/>
      <c r="H5485" s="48"/>
      <c r="I5485" s="1398"/>
      <c r="J5485" s="1081"/>
      <c r="K5485" s="1493"/>
      <c r="L5485" s="1081"/>
      <c r="M5485" s="1495"/>
      <c r="N5485" s="49"/>
      <c r="O5485" s="1383"/>
      <c r="P5485" s="644"/>
      <c r="Q5485" s="1384"/>
      <c r="R5485" s="644"/>
      <c r="S5485" s="1390"/>
      <c r="T5485" s="1387"/>
      <c r="U5485" s="1404" t="s">
        <v>5153</v>
      </c>
      <c r="V5485" s="49">
        <v>3000</v>
      </c>
    </row>
    <row r="5486" spans="7:22">
      <c r="G5486" s="48"/>
      <c r="H5486" s="48"/>
      <c r="I5486" s="1392"/>
      <c r="J5486" s="1081"/>
      <c r="K5486" s="1493"/>
      <c r="L5486" s="1081"/>
      <c r="M5486" s="1495"/>
      <c r="N5486" s="49"/>
      <c r="O5486" s="1383"/>
      <c r="P5486" s="644"/>
      <c r="Q5486" s="1382"/>
      <c r="R5486" s="644"/>
      <c r="S5486" s="1358"/>
      <c r="T5486" s="1387"/>
      <c r="U5486" s="1404" t="s">
        <v>5150</v>
      </c>
      <c r="V5486" s="49">
        <v>1000</v>
      </c>
    </row>
    <row r="5487" spans="7:22">
      <c r="G5487" s="48"/>
      <c r="H5487" s="48"/>
      <c r="I5487" s="1392"/>
      <c r="J5487" s="1081"/>
      <c r="K5487" s="1493"/>
      <c r="L5487" s="1081"/>
      <c r="M5487" s="1495"/>
      <c r="N5487" s="49"/>
      <c r="O5487" s="1383"/>
      <c r="P5487" s="644"/>
      <c r="Q5487" s="1383"/>
      <c r="R5487" s="644"/>
      <c r="S5487" s="48"/>
      <c r="T5487" s="1387"/>
      <c r="U5487" s="1404" t="s">
        <v>5154</v>
      </c>
      <c r="V5487" s="49">
        <v>2500</v>
      </c>
    </row>
    <row r="5488" spans="7:22">
      <c r="G5488" s="48"/>
      <c r="H5488" s="48"/>
      <c r="I5488" s="1392"/>
      <c r="J5488" s="1081"/>
      <c r="K5488" s="1536"/>
      <c r="L5488" s="1081"/>
      <c r="M5488" s="1495"/>
      <c r="N5488" s="49"/>
      <c r="O5488" s="1383"/>
      <c r="P5488" s="644"/>
      <c r="Q5488" s="1385"/>
      <c r="R5488" s="644"/>
      <c r="S5488" s="48"/>
      <c r="T5488" s="1387"/>
      <c r="U5488" s="1404" t="s">
        <v>5155</v>
      </c>
      <c r="V5488" s="49">
        <v>2500</v>
      </c>
    </row>
    <row r="5489" spans="7:22">
      <c r="G5489" s="48"/>
      <c r="H5489" s="48"/>
      <c r="I5489" s="1392"/>
      <c r="J5489" s="1081"/>
      <c r="K5489" s="1493"/>
      <c r="L5489" s="1081"/>
      <c r="M5489" s="1495"/>
      <c r="N5489" s="49"/>
      <c r="O5489" s="644"/>
      <c r="P5489" s="644"/>
      <c r="Q5489" s="1383"/>
      <c r="R5489" s="644"/>
      <c r="S5489" s="48"/>
      <c r="T5489" s="1387"/>
      <c r="U5489" s="1404" t="s">
        <v>5156</v>
      </c>
      <c r="V5489" s="49">
        <v>2200</v>
      </c>
    </row>
    <row r="5490" spans="7:22">
      <c r="G5490" s="48"/>
      <c r="H5490" s="48"/>
      <c r="I5490" s="1392"/>
      <c r="J5490" s="1081"/>
      <c r="K5490" s="1509"/>
      <c r="L5490" s="1081"/>
      <c r="M5490" s="1498"/>
      <c r="N5490" s="49"/>
      <c r="O5490" s="644"/>
      <c r="P5490" s="644"/>
      <c r="Q5490" s="1290"/>
      <c r="R5490" s="644"/>
      <c r="S5490" s="48"/>
      <c r="T5490" s="1387"/>
      <c r="U5490" s="1404" t="s">
        <v>5157</v>
      </c>
      <c r="V5490" s="49">
        <v>400</v>
      </c>
    </row>
    <row r="5491" spans="7:22">
      <c r="G5491" s="48"/>
      <c r="H5491" s="48"/>
      <c r="I5491" s="1394"/>
      <c r="J5491" s="1081"/>
      <c r="K5491" s="1493"/>
      <c r="L5491" s="1081"/>
      <c r="M5491" s="1498"/>
      <c r="N5491" s="49"/>
      <c r="O5491" s="644"/>
      <c r="P5491" s="644"/>
      <c r="Q5491" s="1383"/>
      <c r="R5491" s="644"/>
      <c r="S5491" s="48"/>
      <c r="T5491" s="1387"/>
      <c r="U5491" s="48"/>
      <c r="V5491" s="48"/>
    </row>
    <row r="5492" spans="7:22">
      <c r="G5492" s="48"/>
      <c r="H5492" s="48"/>
      <c r="I5492" s="1394"/>
      <c r="J5492" s="1081"/>
      <c r="K5492" s="1509"/>
      <c r="L5492" s="1081"/>
      <c r="M5492" s="1498"/>
      <c r="N5492" s="49"/>
      <c r="O5492" s="644"/>
      <c r="P5492" s="644"/>
      <c r="Q5492" s="1290"/>
      <c r="R5492" s="644"/>
      <c r="S5492" s="48"/>
      <c r="T5492" s="1387"/>
      <c r="U5492" s="48"/>
      <c r="V5492" s="48"/>
    </row>
    <row r="5493" spans="7:22">
      <c r="G5493" s="48"/>
      <c r="H5493" s="48"/>
      <c r="I5493" s="1394"/>
      <c r="J5493" s="1081"/>
      <c r="K5493" s="1509"/>
      <c r="L5493" s="1081"/>
      <c r="M5493" s="1498"/>
      <c r="N5493" s="49"/>
      <c r="O5493" s="644"/>
      <c r="P5493" s="644"/>
      <c r="Q5493" s="1290"/>
      <c r="R5493" s="644"/>
      <c r="S5493" s="48"/>
      <c r="T5493" s="1387"/>
      <c r="U5493" s="48"/>
      <c r="V5493" s="48"/>
    </row>
    <row r="5494" spans="7:22">
      <c r="G5494" s="48"/>
      <c r="H5494" s="48"/>
      <c r="I5494" s="1382"/>
      <c r="J5494" s="49"/>
      <c r="K5494" s="1498"/>
      <c r="L5494" s="49"/>
      <c r="M5494" s="1498"/>
      <c r="N5494" s="49"/>
      <c r="O5494" s="644"/>
      <c r="P5494" s="644"/>
      <c r="Q5494" s="1290"/>
      <c r="R5494" s="644"/>
      <c r="S5494" s="48"/>
      <c r="T5494" s="1387"/>
      <c r="U5494" s="48"/>
      <c r="V5494" s="48"/>
    </row>
    <row r="5495" spans="7:22">
      <c r="G5495" s="48"/>
      <c r="H5495" s="48"/>
      <c r="I5495" s="1382"/>
      <c r="J5495" s="49"/>
      <c r="K5495" s="1498"/>
      <c r="L5495" s="49"/>
      <c r="M5495" s="1498"/>
      <c r="N5495" s="49"/>
      <c r="O5495" s="644"/>
      <c r="P5495" s="644"/>
      <c r="Q5495" s="1290"/>
      <c r="R5495" s="644"/>
      <c r="S5495" s="48"/>
      <c r="T5495" s="1387"/>
      <c r="U5495" s="48"/>
      <c r="V5495" s="48"/>
    </row>
    <row r="5496" spans="7:22">
      <c r="G5496" s="48"/>
      <c r="H5496" s="48"/>
      <c r="I5496" s="1382"/>
      <c r="J5496" s="49"/>
      <c r="K5496" s="1498"/>
      <c r="L5496" s="49"/>
      <c r="M5496" s="1498"/>
      <c r="N5496" s="49"/>
      <c r="O5496" s="644"/>
      <c r="P5496" s="644"/>
      <c r="Q5496" s="1290"/>
      <c r="R5496" s="644"/>
      <c r="S5496" s="48"/>
      <c r="T5496" s="1387"/>
      <c r="U5496" s="48"/>
      <c r="V5496" s="48"/>
    </row>
    <row r="5497" spans="7:22">
      <c r="G5497" s="48"/>
      <c r="H5497" s="48"/>
      <c r="I5497" s="48"/>
      <c r="J5497" s="49"/>
      <c r="K5497" s="1498"/>
      <c r="L5497" s="49"/>
      <c r="M5497" s="1498"/>
      <c r="N5497" s="49"/>
      <c r="O5497" s="644"/>
      <c r="P5497" s="644"/>
      <c r="Q5497" s="1290"/>
      <c r="R5497" s="644"/>
      <c r="S5497" s="48"/>
      <c r="T5497" s="1387"/>
      <c r="U5497" s="48"/>
      <c r="V5497" s="48"/>
    </row>
    <row r="5498" spans="7:22">
      <c r="G5498" s="48"/>
      <c r="H5498" s="48"/>
      <c r="I5498" s="48"/>
      <c r="J5498" s="49"/>
      <c r="K5498" s="1498"/>
      <c r="L5498" s="49"/>
      <c r="M5498" s="1498"/>
      <c r="N5498" s="49"/>
      <c r="O5498" s="644"/>
      <c r="P5498" s="644"/>
      <c r="Q5498" s="1290"/>
      <c r="R5498" s="644"/>
      <c r="S5498" s="48"/>
      <c r="T5498" s="1387"/>
      <c r="U5498" s="48"/>
      <c r="V5498" s="48"/>
    </row>
    <row r="5499" spans="7:22">
      <c r="G5499" s="48"/>
      <c r="H5499" s="48"/>
      <c r="I5499" s="48"/>
      <c r="J5499" s="49"/>
      <c r="K5499" s="1498"/>
      <c r="L5499" s="49"/>
      <c r="M5499" s="1498"/>
      <c r="N5499" s="49"/>
      <c r="O5499" s="644"/>
      <c r="P5499" s="644"/>
      <c r="Q5499" s="1290"/>
      <c r="R5499" s="644"/>
      <c r="S5499" s="48"/>
      <c r="T5499" s="1387"/>
      <c r="U5499" s="48"/>
      <c r="V5499" s="48"/>
    </row>
    <row r="5500" spans="7:22">
      <c r="G5500" s="48"/>
      <c r="H5500" s="48"/>
      <c r="I5500" s="48"/>
      <c r="J5500" s="49"/>
      <c r="K5500" s="1498"/>
      <c r="L5500" s="49"/>
      <c r="M5500" s="1498"/>
      <c r="N5500" s="49"/>
      <c r="O5500" s="644"/>
      <c r="P5500" s="644"/>
      <c r="Q5500" s="1290"/>
      <c r="R5500" s="644"/>
      <c r="S5500" s="48"/>
      <c r="T5500" s="1387"/>
      <c r="U5500" s="48"/>
      <c r="V5500" s="48"/>
    </row>
    <row r="5501" spans="7:22">
      <c r="G5501" s="48"/>
      <c r="H5501" s="48"/>
      <c r="I5501" s="48"/>
      <c r="J5501" s="49"/>
      <c r="K5501" s="1498"/>
      <c r="L5501" s="49"/>
      <c r="M5501" s="1498"/>
      <c r="N5501" s="49"/>
      <c r="O5501" s="644"/>
      <c r="P5501" s="644"/>
      <c r="Q5501" s="1290"/>
      <c r="R5501" s="644"/>
      <c r="S5501" s="48"/>
      <c r="T5501" s="1387"/>
      <c r="U5501" s="48"/>
      <c r="V5501" s="48"/>
    </row>
    <row r="5502" spans="7:22">
      <c r="G5502" s="48"/>
      <c r="H5502" s="48"/>
      <c r="I5502" s="48"/>
      <c r="J5502" s="49"/>
      <c r="K5502" s="1498"/>
      <c r="L5502" s="49"/>
      <c r="M5502" s="1498"/>
      <c r="N5502" s="49"/>
      <c r="O5502" s="644"/>
      <c r="P5502" s="644"/>
      <c r="Q5502" s="1290"/>
      <c r="R5502" s="644"/>
      <c r="S5502" s="48"/>
      <c r="T5502" s="1387"/>
      <c r="U5502" s="48"/>
      <c r="V5502" s="48"/>
    </row>
    <row r="5503" spans="7:22">
      <c r="G5503" s="48"/>
      <c r="H5503" s="48"/>
      <c r="I5503" s="48"/>
      <c r="J5503" s="49"/>
      <c r="K5503" s="49"/>
      <c r="L5503" s="49"/>
      <c r="M5503" s="1498"/>
      <c r="N5503" s="49"/>
      <c r="O5503" s="644"/>
      <c r="P5503" s="644"/>
      <c r="Q5503" s="1290"/>
      <c r="R5503" s="644"/>
      <c r="S5503" s="48"/>
      <c r="T5503" s="1387"/>
      <c r="U5503" s="48"/>
      <c r="V5503" s="48"/>
    </row>
    <row r="5504" spans="7:22">
      <c r="G5504" s="48"/>
      <c r="H5504" s="48"/>
      <c r="I5504" s="48"/>
      <c r="J5504" s="954">
        <f>SUM(J5481:J5503)</f>
        <v>0</v>
      </c>
      <c r="K5504" s="954"/>
      <c r="L5504" s="954">
        <f>SUM(L5481:L5503)</f>
        <v>1250000</v>
      </c>
      <c r="M5504" s="1498"/>
      <c r="N5504" s="954">
        <f>SUM(N5481:N5503)</f>
        <v>1800000</v>
      </c>
      <c r="O5504" s="644"/>
      <c r="P5504" s="969">
        <f>SUM(P5481:P5488)</f>
        <v>0</v>
      </c>
      <c r="Q5504" s="969"/>
      <c r="R5504" s="969">
        <f>SUM(R5481:R5503)</f>
        <v>0</v>
      </c>
      <c r="S5504" s="48"/>
      <c r="T5504" s="1178">
        <f>SUM(T5481:T5503)</f>
        <v>75800</v>
      </c>
      <c r="U5504" s="48"/>
      <c r="V5504" s="878">
        <f>SUM(V5481:V5503)</f>
        <v>18100</v>
      </c>
    </row>
    <row r="5505" spans="7:22">
      <c r="T5505" s="1386"/>
    </row>
    <row r="5506" spans="7:22">
      <c r="T5506" s="1386"/>
    </row>
    <row r="5507" spans="7:22">
      <c r="R5507" s="661"/>
      <c r="T5507" s="1386"/>
    </row>
    <row r="5508" spans="7:22">
      <c r="T5508" s="1386"/>
    </row>
    <row r="5509" spans="7:22">
      <c r="T5509" s="1386"/>
    </row>
    <row r="5510" spans="7:22">
      <c r="I5510" s="946"/>
      <c r="M5510" s="1533" t="s">
        <v>3699</v>
      </c>
      <c r="O5510" s="1535" t="s">
        <v>3741</v>
      </c>
      <c r="P5510" s="1512">
        <f>P5504-R5504</f>
        <v>0</v>
      </c>
      <c r="S5510" s="906" t="s">
        <v>4049</v>
      </c>
      <c r="T5510" s="1107">
        <f>T5504-V5504</f>
        <v>57700</v>
      </c>
    </row>
    <row r="5511" spans="7:22">
      <c r="G5511" s="1574" t="s">
        <v>3530</v>
      </c>
      <c r="H5511" s="1574"/>
      <c r="I5511" s="1574"/>
      <c r="J5511" s="3">
        <f>J5504+L5504</f>
        <v>1250000</v>
      </c>
      <c r="K5511" s="1009"/>
      <c r="L5511" s="3"/>
      <c r="M5511" s="1533" t="s">
        <v>3664</v>
      </c>
      <c r="N5511" s="1527"/>
      <c r="O5511" s="1535" t="s">
        <v>4066</v>
      </c>
      <c r="P5511" s="1512"/>
      <c r="T5511" s="1386"/>
    </row>
    <row r="5512" spans="7:22">
      <c r="G5512" s="1574" t="s">
        <v>3512</v>
      </c>
      <c r="H5512" s="1574"/>
      <c r="I5512" s="1574"/>
      <c r="J5512" s="3">
        <f>N5504-J5511</f>
        <v>550000</v>
      </c>
      <c r="K5512" s="1009"/>
      <c r="L5512" s="3"/>
      <c r="M5512" s="1528"/>
      <c r="O5512" s="1529"/>
      <c r="Q5512" s="661"/>
      <c r="T5512" s="1386"/>
    </row>
    <row r="5513" spans="7:22">
      <c r="G5513" s="1574" t="s">
        <v>3531</v>
      </c>
      <c r="H5513" s="1574"/>
      <c r="I5513" s="1574"/>
      <c r="J5513" s="3">
        <f>T5510</f>
        <v>57700</v>
      </c>
      <c r="Q5513" s="3"/>
      <c r="T5513" s="1386"/>
    </row>
    <row r="5514" spans="7:22">
      <c r="G5514" s="1564" t="s">
        <v>4455</v>
      </c>
      <c r="H5514" s="1564"/>
      <c r="I5514" s="1564"/>
      <c r="J5514" s="3">
        <f>+P5510</f>
        <v>0</v>
      </c>
      <c r="R5514" s="3"/>
      <c r="T5514" s="1386"/>
    </row>
    <row r="5517" spans="7:22">
      <c r="T5517" s="1396"/>
    </row>
    <row r="5518" spans="7:22">
      <c r="G5518" s="1008" t="s">
        <v>5158</v>
      </c>
      <c r="H5518" s="1169"/>
      <c r="I5518" s="1575" t="s">
        <v>3510</v>
      </c>
      <c r="J5518" s="1576"/>
      <c r="K5518" s="1575" t="s">
        <v>3509</v>
      </c>
      <c r="L5518" s="1576"/>
      <c r="M5518" s="1575" t="s">
        <v>3541</v>
      </c>
      <c r="N5518" s="1576"/>
      <c r="O5518" s="1577" t="s">
        <v>3598</v>
      </c>
      <c r="P5518" s="1578"/>
      <c r="Q5518" s="1579" t="s">
        <v>3599</v>
      </c>
      <c r="R5518" s="1580"/>
      <c r="S5518" s="1583" t="s">
        <v>3953</v>
      </c>
      <c r="T5518" s="1583"/>
      <c r="U5518" s="1583" t="s">
        <v>3954</v>
      </c>
      <c r="V5518" s="1583"/>
    </row>
    <row r="5519" spans="7:22">
      <c r="G5519" s="1097"/>
      <c r="H5519" s="1261"/>
      <c r="I5519" s="1398"/>
      <c r="J5519" s="1081"/>
      <c r="K5519" s="1493" t="s">
        <v>5160</v>
      </c>
      <c r="L5519" s="1081">
        <v>2300000</v>
      </c>
      <c r="M5519" s="1495" t="s">
        <v>5159</v>
      </c>
      <c r="N5519" s="1495">
        <v>2300000</v>
      </c>
      <c r="O5519" s="1383"/>
      <c r="P5519" s="644"/>
      <c r="Q5519" s="1279"/>
      <c r="R5519" s="644"/>
      <c r="S5519" s="1223"/>
      <c r="T5519" s="1191"/>
      <c r="U5519" s="1232"/>
      <c r="V5519" s="48"/>
    </row>
    <row r="5520" spans="7:22">
      <c r="G5520" s="1098"/>
      <c r="H5520" s="1172"/>
      <c r="I5520" s="1398"/>
      <c r="J5520" s="1081"/>
      <c r="K5520" s="1493" t="s">
        <v>3537</v>
      </c>
      <c r="L5520" s="1081">
        <v>1000000</v>
      </c>
      <c r="M5520" s="1495" t="s">
        <v>5164</v>
      </c>
      <c r="N5520" s="49">
        <v>8000000</v>
      </c>
      <c r="O5520" s="1383" t="s">
        <v>4712</v>
      </c>
      <c r="P5520" s="644"/>
      <c r="Q5520" s="1290"/>
      <c r="R5520" s="1290"/>
      <c r="S5520" s="1389" t="s">
        <v>4613</v>
      </c>
      <c r="T5520" s="1191">
        <v>57700</v>
      </c>
      <c r="U5520" s="48" t="s">
        <v>5161</v>
      </c>
      <c r="V5520" s="49"/>
    </row>
    <row r="5521" spans="7:22">
      <c r="G5521" s="48"/>
      <c r="H5521" s="48"/>
      <c r="I5521" s="1400"/>
      <c r="J5521" s="1081"/>
      <c r="K5521" s="1493" t="s">
        <v>5166</v>
      </c>
      <c r="L5521" s="1081">
        <v>3000000</v>
      </c>
      <c r="M5521" s="1495" t="s">
        <v>5165</v>
      </c>
      <c r="N5521" s="49">
        <v>54000000</v>
      </c>
      <c r="O5521" s="1495"/>
      <c r="P5521" s="644"/>
      <c r="Q5521" s="1399"/>
      <c r="R5521" s="644"/>
      <c r="S5521" s="1389"/>
      <c r="T5521" s="1191"/>
      <c r="U5521" s="1404" t="s">
        <v>5162</v>
      </c>
      <c r="V5521" s="1191">
        <v>4000</v>
      </c>
    </row>
    <row r="5522" spans="7:22">
      <c r="G5522" s="48"/>
      <c r="H5522" s="48"/>
      <c r="I5522" s="1400"/>
      <c r="J5522" s="1393"/>
      <c r="K5522" s="1493"/>
      <c r="L5522" s="1081"/>
      <c r="M5522" s="1495" t="s">
        <v>5165</v>
      </c>
      <c r="N5522" s="49">
        <v>12000000</v>
      </c>
      <c r="O5522" s="1383"/>
      <c r="P5522" s="644"/>
      <c r="Q5522" s="1376"/>
      <c r="R5522" s="644"/>
      <c r="S5522" s="1388"/>
      <c r="T5522" s="1397"/>
      <c r="U5522" s="1404" t="s">
        <v>5163</v>
      </c>
      <c r="V5522" s="1397">
        <v>2700</v>
      </c>
    </row>
    <row r="5523" spans="7:22">
      <c r="G5523" s="48"/>
      <c r="H5523" s="48"/>
      <c r="I5523" s="1398"/>
      <c r="J5523" s="1081"/>
      <c r="K5523" s="1493"/>
      <c r="L5523" s="1081"/>
      <c r="M5523" s="1495" t="s">
        <v>5165</v>
      </c>
      <c r="N5523" s="49">
        <v>23000000</v>
      </c>
      <c r="O5523" s="1383"/>
      <c r="P5523" s="644"/>
      <c r="Q5523" s="1384"/>
      <c r="R5523" s="644"/>
      <c r="S5523" s="1390"/>
      <c r="T5523" s="1397"/>
      <c r="U5523" s="1404"/>
      <c r="V5523" s="49"/>
    </row>
    <row r="5524" spans="7:22">
      <c r="G5524" s="48"/>
      <c r="H5524" s="48"/>
      <c r="I5524" s="1392"/>
      <c r="J5524" s="1081"/>
      <c r="K5524" s="1493"/>
      <c r="L5524" s="1081"/>
      <c r="M5524" s="1495" t="s">
        <v>5101</v>
      </c>
      <c r="N5524" s="49">
        <v>900000000</v>
      </c>
      <c r="O5524" s="1383"/>
      <c r="P5524" s="644"/>
      <c r="Q5524" s="1382"/>
      <c r="R5524" s="644"/>
      <c r="S5524" s="1358"/>
      <c r="T5524" s="1397"/>
      <c r="U5524" s="1404"/>
      <c r="V5524" s="49"/>
    </row>
    <row r="5525" spans="7:22">
      <c r="G5525" s="48"/>
      <c r="H5525" s="48"/>
      <c r="I5525" s="1392"/>
      <c r="J5525" s="1081"/>
      <c r="K5525" s="1493"/>
      <c r="L5525" s="1081"/>
      <c r="M5525" s="1495"/>
      <c r="N5525" s="49"/>
      <c r="O5525" s="1383"/>
      <c r="P5525" s="644"/>
      <c r="Q5525" s="1383"/>
      <c r="R5525" s="644"/>
      <c r="S5525" s="48"/>
      <c r="T5525" s="1397"/>
      <c r="U5525" s="1404"/>
      <c r="V5525" s="49"/>
    </row>
    <row r="5526" spans="7:22">
      <c r="G5526" s="48"/>
      <c r="H5526" s="48"/>
      <c r="I5526" s="1392"/>
      <c r="J5526" s="1081"/>
      <c r="K5526" s="1536"/>
      <c r="L5526" s="1081"/>
      <c r="M5526" s="1495"/>
      <c r="N5526" s="49"/>
      <c r="O5526" s="1383"/>
      <c r="P5526" s="644"/>
      <c r="Q5526" s="1385"/>
      <c r="R5526" s="644"/>
      <c r="S5526" s="48"/>
      <c r="T5526" s="1397"/>
      <c r="U5526" s="1404"/>
      <c r="V5526" s="49"/>
    </row>
    <row r="5527" spans="7:22">
      <c r="G5527" s="48"/>
      <c r="H5527" s="48"/>
      <c r="I5527" s="1392"/>
      <c r="J5527" s="1081"/>
      <c r="K5527" s="1493"/>
      <c r="L5527" s="1081"/>
      <c r="M5527" s="1495"/>
      <c r="N5527" s="49"/>
      <c r="O5527" s="644"/>
      <c r="P5527" s="644"/>
      <c r="Q5527" s="1383"/>
      <c r="R5527" s="644"/>
      <c r="S5527" s="48"/>
      <c r="T5527" s="1397"/>
      <c r="U5527" s="1404"/>
      <c r="V5527" s="49"/>
    </row>
    <row r="5528" spans="7:22">
      <c r="G5528" s="48"/>
      <c r="H5528" s="48"/>
      <c r="I5528" s="1392"/>
      <c r="J5528" s="1081"/>
      <c r="K5528" s="1509"/>
      <c r="L5528" s="1081"/>
      <c r="M5528" s="1498"/>
      <c r="N5528" s="49"/>
      <c r="O5528" s="644"/>
      <c r="P5528" s="644"/>
      <c r="Q5528" s="1290"/>
      <c r="R5528" s="644"/>
      <c r="S5528" s="48"/>
      <c r="T5528" s="1397"/>
      <c r="U5528" s="1404"/>
      <c r="V5528" s="49"/>
    </row>
    <row r="5529" spans="7:22">
      <c r="G5529" s="48"/>
      <c r="H5529" s="48"/>
      <c r="I5529" s="1394"/>
      <c r="J5529" s="1081"/>
      <c r="K5529" s="1493"/>
      <c r="L5529" s="1081"/>
      <c r="M5529" s="1498"/>
      <c r="N5529" s="49"/>
      <c r="O5529" s="644"/>
      <c r="P5529" s="644"/>
      <c r="Q5529" s="1383"/>
      <c r="R5529" s="644"/>
      <c r="S5529" s="48"/>
      <c r="T5529" s="1397"/>
      <c r="U5529" s="48"/>
      <c r="V5529" s="48"/>
    </row>
    <row r="5530" spans="7:22">
      <c r="G5530" s="48"/>
      <c r="H5530" s="48"/>
      <c r="I5530" s="1394"/>
      <c r="J5530" s="1081"/>
      <c r="K5530" s="1509"/>
      <c r="L5530" s="1081"/>
      <c r="M5530" s="1498"/>
      <c r="N5530" s="49"/>
      <c r="O5530" s="644"/>
      <c r="P5530" s="644"/>
      <c r="Q5530" s="1290"/>
      <c r="R5530" s="644"/>
      <c r="S5530" s="48"/>
      <c r="T5530" s="1397"/>
      <c r="U5530" s="48"/>
      <c r="V5530" s="48"/>
    </row>
    <row r="5531" spans="7:22">
      <c r="G5531" s="48"/>
      <c r="H5531" s="48"/>
      <c r="I5531" s="1394"/>
      <c r="J5531" s="1081"/>
      <c r="K5531" s="1509"/>
      <c r="L5531" s="1081"/>
      <c r="M5531" s="1498"/>
      <c r="N5531" s="49"/>
      <c r="O5531" s="644"/>
      <c r="P5531" s="644"/>
      <c r="Q5531" s="1290"/>
      <c r="R5531" s="644"/>
      <c r="S5531" s="48"/>
      <c r="T5531" s="1397"/>
      <c r="U5531" s="48"/>
      <c r="V5531" s="48"/>
    </row>
    <row r="5532" spans="7:22">
      <c r="G5532" s="48"/>
      <c r="H5532" s="48"/>
      <c r="I5532" s="1382"/>
      <c r="J5532" s="49"/>
      <c r="K5532" s="1498"/>
      <c r="L5532" s="49"/>
      <c r="M5532" s="1498"/>
      <c r="N5532" s="49"/>
      <c r="O5532" s="644"/>
      <c r="P5532" s="644"/>
      <c r="Q5532" s="1290"/>
      <c r="R5532" s="644"/>
      <c r="S5532" s="48"/>
      <c r="T5532" s="1397"/>
      <c r="U5532" s="48"/>
      <c r="V5532" s="48"/>
    </row>
    <row r="5533" spans="7:22">
      <c r="G5533" s="48"/>
      <c r="H5533" s="48"/>
      <c r="I5533" s="1382"/>
      <c r="J5533" s="49"/>
      <c r="K5533" s="1498"/>
      <c r="L5533" s="49"/>
      <c r="M5533" s="1498"/>
      <c r="N5533" s="49"/>
      <c r="O5533" s="644"/>
      <c r="P5533" s="644"/>
      <c r="Q5533" s="1290"/>
      <c r="R5533" s="644"/>
      <c r="S5533" s="48"/>
      <c r="T5533" s="1397"/>
      <c r="U5533" s="48"/>
      <c r="V5533" s="48"/>
    </row>
    <row r="5534" spans="7:22">
      <c r="G5534" s="48"/>
      <c r="H5534" s="48"/>
      <c r="I5534" s="1382"/>
      <c r="J5534" s="49"/>
      <c r="K5534" s="1498"/>
      <c r="L5534" s="49"/>
      <c r="M5534" s="1498"/>
      <c r="N5534" s="49"/>
      <c r="O5534" s="644"/>
      <c r="P5534" s="644"/>
      <c r="Q5534" s="1290"/>
      <c r="R5534" s="644"/>
      <c r="S5534" s="48"/>
      <c r="T5534" s="1397"/>
      <c r="U5534" s="48"/>
      <c r="V5534" s="48"/>
    </row>
    <row r="5535" spans="7:22">
      <c r="G5535" s="48"/>
      <c r="H5535" s="48"/>
      <c r="I5535" s="48"/>
      <c r="J5535" s="49"/>
      <c r="K5535" s="1498"/>
      <c r="L5535" s="49"/>
      <c r="M5535" s="1498"/>
      <c r="N5535" s="49"/>
      <c r="O5535" s="644"/>
      <c r="P5535" s="644"/>
      <c r="Q5535" s="1290"/>
      <c r="R5535" s="644"/>
      <c r="S5535" s="48"/>
      <c r="T5535" s="1397"/>
      <c r="U5535" s="48"/>
      <c r="V5535" s="48"/>
    </row>
    <row r="5536" spans="7:22">
      <c r="G5536" s="48"/>
      <c r="H5536" s="48"/>
      <c r="I5536" s="48"/>
      <c r="J5536" s="49"/>
      <c r="K5536" s="1498"/>
      <c r="L5536" s="49"/>
      <c r="M5536" s="1498"/>
      <c r="N5536" s="49"/>
      <c r="O5536" s="644"/>
      <c r="P5536" s="644"/>
      <c r="Q5536" s="1290"/>
      <c r="R5536" s="644"/>
      <c r="S5536" s="48"/>
      <c r="T5536" s="1397"/>
      <c r="U5536" s="48"/>
      <c r="V5536" s="48"/>
    </row>
    <row r="5537" spans="7:22">
      <c r="G5537" s="48"/>
      <c r="H5537" s="48"/>
      <c r="I5537" s="48"/>
      <c r="J5537" s="49"/>
      <c r="K5537" s="1498"/>
      <c r="L5537" s="49"/>
      <c r="M5537" s="1498"/>
      <c r="N5537" s="49"/>
      <c r="O5537" s="644"/>
      <c r="P5537" s="644"/>
      <c r="Q5537" s="1290"/>
      <c r="R5537" s="644"/>
      <c r="S5537" s="48"/>
      <c r="T5537" s="1397"/>
      <c r="U5537" s="48"/>
      <c r="V5537" s="48"/>
    </row>
    <row r="5538" spans="7:22">
      <c r="G5538" s="48"/>
      <c r="H5538" s="48"/>
      <c r="I5538" s="48"/>
      <c r="J5538" s="49"/>
      <c r="K5538" s="1498"/>
      <c r="L5538" s="49"/>
      <c r="M5538" s="1498"/>
      <c r="N5538" s="49"/>
      <c r="O5538" s="644"/>
      <c r="P5538" s="644"/>
      <c r="Q5538" s="1290"/>
      <c r="R5538" s="644"/>
      <c r="S5538" s="48"/>
      <c r="T5538" s="1397"/>
      <c r="U5538" s="48"/>
      <c r="V5538" s="48"/>
    </row>
    <row r="5539" spans="7:22">
      <c r="G5539" s="48"/>
      <c r="H5539" s="48"/>
      <c r="I5539" s="48"/>
      <c r="J5539" s="49"/>
      <c r="K5539" s="1498"/>
      <c r="L5539" s="49"/>
      <c r="M5539" s="1498"/>
      <c r="N5539" s="49"/>
      <c r="O5539" s="644"/>
      <c r="P5539" s="644"/>
      <c r="Q5539" s="1290"/>
      <c r="R5539" s="644"/>
      <c r="S5539" s="48"/>
      <c r="T5539" s="1397"/>
      <c r="U5539" s="48"/>
      <c r="V5539" s="48"/>
    </row>
    <row r="5540" spans="7:22">
      <c r="G5540" s="48"/>
      <c r="H5540" s="48"/>
      <c r="I5540" s="48"/>
      <c r="J5540" s="49"/>
      <c r="K5540" s="1498"/>
      <c r="L5540" s="49"/>
      <c r="M5540" s="1498"/>
      <c r="N5540" s="49"/>
      <c r="O5540" s="644"/>
      <c r="P5540" s="644"/>
      <c r="Q5540" s="1290"/>
      <c r="R5540" s="644"/>
      <c r="S5540" s="48"/>
      <c r="T5540" s="1397"/>
      <c r="U5540" s="48"/>
      <c r="V5540" s="48"/>
    </row>
    <row r="5541" spans="7:22">
      <c r="G5541" s="48"/>
      <c r="H5541" s="48"/>
      <c r="I5541" s="48"/>
      <c r="J5541" s="49"/>
      <c r="K5541" s="49"/>
      <c r="L5541" s="49"/>
      <c r="M5541" s="1498"/>
      <c r="N5541" s="49"/>
      <c r="O5541" s="644"/>
      <c r="P5541" s="644"/>
      <c r="Q5541" s="1290"/>
      <c r="R5541" s="644"/>
      <c r="S5541" s="48"/>
      <c r="T5541" s="1397"/>
      <c r="U5541" s="48"/>
      <c r="V5541" s="48"/>
    </row>
    <row r="5542" spans="7:22">
      <c r="G5542" s="48"/>
      <c r="H5542" s="48"/>
      <c r="I5542" s="48"/>
      <c r="J5542" s="954">
        <f>SUM(J5519:J5541)</f>
        <v>0</v>
      </c>
      <c r="K5542" s="954"/>
      <c r="L5542" s="954">
        <f>SUM(L5519:L5541)</f>
        <v>6300000</v>
      </c>
      <c r="M5542" s="1498"/>
      <c r="N5542" s="954">
        <f>SUM(N5519:N5541)</f>
        <v>999300000</v>
      </c>
      <c r="O5542" s="644"/>
      <c r="P5542" s="969">
        <f>SUM(P5519:P5526)</f>
        <v>0</v>
      </c>
      <c r="Q5542" s="969"/>
      <c r="R5542" s="969">
        <f>SUM(R5519:R5541)</f>
        <v>0</v>
      </c>
      <c r="S5542" s="48"/>
      <c r="T5542" s="1178">
        <f>SUM(T5519:T5541)</f>
        <v>57700</v>
      </c>
      <c r="U5542" s="48"/>
      <c r="V5542" s="878">
        <f>SUM(V5519:V5541)</f>
        <v>6700</v>
      </c>
    </row>
    <row r="5543" spans="7:22">
      <c r="T5543" s="1396"/>
    </row>
    <row r="5544" spans="7:22">
      <c r="T5544" s="1396"/>
    </row>
    <row r="5545" spans="7:22">
      <c r="R5545" s="661"/>
      <c r="T5545" s="1396"/>
    </row>
    <row r="5546" spans="7:22">
      <c r="T5546" s="1396"/>
    </row>
    <row r="5547" spans="7:22">
      <c r="T5547" s="1396"/>
    </row>
    <row r="5548" spans="7:22">
      <c r="I5548" s="946"/>
      <c r="M5548" s="1533" t="s">
        <v>3699</v>
      </c>
      <c r="O5548" s="1535" t="s">
        <v>3741</v>
      </c>
      <c r="P5548" s="1512">
        <f>P5542-R5542</f>
        <v>0</v>
      </c>
      <c r="S5548" s="906" t="s">
        <v>4049</v>
      </c>
      <c r="T5548" s="1107">
        <f>T5542-V5542</f>
        <v>51000</v>
      </c>
    </row>
    <row r="5549" spans="7:22">
      <c r="G5549" s="1574" t="s">
        <v>3530</v>
      </c>
      <c r="H5549" s="1574"/>
      <c r="I5549" s="1574"/>
      <c r="J5549" s="3">
        <f>J5542+L5542</f>
        <v>6300000</v>
      </c>
      <c r="K5549" s="1009"/>
      <c r="L5549" s="3"/>
      <c r="M5549" s="1533" t="s">
        <v>3664</v>
      </c>
      <c r="N5549" s="1527"/>
      <c r="O5549" s="1535" t="s">
        <v>4066</v>
      </c>
      <c r="P5549" s="1512"/>
      <c r="T5549" s="1396"/>
    </row>
    <row r="5550" spans="7:22">
      <c r="G5550" s="1574" t="s">
        <v>3512</v>
      </c>
      <c r="H5550" s="1574"/>
      <c r="I5550" s="1574"/>
      <c r="J5550" s="3">
        <f>N5542-J5549</f>
        <v>993000000</v>
      </c>
      <c r="K5550" s="1009"/>
      <c r="L5550" s="3"/>
      <c r="M5550" s="1528"/>
      <c r="O5550" s="1529"/>
      <c r="Q5550" s="661"/>
      <c r="T5550" s="1396"/>
    </row>
    <row r="5551" spans="7:22">
      <c r="G5551" s="1574" t="s">
        <v>3531</v>
      </c>
      <c r="H5551" s="1574"/>
      <c r="I5551" s="1574"/>
      <c r="J5551" s="3">
        <f>T5548</f>
        <v>51000</v>
      </c>
      <c r="Q5551" s="3"/>
      <c r="T5551" s="1396"/>
    </row>
    <row r="5552" spans="7:22">
      <c r="G5552" s="1564" t="s">
        <v>4455</v>
      </c>
      <c r="H5552" s="1564"/>
      <c r="I5552" s="1564"/>
      <c r="J5552" s="3">
        <f>+P5548</f>
        <v>0</v>
      </c>
      <c r="R5552" s="3"/>
      <c r="T5552" s="1396"/>
    </row>
    <row r="5553" spans="7:22">
      <c r="T5553" s="1396"/>
    </row>
    <row r="5554" spans="7:22">
      <c r="T5554" s="1396"/>
    </row>
    <row r="5555" spans="7:22">
      <c r="T5555" s="1402"/>
    </row>
    <row r="5556" spans="7:22">
      <c r="G5556" s="1008">
        <v>46119</v>
      </c>
      <c r="H5556" s="1169"/>
      <c r="I5556" s="1575" t="s">
        <v>3510</v>
      </c>
      <c r="J5556" s="1576"/>
      <c r="K5556" s="1575" t="s">
        <v>3509</v>
      </c>
      <c r="L5556" s="1576"/>
      <c r="M5556" s="1575" t="s">
        <v>3541</v>
      </c>
      <c r="N5556" s="1576"/>
      <c r="O5556" s="1577" t="s">
        <v>3598</v>
      </c>
      <c r="P5556" s="1578"/>
      <c r="Q5556" s="1579" t="s">
        <v>3599</v>
      </c>
      <c r="R5556" s="1580"/>
      <c r="S5556" s="1583" t="s">
        <v>3953</v>
      </c>
      <c r="T5556" s="1583"/>
      <c r="U5556" s="1583" t="s">
        <v>3954</v>
      </c>
      <c r="V5556" s="1583"/>
    </row>
    <row r="5557" spans="7:22">
      <c r="G5557" s="1097"/>
      <c r="H5557" s="1261"/>
      <c r="I5557" s="1410" t="s">
        <v>5171</v>
      </c>
      <c r="J5557" s="1081">
        <v>90000000</v>
      </c>
      <c r="K5557" s="1493" t="s">
        <v>4947</v>
      </c>
      <c r="L5557" s="1081">
        <v>500000</v>
      </c>
      <c r="M5557" s="1495" t="s">
        <v>4613</v>
      </c>
      <c r="N5557" s="1495">
        <v>200000000</v>
      </c>
      <c r="O5557" s="1383"/>
      <c r="P5557" s="644"/>
      <c r="Q5557" s="1279"/>
      <c r="R5557" s="644"/>
      <c r="S5557" s="1223"/>
      <c r="T5557" s="1191"/>
      <c r="U5557" s="1232"/>
      <c r="V5557" s="48"/>
    </row>
    <row r="5558" spans="7:22">
      <c r="G5558" s="1098"/>
      <c r="H5558" s="1172"/>
      <c r="I5558" s="1410" t="s">
        <v>5172</v>
      </c>
      <c r="J5558" s="1081">
        <v>50000000</v>
      </c>
      <c r="K5558" s="1493" t="s">
        <v>4509</v>
      </c>
      <c r="L5558" s="1081">
        <v>12000000</v>
      </c>
      <c r="M5558" s="1495" t="s">
        <v>4613</v>
      </c>
      <c r="N5558" s="49">
        <v>12800000</v>
      </c>
      <c r="O5558" s="1383" t="s">
        <v>4712</v>
      </c>
      <c r="P5558" s="644"/>
      <c r="Q5558" s="1410" t="s">
        <v>4509</v>
      </c>
      <c r="R5558" s="1290">
        <v>3000000</v>
      </c>
      <c r="S5558" s="1389" t="s">
        <v>4613</v>
      </c>
      <c r="T5558" s="1191">
        <v>54100</v>
      </c>
      <c r="U5558" s="48"/>
      <c r="V5558" s="49"/>
    </row>
    <row r="5559" spans="7:22">
      <c r="G5559" s="48"/>
      <c r="H5559" s="48"/>
      <c r="I5559" s="1411" t="s">
        <v>5120</v>
      </c>
      <c r="J5559" s="1081">
        <v>14250000</v>
      </c>
      <c r="K5559" s="1493" t="s">
        <v>5168</v>
      </c>
      <c r="L5559" s="1081">
        <v>3600000</v>
      </c>
      <c r="M5559" s="1495" t="s">
        <v>5169</v>
      </c>
      <c r="N5559" s="49">
        <v>2000000</v>
      </c>
      <c r="O5559" s="1495"/>
      <c r="P5559" s="644"/>
      <c r="Q5559" s="1399"/>
      <c r="R5559" s="644"/>
      <c r="S5559" s="1407" t="s">
        <v>5167</v>
      </c>
      <c r="T5559" s="1191">
        <v>1000</v>
      </c>
      <c r="U5559" s="1408" t="s">
        <v>3058</v>
      </c>
      <c r="V5559" s="1191">
        <v>3700</v>
      </c>
    </row>
    <row r="5560" spans="7:22">
      <c r="G5560" s="48"/>
      <c r="H5560" s="48"/>
      <c r="I5560" s="1411" t="s">
        <v>5173</v>
      </c>
      <c r="J5560" s="1393">
        <v>8200000</v>
      </c>
      <c r="K5560" s="1495" t="s">
        <v>5177</v>
      </c>
      <c r="L5560" s="1081">
        <v>870000</v>
      </c>
      <c r="M5560" s="1495" t="s">
        <v>5170</v>
      </c>
      <c r="N5560" s="49">
        <v>27900000</v>
      </c>
      <c r="O5560" s="1383"/>
      <c r="P5560" s="644"/>
      <c r="Q5560" s="1376"/>
      <c r="R5560" s="644"/>
      <c r="S5560" s="1409" t="s">
        <v>5180</v>
      </c>
      <c r="T5560" s="1403">
        <v>5500</v>
      </c>
      <c r="U5560" s="1408" t="s">
        <v>5168</v>
      </c>
      <c r="V5560" s="1403">
        <v>1400</v>
      </c>
    </row>
    <row r="5561" spans="7:22">
      <c r="G5561" s="48"/>
      <c r="H5561" s="48"/>
      <c r="I5561" s="1410" t="s">
        <v>5174</v>
      </c>
      <c r="J5561" s="1081">
        <v>30690000</v>
      </c>
      <c r="K5561" s="1495" t="s">
        <v>5178</v>
      </c>
      <c r="L5561" s="1081">
        <v>330000</v>
      </c>
      <c r="M5561" s="1495" t="s">
        <v>5185</v>
      </c>
      <c r="N5561" s="49">
        <v>2000000</v>
      </c>
      <c r="O5561" s="1383"/>
      <c r="P5561" s="644"/>
      <c r="Q5561" s="1384"/>
      <c r="R5561" s="644"/>
      <c r="S5561" s="1408" t="s">
        <v>5181</v>
      </c>
      <c r="T5561" s="1403">
        <v>1400</v>
      </c>
      <c r="U5561" s="1408" t="s">
        <v>5176</v>
      </c>
      <c r="V5561" s="49">
        <v>2900</v>
      </c>
    </row>
    <row r="5562" spans="7:22">
      <c r="G5562" s="48"/>
      <c r="H5562" s="48"/>
      <c r="I5562" s="1411" t="s">
        <v>5175</v>
      </c>
      <c r="J5562" s="1081">
        <v>29760000</v>
      </c>
      <c r="K5562" s="1495" t="s">
        <v>5179</v>
      </c>
      <c r="L5562" s="1081">
        <v>1095000</v>
      </c>
      <c r="M5562" s="1495"/>
      <c r="N5562" s="49"/>
      <c r="O5562" s="1383"/>
      <c r="P5562" s="644"/>
      <c r="Q5562" s="1382"/>
      <c r="R5562" s="644"/>
      <c r="S5562" s="1358"/>
      <c r="T5562" s="1403"/>
      <c r="U5562" s="1408" t="s">
        <v>5177</v>
      </c>
      <c r="V5562" s="49">
        <v>2200</v>
      </c>
    </row>
    <row r="5563" spans="7:22">
      <c r="G5563" s="48"/>
      <c r="H5563" s="48"/>
      <c r="I5563" s="1392"/>
      <c r="J5563" s="1081"/>
      <c r="K5563" s="1493" t="s">
        <v>5184</v>
      </c>
      <c r="L5563" s="1081">
        <v>1000000</v>
      </c>
      <c r="M5563" s="1495"/>
      <c r="N5563" s="49"/>
      <c r="O5563" s="1383"/>
      <c r="P5563" s="644"/>
      <c r="Q5563" s="1383"/>
      <c r="R5563" s="644"/>
      <c r="S5563" s="48"/>
      <c r="T5563" s="1403"/>
      <c r="U5563" s="1408" t="s">
        <v>5178</v>
      </c>
      <c r="V5563" s="49">
        <v>3800</v>
      </c>
    </row>
    <row r="5564" spans="7:22">
      <c r="G5564" s="48"/>
      <c r="H5564" s="48"/>
      <c r="I5564" s="1392"/>
      <c r="J5564" s="1081"/>
      <c r="K5564" s="1536" t="s">
        <v>4965</v>
      </c>
      <c r="L5564" s="1081">
        <v>2000000</v>
      </c>
      <c r="M5564" s="1495"/>
      <c r="N5564" s="49"/>
      <c r="O5564" s="1383"/>
      <c r="P5564" s="644"/>
      <c r="Q5564" s="1385"/>
      <c r="R5564" s="644"/>
      <c r="S5564" s="48"/>
      <c r="T5564" s="1403"/>
      <c r="U5564" s="1408" t="s">
        <v>5179</v>
      </c>
      <c r="V5564" s="49">
        <v>1500</v>
      </c>
    </row>
    <row r="5565" spans="7:22">
      <c r="G5565" s="48"/>
      <c r="H5565" s="48"/>
      <c r="I5565" s="1392"/>
      <c r="J5565" s="1081"/>
      <c r="K5565" s="1493"/>
      <c r="L5565" s="1081"/>
      <c r="M5565" s="1495"/>
      <c r="N5565" s="49"/>
      <c r="O5565" s="644"/>
      <c r="P5565" s="644"/>
      <c r="Q5565" s="1383"/>
      <c r="R5565" s="644"/>
      <c r="S5565" s="48"/>
      <c r="T5565" s="1403"/>
      <c r="U5565" s="1408" t="s">
        <v>4605</v>
      </c>
      <c r="V5565" s="49">
        <v>400</v>
      </c>
    </row>
    <row r="5566" spans="7:22">
      <c r="G5566" s="48"/>
      <c r="H5566" s="48"/>
      <c r="I5566" s="1392"/>
      <c r="J5566" s="1081"/>
      <c r="K5566" s="1509"/>
      <c r="L5566" s="1081"/>
      <c r="M5566" s="1498"/>
      <c r="N5566" s="49"/>
      <c r="O5566" s="644"/>
      <c r="P5566" s="644"/>
      <c r="Q5566" s="1290"/>
      <c r="R5566" s="644"/>
      <c r="S5566" s="48"/>
      <c r="T5566" s="1403"/>
      <c r="U5566" s="1408" t="s">
        <v>5182</v>
      </c>
      <c r="V5566" s="49">
        <v>300</v>
      </c>
    </row>
    <row r="5567" spans="7:22">
      <c r="G5567" s="48"/>
      <c r="H5567" s="48"/>
      <c r="I5567" s="1394"/>
      <c r="J5567" s="1081"/>
      <c r="K5567" s="1493"/>
      <c r="L5567" s="1081"/>
      <c r="M5567" s="1498"/>
      <c r="N5567" s="49"/>
      <c r="O5567" s="644"/>
      <c r="P5567" s="644"/>
      <c r="Q5567" s="1383"/>
      <c r="R5567" s="644"/>
      <c r="S5567" s="48"/>
      <c r="T5567" s="1403"/>
      <c r="U5567" s="48" t="s">
        <v>5183</v>
      </c>
      <c r="V5567" s="48">
        <v>400</v>
      </c>
    </row>
    <row r="5568" spans="7:22">
      <c r="G5568" s="48"/>
      <c r="H5568" s="48"/>
      <c r="I5568" s="1394"/>
      <c r="J5568" s="1081"/>
      <c r="K5568" s="1509"/>
      <c r="L5568" s="1081"/>
      <c r="M5568" s="1498"/>
      <c r="N5568" s="49"/>
      <c r="O5568" s="644"/>
      <c r="P5568" s="644"/>
      <c r="Q5568" s="1290"/>
      <c r="R5568" s="644"/>
      <c r="S5568" s="48"/>
      <c r="T5568" s="1403"/>
      <c r="U5568" s="48"/>
      <c r="V5568" s="48"/>
    </row>
    <row r="5569" spans="7:22">
      <c r="G5569" s="48"/>
      <c r="H5569" s="48"/>
      <c r="I5569" s="1394"/>
      <c r="J5569" s="1081"/>
      <c r="K5569" s="1509"/>
      <c r="L5569" s="1081"/>
      <c r="M5569" s="1498"/>
      <c r="N5569" s="49"/>
      <c r="O5569" s="644"/>
      <c r="P5569" s="644"/>
      <c r="Q5569" s="1290"/>
      <c r="R5569" s="644"/>
      <c r="S5569" s="48"/>
      <c r="T5569" s="1403"/>
      <c r="U5569" s="48"/>
      <c r="V5569" s="48"/>
    </row>
    <row r="5570" spans="7:22">
      <c r="G5570" s="48"/>
      <c r="H5570" s="48"/>
      <c r="I5570" s="1382"/>
      <c r="J5570" s="49"/>
      <c r="K5570" s="1498"/>
      <c r="L5570" s="49"/>
      <c r="M5570" s="1498"/>
      <c r="N5570" s="49"/>
      <c r="O5570" s="644"/>
      <c r="P5570" s="644"/>
      <c r="Q5570" s="1290"/>
      <c r="R5570" s="644"/>
      <c r="S5570" s="48"/>
      <c r="T5570" s="1403"/>
      <c r="U5570" s="48"/>
      <c r="V5570" s="48"/>
    </row>
    <row r="5571" spans="7:22">
      <c r="G5571" s="48"/>
      <c r="H5571" s="48"/>
      <c r="I5571" s="1382"/>
      <c r="J5571" s="49"/>
      <c r="K5571" s="1498"/>
      <c r="L5571" s="49"/>
      <c r="M5571" s="1498"/>
      <c r="N5571" s="49"/>
      <c r="O5571" s="644"/>
      <c r="P5571" s="644"/>
      <c r="Q5571" s="1290"/>
      <c r="R5571" s="644"/>
      <c r="S5571" s="48"/>
      <c r="T5571" s="1403"/>
      <c r="U5571" s="48"/>
      <c r="V5571" s="48"/>
    </row>
    <row r="5572" spans="7:22">
      <c r="G5572" s="48"/>
      <c r="H5572" s="48"/>
      <c r="I5572" s="1382"/>
      <c r="J5572" s="49"/>
      <c r="K5572" s="1498"/>
      <c r="L5572" s="49"/>
      <c r="M5572" s="1498"/>
      <c r="N5572" s="49"/>
      <c r="O5572" s="644"/>
      <c r="P5572" s="644"/>
      <c r="Q5572" s="1290"/>
      <c r="R5572" s="644"/>
      <c r="S5572" s="48"/>
      <c r="T5572" s="1403"/>
      <c r="U5572" s="48"/>
      <c r="V5572" s="48"/>
    </row>
    <row r="5573" spans="7:22">
      <c r="G5573" s="48"/>
      <c r="H5573" s="48"/>
      <c r="I5573" s="48"/>
      <c r="J5573" s="49"/>
      <c r="K5573" s="1498"/>
      <c r="L5573" s="49"/>
      <c r="M5573" s="1498"/>
      <c r="N5573" s="49"/>
      <c r="O5573" s="644"/>
      <c r="P5573" s="644"/>
      <c r="Q5573" s="1290"/>
      <c r="R5573" s="644"/>
      <c r="S5573" s="48"/>
      <c r="T5573" s="1403"/>
      <c r="U5573" s="48"/>
      <c r="V5573" s="48"/>
    </row>
    <row r="5574" spans="7:22">
      <c r="G5574" s="48"/>
      <c r="H5574" s="48"/>
      <c r="I5574" s="48"/>
      <c r="J5574" s="49"/>
      <c r="K5574" s="1498"/>
      <c r="L5574" s="49"/>
      <c r="M5574" s="1498"/>
      <c r="N5574" s="49"/>
      <c r="O5574" s="644"/>
      <c r="P5574" s="644"/>
      <c r="Q5574" s="1290"/>
      <c r="R5574" s="644"/>
      <c r="S5574" s="48"/>
      <c r="T5574" s="1403"/>
      <c r="U5574" s="48"/>
      <c r="V5574" s="48"/>
    </row>
    <row r="5575" spans="7:22">
      <c r="G5575" s="48"/>
      <c r="H5575" s="48"/>
      <c r="I5575" s="48"/>
      <c r="J5575" s="49"/>
      <c r="K5575" s="1498"/>
      <c r="L5575" s="49"/>
      <c r="M5575" s="1498"/>
      <c r="N5575" s="49"/>
      <c r="O5575" s="644"/>
      <c r="P5575" s="644"/>
      <c r="Q5575" s="1290"/>
      <c r="R5575" s="644"/>
      <c r="S5575" s="48"/>
      <c r="T5575" s="1403"/>
      <c r="U5575" s="48"/>
      <c r="V5575" s="48"/>
    </row>
    <row r="5576" spans="7:22">
      <c r="G5576" s="48"/>
      <c r="H5576" s="48"/>
      <c r="I5576" s="48"/>
      <c r="J5576" s="49"/>
      <c r="K5576" s="1498"/>
      <c r="L5576" s="49"/>
      <c r="M5576" s="1498"/>
      <c r="N5576" s="49"/>
      <c r="O5576" s="644"/>
      <c r="P5576" s="644"/>
      <c r="Q5576" s="1290"/>
      <c r="R5576" s="644"/>
      <c r="S5576" s="48"/>
      <c r="T5576" s="1403"/>
      <c r="U5576" s="48"/>
      <c r="V5576" s="48"/>
    </row>
    <row r="5577" spans="7:22">
      <c r="G5577" s="48"/>
      <c r="H5577" s="48"/>
      <c r="I5577" s="48"/>
      <c r="J5577" s="49"/>
      <c r="K5577" s="1498"/>
      <c r="L5577" s="49"/>
      <c r="M5577" s="1498"/>
      <c r="N5577" s="49"/>
      <c r="O5577" s="644"/>
      <c r="P5577" s="644"/>
      <c r="Q5577" s="1290"/>
      <c r="R5577" s="644"/>
      <c r="S5577" s="48"/>
      <c r="T5577" s="1403"/>
      <c r="U5577" s="48"/>
      <c r="V5577" s="48"/>
    </row>
    <row r="5578" spans="7:22">
      <c r="G5578" s="48"/>
      <c r="H5578" s="48"/>
      <c r="I5578" s="48"/>
      <c r="J5578" s="49"/>
      <c r="K5578" s="1498"/>
      <c r="L5578" s="49"/>
      <c r="M5578" s="1498"/>
      <c r="N5578" s="49"/>
      <c r="O5578" s="644"/>
      <c r="P5578" s="644"/>
      <c r="Q5578" s="1290"/>
      <c r="R5578" s="644"/>
      <c r="S5578" s="48"/>
      <c r="T5578" s="1403"/>
      <c r="U5578" s="48"/>
      <c r="V5578" s="48"/>
    </row>
    <row r="5579" spans="7:22">
      <c r="G5579" s="48"/>
      <c r="H5579" s="48"/>
      <c r="I5579" s="48"/>
      <c r="J5579" s="49"/>
      <c r="K5579" s="49"/>
      <c r="L5579" s="49"/>
      <c r="M5579" s="1498"/>
      <c r="N5579" s="49"/>
      <c r="O5579" s="644"/>
      <c r="P5579" s="644"/>
      <c r="Q5579" s="1290"/>
      <c r="R5579" s="644"/>
      <c r="S5579" s="48"/>
      <c r="T5579" s="1403"/>
      <c r="U5579" s="48"/>
      <c r="V5579" s="48"/>
    </row>
    <row r="5580" spans="7:22">
      <c r="G5580" s="48"/>
      <c r="H5580" s="48"/>
      <c r="I5580" s="48"/>
      <c r="J5580" s="954">
        <f>SUM(J5557:J5579)</f>
        <v>222900000</v>
      </c>
      <c r="K5580" s="954"/>
      <c r="L5580" s="954">
        <f>SUM(L5557:L5579)</f>
        <v>21395000</v>
      </c>
      <c r="M5580" s="1498"/>
      <c r="N5580" s="954">
        <f>SUM(N5557:N5579)</f>
        <v>244700000</v>
      </c>
      <c r="O5580" s="644"/>
      <c r="P5580" s="969">
        <f>SUM(P5557:P5564)</f>
        <v>0</v>
      </c>
      <c r="Q5580" s="969"/>
      <c r="R5580" s="969">
        <f>SUM(R5557:R5579)</f>
        <v>3000000</v>
      </c>
      <c r="S5580" s="48"/>
      <c r="T5580" s="1178">
        <f>SUM(T5557:T5579)</f>
        <v>62000</v>
      </c>
      <c r="U5580" s="48"/>
      <c r="V5580" s="878">
        <f>SUM(V5557:V5579)</f>
        <v>16600</v>
      </c>
    </row>
    <row r="5581" spans="7:22">
      <c r="T5581" s="1402"/>
    </row>
    <row r="5582" spans="7:22">
      <c r="T5582" s="1402"/>
    </row>
    <row r="5583" spans="7:22">
      <c r="R5583" s="661"/>
      <c r="T5583" s="1402"/>
    </row>
    <row r="5584" spans="7:22">
      <c r="T5584" s="1402"/>
    </row>
    <row r="5585" spans="7:22">
      <c r="T5585" s="1402"/>
    </row>
    <row r="5586" spans="7:22">
      <c r="I5586" s="946"/>
      <c r="M5586" s="1533" t="s">
        <v>3699</v>
      </c>
      <c r="O5586" s="1535" t="s">
        <v>3741</v>
      </c>
      <c r="P5586" s="1512">
        <f>P5580-R5580</f>
        <v>-3000000</v>
      </c>
      <c r="S5586" s="906" t="s">
        <v>4049</v>
      </c>
      <c r="T5586" s="1107">
        <f>T5580-V5580</f>
        <v>45400</v>
      </c>
    </row>
    <row r="5587" spans="7:22">
      <c r="G5587" s="1574" t="s">
        <v>3530</v>
      </c>
      <c r="H5587" s="1574"/>
      <c r="I5587" s="1574"/>
      <c r="J5587" s="3">
        <f>J5580+L5580</f>
        <v>244295000</v>
      </c>
      <c r="K5587" s="1009"/>
      <c r="L5587" s="3"/>
      <c r="M5587" s="1533" t="s">
        <v>3664</v>
      </c>
      <c r="N5587" s="1527"/>
      <c r="O5587" s="1535" t="s">
        <v>4066</v>
      </c>
      <c r="P5587" s="1512"/>
      <c r="T5587" s="1402"/>
    </row>
    <row r="5588" spans="7:22">
      <c r="G5588" s="1574" t="s">
        <v>3512</v>
      </c>
      <c r="H5588" s="1574"/>
      <c r="I5588" s="1574"/>
      <c r="J5588" s="3">
        <f>N5580-J5587</f>
        <v>405000</v>
      </c>
      <c r="K5588" s="1009"/>
      <c r="L5588" s="3"/>
      <c r="M5588" s="1528"/>
      <c r="O5588" s="1529"/>
      <c r="Q5588" s="661"/>
      <c r="T5588" s="1402"/>
    </row>
    <row r="5589" spans="7:22">
      <c r="G5589" s="1574" t="s">
        <v>3531</v>
      </c>
      <c r="H5589" s="1574"/>
      <c r="I5589" s="1574"/>
      <c r="J5589" s="3">
        <f>T5586</f>
        <v>45400</v>
      </c>
      <c r="Q5589" s="3"/>
      <c r="T5589" s="1402"/>
    </row>
    <row r="5590" spans="7:22">
      <c r="G5590" s="1564" t="s">
        <v>4455</v>
      </c>
      <c r="H5590" s="1564"/>
      <c r="I5590" s="1564"/>
      <c r="J5590" s="3">
        <f>+P5586</f>
        <v>-3000000</v>
      </c>
      <c r="R5590" s="3"/>
      <c r="T5590" s="1402"/>
    </row>
    <row r="5592" spans="7:22">
      <c r="T5592" s="1402"/>
    </row>
    <row r="5593" spans="7:22">
      <c r="G5593" s="1008">
        <v>46120</v>
      </c>
      <c r="H5593" s="1169"/>
      <c r="I5593" s="1575" t="s">
        <v>3510</v>
      </c>
      <c r="J5593" s="1576"/>
      <c r="K5593" s="1575" t="s">
        <v>3509</v>
      </c>
      <c r="L5593" s="1576"/>
      <c r="M5593" s="1575" t="s">
        <v>3541</v>
      </c>
      <c r="N5593" s="1576"/>
      <c r="O5593" s="1577" t="s">
        <v>3598</v>
      </c>
      <c r="P5593" s="1578"/>
      <c r="Q5593" s="1579" t="s">
        <v>3599</v>
      </c>
      <c r="R5593" s="1580"/>
      <c r="S5593" s="1583" t="s">
        <v>3953</v>
      </c>
      <c r="T5593" s="1583"/>
      <c r="U5593" s="1583" t="s">
        <v>3954</v>
      </c>
      <c r="V5593" s="1583"/>
    </row>
    <row r="5594" spans="7:22">
      <c r="G5594" s="1097"/>
      <c r="H5594" s="1261"/>
      <c r="I5594" s="1410" t="s">
        <v>5191</v>
      </c>
      <c r="J5594" s="1081">
        <v>7930000</v>
      </c>
      <c r="K5594" s="1493" t="s">
        <v>4492</v>
      </c>
      <c r="L5594" s="1081">
        <v>7000000</v>
      </c>
      <c r="M5594" s="1495" t="s">
        <v>4613</v>
      </c>
      <c r="N5594" s="1495">
        <v>0</v>
      </c>
      <c r="O5594" s="1383"/>
      <c r="P5594" s="644"/>
      <c r="Q5594" s="1279"/>
      <c r="R5594" s="644"/>
      <c r="S5594" s="1223"/>
      <c r="T5594" s="1191"/>
      <c r="U5594" s="1232"/>
      <c r="V5594" s="48"/>
    </row>
    <row r="5595" spans="7:22">
      <c r="G5595" s="1098"/>
      <c r="H5595" s="1172"/>
      <c r="I5595" s="1410" t="s">
        <v>5192</v>
      </c>
      <c r="J5595" s="1081">
        <v>45500000</v>
      </c>
      <c r="K5595" s="1493" t="s">
        <v>4492</v>
      </c>
      <c r="L5595" s="1081">
        <v>5000000</v>
      </c>
      <c r="M5595" s="1495" t="s">
        <v>5186</v>
      </c>
      <c r="N5595" s="49">
        <v>27000000</v>
      </c>
      <c r="O5595" s="1383" t="s">
        <v>4712</v>
      </c>
      <c r="P5595" s="644"/>
      <c r="Q5595" s="1410"/>
      <c r="R5595" s="1290"/>
      <c r="S5595" s="1389" t="s">
        <v>4613</v>
      </c>
      <c r="T5595" s="1191">
        <v>45400</v>
      </c>
      <c r="U5595" s="48"/>
      <c r="V5595" s="49"/>
    </row>
    <row r="5596" spans="7:22">
      <c r="G5596" s="48"/>
      <c r="H5596" s="48"/>
      <c r="I5596" s="1411" t="s">
        <v>5193</v>
      </c>
      <c r="J5596" s="1081">
        <v>16240000</v>
      </c>
      <c r="K5596" s="1493" t="s">
        <v>5199</v>
      </c>
      <c r="L5596" s="1081">
        <v>2500000</v>
      </c>
      <c r="M5596" s="1495" t="s">
        <v>5038</v>
      </c>
      <c r="N5596" s="49">
        <v>2000000</v>
      </c>
      <c r="O5596" s="1495"/>
      <c r="P5596" s="644"/>
      <c r="Q5596" s="1399"/>
      <c r="R5596" s="644"/>
      <c r="S5596" s="1407" t="s">
        <v>5200</v>
      </c>
      <c r="T5596" s="1191">
        <v>1600</v>
      </c>
      <c r="U5596" s="1408" t="s">
        <v>5189</v>
      </c>
      <c r="V5596" s="1191">
        <v>32000</v>
      </c>
    </row>
    <row r="5597" spans="7:22">
      <c r="G5597" s="48"/>
      <c r="H5597" s="48"/>
      <c r="I5597" s="1411" t="s">
        <v>5194</v>
      </c>
      <c r="J5597" s="1393">
        <v>45500000</v>
      </c>
      <c r="K5597" s="1495" t="s">
        <v>4965</v>
      </c>
      <c r="L5597" s="1081">
        <v>19200000</v>
      </c>
      <c r="M5597" s="1495" t="s">
        <v>5187</v>
      </c>
      <c r="N5597" s="49">
        <v>390000000</v>
      </c>
      <c r="O5597" s="1383"/>
      <c r="P5597" s="644"/>
      <c r="Q5597" s="1376"/>
      <c r="R5597" s="644"/>
      <c r="S5597" s="1409"/>
      <c r="T5597" s="1403"/>
      <c r="U5597" s="1408" t="s">
        <v>5190</v>
      </c>
      <c r="V5597" s="1403">
        <v>1600</v>
      </c>
    </row>
    <row r="5598" spans="7:22">
      <c r="G5598" s="48"/>
      <c r="H5598" s="48"/>
      <c r="I5598" s="1410" t="s">
        <v>5195</v>
      </c>
      <c r="J5598" s="1081">
        <v>45500000</v>
      </c>
      <c r="K5598" s="1495" t="s">
        <v>4647</v>
      </c>
      <c r="L5598" s="1081">
        <v>6000000</v>
      </c>
      <c r="M5598" s="1495" t="s">
        <v>5188</v>
      </c>
      <c r="N5598" s="49">
        <v>19400000</v>
      </c>
      <c r="O5598" s="1383"/>
      <c r="P5598" s="644"/>
      <c r="Q5598" s="1384"/>
      <c r="R5598" s="644"/>
      <c r="S5598" s="1408"/>
      <c r="T5598" s="1403"/>
      <c r="U5598" s="1408" t="s">
        <v>5198</v>
      </c>
      <c r="V5598" s="49">
        <v>1000</v>
      </c>
    </row>
    <row r="5599" spans="7:22">
      <c r="G5599" s="48"/>
      <c r="H5599" s="48"/>
      <c r="I5599" s="1411" t="s">
        <v>5196</v>
      </c>
      <c r="J5599" s="1393">
        <v>45500000</v>
      </c>
      <c r="K5599" s="1495" t="s">
        <v>4822</v>
      </c>
      <c r="L5599" s="1081">
        <v>6000000</v>
      </c>
      <c r="M5599" s="1495" t="s">
        <v>4580</v>
      </c>
      <c r="N5599" s="49">
        <v>700000000</v>
      </c>
      <c r="O5599" s="1383"/>
      <c r="P5599" s="644"/>
      <c r="Q5599" s="1382"/>
      <c r="R5599" s="644"/>
      <c r="S5599" s="1358"/>
      <c r="T5599" s="1403"/>
      <c r="U5599" s="1408"/>
      <c r="V5599" s="49"/>
    </row>
    <row r="5600" spans="7:22">
      <c r="G5600" s="48"/>
      <c r="H5600" s="48"/>
      <c r="I5600" s="1411" t="s">
        <v>5197</v>
      </c>
      <c r="J5600" s="1081">
        <v>45500000</v>
      </c>
      <c r="K5600" s="1493" t="s">
        <v>4439</v>
      </c>
      <c r="L5600" s="1081">
        <v>3000000</v>
      </c>
      <c r="M5600" s="1493" t="s">
        <v>5200</v>
      </c>
      <c r="N5600" s="49">
        <v>13100000</v>
      </c>
      <c r="O5600" s="1383"/>
      <c r="P5600" s="644"/>
      <c r="Q5600" s="1383"/>
      <c r="R5600" s="644"/>
      <c r="S5600" s="48"/>
      <c r="T5600" s="1403"/>
      <c r="U5600" s="1408"/>
      <c r="V5600" s="49"/>
    </row>
    <row r="5601" spans="7:22">
      <c r="G5601" s="48"/>
      <c r="H5601" s="48"/>
      <c r="I5601" s="1411" t="s">
        <v>5198</v>
      </c>
      <c r="J5601" s="1081">
        <v>17500000</v>
      </c>
      <c r="K5601" s="1536" t="s">
        <v>4793</v>
      </c>
      <c r="L5601" s="1081">
        <v>6000000</v>
      </c>
      <c r="M5601" s="1495"/>
      <c r="N5601" s="49"/>
      <c r="O5601" s="1383"/>
      <c r="P5601" s="644"/>
      <c r="Q5601" s="1385"/>
      <c r="R5601" s="644"/>
      <c r="S5601" s="48"/>
      <c r="T5601" s="1403"/>
      <c r="U5601" s="1408"/>
      <c r="V5601" s="49"/>
    </row>
    <row r="5602" spans="7:22">
      <c r="G5602" s="48"/>
      <c r="H5602" s="48"/>
      <c r="I5602" s="1411" t="s">
        <v>5201</v>
      </c>
      <c r="J5602" s="1081">
        <v>37200000</v>
      </c>
      <c r="K5602" s="1493"/>
      <c r="L5602" s="1081"/>
      <c r="M5602" s="1495"/>
      <c r="N5602" s="49"/>
      <c r="O5602" s="644"/>
      <c r="P5602" s="644"/>
      <c r="Q5602" s="1383"/>
      <c r="R5602" s="644"/>
      <c r="S5602" s="48"/>
      <c r="T5602" s="1403"/>
      <c r="U5602" s="1408"/>
      <c r="V5602" s="49"/>
    </row>
    <row r="5603" spans="7:22">
      <c r="G5603" s="48"/>
      <c r="H5603" s="48"/>
      <c r="I5603" s="1411" t="s">
        <v>5202</v>
      </c>
      <c r="J5603" s="1081">
        <v>27900000</v>
      </c>
      <c r="K5603" s="1509"/>
      <c r="L5603" s="1081"/>
      <c r="M5603" s="1498"/>
      <c r="N5603" s="49"/>
      <c r="O5603" s="644"/>
      <c r="P5603" s="644"/>
      <c r="Q5603" s="1290"/>
      <c r="R5603" s="644"/>
      <c r="S5603" s="48"/>
      <c r="T5603" s="1403"/>
      <c r="U5603" s="1408"/>
      <c r="V5603" s="49"/>
    </row>
    <row r="5604" spans="7:22">
      <c r="G5604" s="48"/>
      <c r="H5604" s="48"/>
      <c r="I5604" s="1411" t="s">
        <v>5203</v>
      </c>
      <c r="J5604" s="1081">
        <v>27900000</v>
      </c>
      <c r="K5604" s="1493"/>
      <c r="L5604" s="1081"/>
      <c r="M5604" s="1498"/>
      <c r="N5604" s="49"/>
      <c r="O5604" s="644"/>
      <c r="P5604" s="644"/>
      <c r="Q5604" s="1383"/>
      <c r="R5604" s="644"/>
      <c r="S5604" s="48"/>
      <c r="T5604" s="1403"/>
      <c r="U5604" s="48"/>
      <c r="V5604" s="48"/>
    </row>
    <row r="5605" spans="7:22">
      <c r="G5605" s="48"/>
      <c r="H5605" s="48"/>
      <c r="I5605" s="1411" t="s">
        <v>5204</v>
      </c>
      <c r="J5605" s="1081">
        <v>18600000</v>
      </c>
      <c r="K5605" s="1509"/>
      <c r="L5605" s="1081"/>
      <c r="M5605" s="1498"/>
      <c r="N5605" s="49"/>
      <c r="O5605" s="644"/>
      <c r="P5605" s="644"/>
      <c r="Q5605" s="1290"/>
      <c r="R5605" s="644"/>
      <c r="S5605" s="48"/>
      <c r="T5605" s="1403"/>
      <c r="U5605" s="48"/>
      <c r="V5605" s="48"/>
    </row>
    <row r="5606" spans="7:22">
      <c r="G5606" s="48"/>
      <c r="H5606" s="48"/>
      <c r="I5606" s="1411" t="s">
        <v>5205</v>
      </c>
      <c r="J5606" s="1081">
        <v>46000000</v>
      </c>
      <c r="K5606" s="1509"/>
      <c r="L5606" s="1081"/>
      <c r="M5606" s="1498"/>
      <c r="N5606" s="49"/>
      <c r="O5606" s="644"/>
      <c r="P5606" s="644"/>
      <c r="Q5606" s="1290"/>
      <c r="R5606" s="644"/>
      <c r="S5606" s="48"/>
      <c r="T5606" s="1403"/>
      <c r="U5606" s="48"/>
      <c r="V5606" s="48"/>
    </row>
    <row r="5607" spans="7:22">
      <c r="G5607" s="48"/>
      <c r="H5607" s="48"/>
      <c r="I5607" s="1408" t="s">
        <v>5206</v>
      </c>
      <c r="J5607" s="49">
        <v>21160000</v>
      </c>
      <c r="K5607" s="1498"/>
      <c r="L5607" s="49"/>
      <c r="M5607" s="1498"/>
      <c r="N5607" s="49"/>
      <c r="O5607" s="644"/>
      <c r="P5607" s="644"/>
      <c r="Q5607" s="1290"/>
      <c r="R5607" s="644"/>
      <c r="S5607" s="48"/>
      <c r="T5607" s="1403"/>
      <c r="U5607" s="48"/>
      <c r="V5607" s="48"/>
    </row>
    <row r="5608" spans="7:22">
      <c r="G5608" s="48"/>
      <c r="H5608" s="48"/>
      <c r="I5608" s="1408" t="s">
        <v>5207</v>
      </c>
      <c r="J5608" s="49">
        <v>21160000</v>
      </c>
      <c r="K5608" s="1498"/>
      <c r="L5608" s="49"/>
      <c r="M5608" s="1498"/>
      <c r="N5608" s="49"/>
      <c r="O5608" s="644"/>
      <c r="P5608" s="644"/>
      <c r="Q5608" s="1290"/>
      <c r="R5608" s="644"/>
      <c r="S5608" s="48"/>
      <c r="T5608" s="1403"/>
      <c r="U5608" s="48"/>
      <c r="V5608" s="48"/>
    </row>
    <row r="5609" spans="7:22">
      <c r="G5609" s="48"/>
      <c r="H5609" s="48"/>
      <c r="I5609" s="1408" t="s">
        <v>5208</v>
      </c>
      <c r="J5609" s="49">
        <v>47500000</v>
      </c>
      <c r="K5609" s="1498"/>
      <c r="L5609" s="49"/>
      <c r="M5609" s="1498"/>
      <c r="N5609" s="49"/>
      <c r="O5609" s="644"/>
      <c r="P5609" s="644"/>
      <c r="Q5609" s="1290"/>
      <c r="R5609" s="644"/>
      <c r="S5609" s="48"/>
      <c r="T5609" s="1403"/>
      <c r="U5609" s="48"/>
      <c r="V5609" s="48"/>
    </row>
    <row r="5610" spans="7:22">
      <c r="G5610" s="48"/>
      <c r="H5610" s="48"/>
      <c r="I5610" s="48"/>
      <c r="J5610" s="49"/>
      <c r="K5610" s="1498"/>
      <c r="L5610" s="49"/>
      <c r="M5610" s="1498"/>
      <c r="N5610" s="49"/>
      <c r="O5610" s="644"/>
      <c r="P5610" s="644"/>
      <c r="Q5610" s="1290"/>
      <c r="R5610" s="644"/>
      <c r="S5610" s="48"/>
      <c r="T5610" s="1403"/>
      <c r="U5610" s="48"/>
      <c r="V5610" s="48"/>
    </row>
    <row r="5611" spans="7:22">
      <c r="G5611" s="48"/>
      <c r="H5611" s="48"/>
      <c r="I5611" s="48"/>
      <c r="J5611" s="49"/>
      <c r="K5611" s="1498"/>
      <c r="L5611" s="49"/>
      <c r="M5611" s="1498"/>
      <c r="N5611" s="49"/>
      <c r="O5611" s="644"/>
      <c r="P5611" s="644"/>
      <c r="Q5611" s="1290"/>
      <c r="R5611" s="644"/>
      <c r="S5611" s="48"/>
      <c r="T5611" s="1403"/>
      <c r="U5611" s="48"/>
      <c r="V5611" s="48"/>
    </row>
    <row r="5612" spans="7:22">
      <c r="G5612" s="48"/>
      <c r="H5612" s="48"/>
      <c r="I5612" s="48"/>
      <c r="J5612" s="49"/>
      <c r="K5612" s="1498"/>
      <c r="L5612" s="49"/>
      <c r="M5612" s="1498"/>
      <c r="N5612" s="49"/>
      <c r="O5612" s="644"/>
      <c r="P5612" s="644"/>
      <c r="Q5612" s="1290"/>
      <c r="R5612" s="644"/>
      <c r="S5612" s="48"/>
      <c r="T5612" s="1403"/>
      <c r="U5612" s="48"/>
      <c r="V5612" s="48"/>
    </row>
    <row r="5613" spans="7:22">
      <c r="G5613" s="48"/>
      <c r="H5613" s="48"/>
      <c r="I5613" s="48"/>
      <c r="J5613" s="49"/>
      <c r="K5613" s="1498"/>
      <c r="L5613" s="49"/>
      <c r="M5613" s="1498"/>
      <c r="N5613" s="49"/>
      <c r="O5613" s="644"/>
      <c r="P5613" s="644"/>
      <c r="Q5613" s="1290"/>
      <c r="R5613" s="644"/>
      <c r="S5613" s="48"/>
      <c r="T5613" s="1403"/>
      <c r="U5613" s="48"/>
      <c r="V5613" s="48"/>
    </row>
    <row r="5614" spans="7:22">
      <c r="G5614" s="48"/>
      <c r="H5614" s="48"/>
      <c r="I5614" s="48"/>
      <c r="J5614" s="49"/>
      <c r="K5614" s="1498"/>
      <c r="L5614" s="49"/>
      <c r="M5614" s="1498"/>
      <c r="N5614" s="49"/>
      <c r="O5614" s="644"/>
      <c r="P5614" s="644"/>
      <c r="Q5614" s="1290"/>
      <c r="R5614" s="644"/>
      <c r="S5614" s="48"/>
      <c r="T5614" s="1403"/>
      <c r="U5614" s="48"/>
      <c r="V5614" s="48"/>
    </row>
    <row r="5615" spans="7:22">
      <c r="G5615" s="48"/>
      <c r="H5615" s="48"/>
      <c r="I5615" s="48"/>
      <c r="J5615" s="49"/>
      <c r="K5615" s="1498"/>
      <c r="L5615" s="49"/>
      <c r="M5615" s="1498"/>
      <c r="N5615" s="49"/>
      <c r="O5615" s="644"/>
      <c r="P5615" s="644"/>
      <c r="Q5615" s="1290"/>
      <c r="R5615" s="644"/>
      <c r="S5615" s="48"/>
      <c r="T5615" s="1403"/>
      <c r="U5615" s="48"/>
      <c r="V5615" s="48"/>
    </row>
    <row r="5616" spans="7:22">
      <c r="G5616" s="48"/>
      <c r="H5616" s="48"/>
      <c r="I5616" s="48"/>
      <c r="J5616" s="49"/>
      <c r="K5616" s="49"/>
      <c r="L5616" s="49"/>
      <c r="M5616" s="1498"/>
      <c r="N5616" s="49"/>
      <c r="O5616" s="644"/>
      <c r="P5616" s="644"/>
      <c r="Q5616" s="1290"/>
      <c r="R5616" s="644"/>
      <c r="S5616" s="48"/>
      <c r="T5616" s="1403"/>
      <c r="U5616" s="48"/>
      <c r="V5616" s="48"/>
    </row>
    <row r="5617" spans="7:22">
      <c r="G5617" s="48"/>
      <c r="H5617" s="48"/>
      <c r="I5617" s="48"/>
      <c r="J5617" s="954">
        <f>SUM(J5594:J5616)</f>
        <v>516590000</v>
      </c>
      <c r="K5617" s="954"/>
      <c r="L5617" s="954">
        <f>SUM(L5594:L5616)</f>
        <v>54700000</v>
      </c>
      <c r="M5617" s="1498"/>
      <c r="N5617" s="954">
        <f>SUM(N5594:N5616)</f>
        <v>1151500000</v>
      </c>
      <c r="O5617" s="644"/>
      <c r="P5617" s="969">
        <f>SUM(P5594:P5601)</f>
        <v>0</v>
      </c>
      <c r="Q5617" s="969"/>
      <c r="R5617" s="969">
        <f>SUM(R5594:R5616)</f>
        <v>0</v>
      </c>
      <c r="S5617" s="48"/>
      <c r="T5617" s="1178">
        <f>SUM(T5594:T5616)</f>
        <v>47000</v>
      </c>
      <c r="U5617" s="48"/>
      <c r="V5617" s="878">
        <f>SUM(V5594:V5616)</f>
        <v>34600</v>
      </c>
    </row>
    <row r="5618" spans="7:22">
      <c r="T5618" s="1402"/>
    </row>
    <row r="5619" spans="7:22">
      <c r="T5619" s="1402"/>
    </row>
    <row r="5620" spans="7:22">
      <c r="R5620" s="661"/>
      <c r="T5620" s="1402"/>
    </row>
    <row r="5621" spans="7:22">
      <c r="T5621" s="1402"/>
    </row>
    <row r="5622" spans="7:22">
      <c r="T5622" s="1402"/>
    </row>
    <row r="5623" spans="7:22">
      <c r="I5623" s="946"/>
      <c r="M5623" s="1533" t="s">
        <v>3699</v>
      </c>
      <c r="O5623" s="1535" t="s">
        <v>3741</v>
      </c>
      <c r="P5623" s="1512">
        <f>P5617-R5617</f>
        <v>0</v>
      </c>
      <c r="S5623" s="906" t="s">
        <v>4049</v>
      </c>
      <c r="T5623" s="1107">
        <f>T5617-V5617</f>
        <v>12400</v>
      </c>
    </row>
    <row r="5624" spans="7:22">
      <c r="G5624" s="1574" t="s">
        <v>3530</v>
      </c>
      <c r="H5624" s="1574"/>
      <c r="I5624" s="1574"/>
      <c r="J5624" s="3">
        <f>J5617+L5617</f>
        <v>571290000</v>
      </c>
      <c r="K5624" s="1009"/>
      <c r="L5624" s="3"/>
      <c r="M5624" s="1533" t="s">
        <v>3664</v>
      </c>
      <c r="N5624" s="1527"/>
      <c r="O5624" s="1535" t="s">
        <v>4066</v>
      </c>
      <c r="P5624" s="1512"/>
      <c r="T5624" s="1402"/>
    </row>
    <row r="5625" spans="7:22">
      <c r="G5625" s="1574" t="s">
        <v>3512</v>
      </c>
      <c r="H5625" s="1574"/>
      <c r="I5625" s="1574"/>
      <c r="J5625" s="3">
        <f>N5617-J5624</f>
        <v>580210000</v>
      </c>
      <c r="K5625" s="1009"/>
      <c r="L5625" s="3"/>
      <c r="M5625" s="1528"/>
      <c r="O5625" s="1529"/>
      <c r="Q5625" s="661"/>
      <c r="T5625" s="1402"/>
    </row>
    <row r="5626" spans="7:22">
      <c r="G5626" s="1574" t="s">
        <v>3531</v>
      </c>
      <c r="H5626" s="1574"/>
      <c r="I5626" s="1574"/>
      <c r="J5626" s="3">
        <f>T5623</f>
        <v>12400</v>
      </c>
      <c r="Q5626" s="3"/>
      <c r="T5626" s="1402"/>
    </row>
    <row r="5627" spans="7:22">
      <c r="G5627" s="1564" t="s">
        <v>4455</v>
      </c>
      <c r="H5627" s="1564"/>
      <c r="I5627" s="1564"/>
      <c r="J5627" s="3">
        <f>+P5623</f>
        <v>0</v>
      </c>
      <c r="R5627" s="3"/>
      <c r="T5627" s="1402"/>
    </row>
    <row r="5628" spans="7:22">
      <c r="T5628" s="1402"/>
    </row>
    <row r="5630" spans="7:22">
      <c r="T5630" s="1402"/>
    </row>
    <row r="5631" spans="7:22">
      <c r="T5631" s="1402"/>
    </row>
    <row r="5632" spans="7:22">
      <c r="G5632" s="1008">
        <v>46121</v>
      </c>
      <c r="H5632" s="1169"/>
      <c r="I5632" s="1575" t="s">
        <v>3510</v>
      </c>
      <c r="J5632" s="1576"/>
      <c r="K5632" s="1575" t="s">
        <v>3509</v>
      </c>
      <c r="L5632" s="1576"/>
      <c r="M5632" s="1575" t="s">
        <v>3541</v>
      </c>
      <c r="N5632" s="1576"/>
      <c r="O5632" s="1577" t="s">
        <v>3598</v>
      </c>
      <c r="P5632" s="1578"/>
      <c r="Q5632" s="1579" t="s">
        <v>3599</v>
      </c>
      <c r="R5632" s="1580"/>
      <c r="S5632" s="1583" t="s">
        <v>3953</v>
      </c>
      <c r="T5632" s="1583"/>
      <c r="U5632" s="1583" t="s">
        <v>3954</v>
      </c>
      <c r="V5632" s="1583"/>
    </row>
    <row r="5633" spans="7:22">
      <c r="G5633" s="1097"/>
      <c r="H5633" s="1261"/>
      <c r="I5633" s="1410" t="s">
        <v>5210</v>
      </c>
      <c r="J5633" s="1081">
        <v>36800000</v>
      </c>
      <c r="K5633" s="1493" t="s">
        <v>4507</v>
      </c>
      <c r="L5633" s="1081">
        <v>15000000</v>
      </c>
      <c r="M5633" s="1495" t="s">
        <v>4613</v>
      </c>
      <c r="N5633" s="1495">
        <v>580000000</v>
      </c>
      <c r="O5633" s="1383"/>
      <c r="P5633" s="644"/>
      <c r="Q5633" s="1279"/>
      <c r="R5633" s="644"/>
      <c r="S5633" s="1223"/>
      <c r="T5633" s="1191"/>
      <c r="U5633" s="1232"/>
      <c r="V5633" s="48"/>
    </row>
    <row r="5634" spans="7:22">
      <c r="G5634" s="1098"/>
      <c r="H5634" s="1172"/>
      <c r="I5634" s="1410" t="s">
        <v>5120</v>
      </c>
      <c r="J5634" s="1081">
        <v>10450000</v>
      </c>
      <c r="K5634" s="1493" t="s">
        <v>4507</v>
      </c>
      <c r="L5634" s="1081">
        <v>6000000</v>
      </c>
      <c r="M5634" s="1495" t="s">
        <v>5039</v>
      </c>
      <c r="N5634" s="49">
        <v>14000000</v>
      </c>
      <c r="O5634" s="1383" t="s">
        <v>4712</v>
      </c>
      <c r="P5634" s="644"/>
      <c r="Q5634" s="1410"/>
      <c r="R5634" s="1290"/>
      <c r="S5634" s="1389" t="s">
        <v>4613</v>
      </c>
      <c r="T5634" s="1191">
        <v>12400</v>
      </c>
      <c r="U5634" s="48"/>
      <c r="V5634" s="49"/>
    </row>
    <row r="5635" spans="7:22">
      <c r="G5635" s="48"/>
      <c r="H5635" s="48"/>
      <c r="I5635" s="1411" t="s">
        <v>5177</v>
      </c>
      <c r="J5635" s="1081">
        <v>27900000</v>
      </c>
      <c r="K5635" s="1493" t="s">
        <v>4447</v>
      </c>
      <c r="L5635" s="1081">
        <v>600000</v>
      </c>
      <c r="M5635" s="1495" t="s">
        <v>5216</v>
      </c>
      <c r="N5635" s="49">
        <v>59500000</v>
      </c>
      <c r="O5635" s="1495" t="s">
        <v>5209</v>
      </c>
      <c r="P5635" s="644">
        <v>4000000</v>
      </c>
      <c r="Q5635" s="1412" t="s">
        <v>3537</v>
      </c>
      <c r="R5635" s="644">
        <v>3000000</v>
      </c>
      <c r="S5635" s="1415" t="s">
        <v>5238</v>
      </c>
      <c r="T5635" s="1191">
        <v>5000</v>
      </c>
      <c r="U5635" s="1417" t="s">
        <v>5240</v>
      </c>
      <c r="V5635" s="1191">
        <v>900</v>
      </c>
    </row>
    <row r="5636" spans="7:22">
      <c r="G5636" s="48"/>
      <c r="H5636" s="48"/>
      <c r="I5636" s="1411" t="s">
        <v>5211</v>
      </c>
      <c r="J5636" s="1393">
        <v>24690000</v>
      </c>
      <c r="K5636" s="1495" t="s">
        <v>5215</v>
      </c>
      <c r="L5636" s="1081">
        <v>1600000</v>
      </c>
      <c r="M5636" s="1495" t="s">
        <v>5239</v>
      </c>
      <c r="N5636" s="49">
        <v>20000000</v>
      </c>
      <c r="O5636" s="1383"/>
      <c r="P5636" s="644"/>
      <c r="Q5636" s="1376"/>
      <c r="R5636" s="644"/>
      <c r="S5636" s="1415" t="s">
        <v>5239</v>
      </c>
      <c r="T5636" s="1403">
        <v>1000</v>
      </c>
      <c r="U5636" s="1408"/>
      <c r="V5636" s="1403"/>
    </row>
    <row r="5637" spans="7:22">
      <c r="G5637" s="48"/>
      <c r="H5637" s="48"/>
      <c r="I5637" s="1410" t="s">
        <v>5212</v>
      </c>
      <c r="J5637" s="1081">
        <v>93000000</v>
      </c>
      <c r="K5637" s="1495" t="s">
        <v>4541</v>
      </c>
      <c r="L5637" s="1081">
        <v>300000</v>
      </c>
      <c r="M5637" s="1495" t="s">
        <v>5101</v>
      </c>
      <c r="N5637" s="49">
        <v>600000000</v>
      </c>
      <c r="O5637" s="1383"/>
      <c r="P5637" s="644"/>
      <c r="Q5637" s="1384"/>
      <c r="R5637" s="644"/>
      <c r="S5637" s="1408"/>
      <c r="T5637" s="1403"/>
      <c r="U5637" s="1408"/>
      <c r="V5637" s="49"/>
    </row>
    <row r="5638" spans="7:22">
      <c r="G5638" s="48"/>
      <c r="H5638" s="48"/>
      <c r="I5638" s="1411" t="s">
        <v>5213</v>
      </c>
      <c r="J5638" s="1393">
        <v>46500000</v>
      </c>
      <c r="K5638" s="1495" t="s">
        <v>4903</v>
      </c>
      <c r="L5638" s="1081">
        <v>5000000</v>
      </c>
      <c r="M5638" s="1495"/>
      <c r="N5638" s="49"/>
      <c r="O5638" s="1383"/>
      <c r="P5638" s="644"/>
      <c r="Q5638" s="1382"/>
      <c r="R5638" s="644"/>
      <c r="S5638" s="1358"/>
      <c r="T5638" s="1403"/>
      <c r="U5638" s="1408"/>
      <c r="V5638" s="49"/>
    </row>
    <row r="5639" spans="7:22">
      <c r="G5639" s="48"/>
      <c r="H5639" s="48"/>
      <c r="I5639" s="1411" t="s">
        <v>5214</v>
      </c>
      <c r="J5639" s="1081">
        <v>46500000</v>
      </c>
      <c r="K5639" s="1493" t="s">
        <v>4647</v>
      </c>
      <c r="L5639" s="1081">
        <v>4000000</v>
      </c>
      <c r="M5639" s="1493"/>
      <c r="N5639" s="49"/>
      <c r="O5639" s="1383"/>
      <c r="P5639" s="644"/>
      <c r="Q5639" s="1383"/>
      <c r="R5639" s="644"/>
      <c r="S5639" s="48"/>
      <c r="T5639" s="1403"/>
      <c r="U5639" s="1408"/>
      <c r="V5639" s="49"/>
    </row>
    <row r="5640" spans="7:22">
      <c r="G5640" s="48"/>
      <c r="H5640" s="48"/>
      <c r="I5640" s="1416" t="s">
        <v>5217</v>
      </c>
      <c r="J5640" s="1081">
        <v>36400000</v>
      </c>
      <c r="K5640" s="1536" t="s">
        <v>4822</v>
      </c>
      <c r="L5640" s="1081">
        <v>8300000</v>
      </c>
      <c r="M5640" s="1495"/>
      <c r="N5640" s="49"/>
      <c r="O5640" s="1383"/>
      <c r="P5640" s="644"/>
      <c r="Q5640" s="1385"/>
      <c r="R5640" s="644"/>
      <c r="S5640" s="48"/>
      <c r="T5640" s="1403"/>
      <c r="U5640" s="1408"/>
      <c r="V5640" s="49"/>
    </row>
    <row r="5641" spans="7:22">
      <c r="G5641" s="48"/>
      <c r="H5641" s="48"/>
      <c r="I5641" s="1416" t="s">
        <v>5218</v>
      </c>
      <c r="J5641" s="1081">
        <v>45500000</v>
      </c>
      <c r="K5641" s="1493" t="s">
        <v>4647</v>
      </c>
      <c r="L5641" s="1081">
        <v>2000000</v>
      </c>
      <c r="M5641" s="1495"/>
      <c r="N5641" s="49"/>
      <c r="O5641" s="644"/>
      <c r="P5641" s="644"/>
      <c r="Q5641" s="1383"/>
      <c r="R5641" s="644"/>
      <c r="S5641" s="48"/>
      <c r="T5641" s="1403"/>
      <c r="U5641" s="1408"/>
      <c r="V5641" s="49"/>
    </row>
    <row r="5642" spans="7:22">
      <c r="G5642" s="48"/>
      <c r="H5642" s="48"/>
      <c r="I5642" s="1416" t="s">
        <v>5219</v>
      </c>
      <c r="J5642" s="1081">
        <v>36400000</v>
      </c>
      <c r="K5642" s="1509"/>
      <c r="L5642" s="1081"/>
      <c r="M5642" s="1498"/>
      <c r="N5642" s="49"/>
      <c r="O5642" s="644"/>
      <c r="P5642" s="644"/>
      <c r="Q5642" s="1290"/>
      <c r="R5642" s="644"/>
      <c r="S5642" s="48"/>
      <c r="T5642" s="1403"/>
      <c r="U5642" s="1408"/>
      <c r="V5642" s="49"/>
    </row>
    <row r="5643" spans="7:22">
      <c r="G5643" s="48"/>
      <c r="H5643" s="48"/>
      <c r="I5643" s="1416" t="s">
        <v>5241</v>
      </c>
      <c r="J5643" s="1081">
        <v>37200000</v>
      </c>
      <c r="K5643" s="1493"/>
      <c r="L5643" s="1081"/>
      <c r="M5643" s="1498"/>
      <c r="N5643" s="49"/>
      <c r="O5643" s="644"/>
      <c r="P5643" s="644"/>
      <c r="Q5643" s="1383"/>
      <c r="R5643" s="644"/>
      <c r="S5643" s="48"/>
      <c r="T5643" s="1403"/>
      <c r="U5643" s="48"/>
      <c r="V5643" s="48"/>
    </row>
    <row r="5644" spans="7:22">
      <c r="G5644" s="48"/>
      <c r="H5644" s="48"/>
      <c r="I5644" s="1416" t="s">
        <v>5242</v>
      </c>
      <c r="J5644" s="1081">
        <v>92000000</v>
      </c>
      <c r="K5644" s="1509"/>
      <c r="L5644" s="1081"/>
      <c r="M5644" s="1498"/>
      <c r="N5644" s="49"/>
      <c r="O5644" s="644"/>
      <c r="P5644" s="644"/>
      <c r="Q5644" s="1290"/>
      <c r="R5644" s="644"/>
      <c r="S5644" s="48"/>
      <c r="T5644" s="1403"/>
      <c r="U5644" s="48"/>
      <c r="V5644" s="48"/>
    </row>
    <row r="5645" spans="7:22">
      <c r="G5645" s="48"/>
      <c r="H5645" s="48"/>
      <c r="I5645" s="1416" t="s">
        <v>5243</v>
      </c>
      <c r="J5645" s="1081">
        <v>45000000</v>
      </c>
      <c r="K5645" s="1509"/>
      <c r="L5645" s="1081"/>
      <c r="M5645" s="1498"/>
      <c r="N5645" s="49"/>
      <c r="O5645" s="644"/>
      <c r="P5645" s="644"/>
      <c r="Q5645" s="1290"/>
      <c r="R5645" s="644"/>
      <c r="S5645" s="48"/>
      <c r="T5645" s="1403"/>
      <c r="U5645" s="48"/>
      <c r="V5645" s="48"/>
    </row>
    <row r="5646" spans="7:22">
      <c r="G5646" s="48"/>
      <c r="H5646" s="48"/>
      <c r="I5646" s="1417" t="s">
        <v>5244</v>
      </c>
      <c r="J5646" s="49">
        <v>32200000</v>
      </c>
      <c r="K5646" s="1498"/>
      <c r="L5646" s="49"/>
      <c r="M5646" s="1498"/>
      <c r="N5646" s="49"/>
      <c r="O5646" s="644"/>
      <c r="P5646" s="644"/>
      <c r="Q5646" s="1290"/>
      <c r="R5646" s="644"/>
      <c r="S5646" s="48"/>
      <c r="T5646" s="1403"/>
      <c r="U5646" s="48"/>
      <c r="V5646" s="48"/>
    </row>
    <row r="5647" spans="7:22">
      <c r="G5647" s="48"/>
      <c r="H5647" s="48"/>
      <c r="I5647" s="1417" t="s">
        <v>5245</v>
      </c>
      <c r="J5647" s="49">
        <v>18000000</v>
      </c>
      <c r="K5647" s="1498"/>
      <c r="L5647" s="49"/>
      <c r="M5647" s="1498"/>
      <c r="N5647" s="49"/>
      <c r="O5647" s="644"/>
      <c r="P5647" s="644"/>
      <c r="Q5647" s="1290"/>
      <c r="R5647" s="644"/>
      <c r="S5647" s="48"/>
      <c r="T5647" s="1403"/>
      <c r="U5647" s="48"/>
      <c r="V5647" s="48"/>
    </row>
    <row r="5648" spans="7:22">
      <c r="G5648" s="48"/>
      <c r="H5648" s="48"/>
      <c r="I5648" s="1408"/>
      <c r="J5648" s="49"/>
      <c r="K5648" s="1498"/>
      <c r="L5648" s="49"/>
      <c r="M5648" s="1498"/>
      <c r="N5648" s="49"/>
      <c r="O5648" s="644"/>
      <c r="P5648" s="644"/>
      <c r="Q5648" s="1290"/>
      <c r="R5648" s="644"/>
      <c r="S5648" s="48"/>
      <c r="T5648" s="1403"/>
      <c r="U5648" s="48"/>
      <c r="V5648" s="48"/>
    </row>
    <row r="5649" spans="7:22">
      <c r="G5649" s="48"/>
      <c r="H5649" s="48"/>
      <c r="I5649" s="48"/>
      <c r="J5649" s="49"/>
      <c r="K5649" s="1498"/>
      <c r="L5649" s="49"/>
      <c r="M5649" s="1498"/>
      <c r="N5649" s="49"/>
      <c r="O5649" s="644"/>
      <c r="P5649" s="644"/>
      <c r="Q5649" s="1290"/>
      <c r="R5649" s="644"/>
      <c r="S5649" s="48"/>
      <c r="T5649" s="1403"/>
      <c r="U5649" s="48"/>
      <c r="V5649" s="48"/>
    </row>
    <row r="5650" spans="7:22">
      <c r="G5650" s="48"/>
      <c r="H5650" s="48"/>
      <c r="I5650" s="48"/>
      <c r="J5650" s="49"/>
      <c r="K5650" s="1498"/>
      <c r="L5650" s="49"/>
      <c r="M5650" s="1498"/>
      <c r="N5650" s="49"/>
      <c r="O5650" s="644"/>
      <c r="P5650" s="644"/>
      <c r="Q5650" s="1290"/>
      <c r="R5650" s="644"/>
      <c r="S5650" s="48"/>
      <c r="T5650" s="1403"/>
      <c r="U5650" s="48"/>
      <c r="V5650" s="48"/>
    </row>
    <row r="5651" spans="7:22">
      <c r="G5651" s="48"/>
      <c r="H5651" s="48"/>
      <c r="I5651" s="48"/>
      <c r="J5651" s="49"/>
      <c r="K5651" s="1498"/>
      <c r="L5651" s="49"/>
      <c r="M5651" s="1498"/>
      <c r="N5651" s="49"/>
      <c r="O5651" s="644"/>
      <c r="P5651" s="644"/>
      <c r="Q5651" s="1290"/>
      <c r="R5651" s="644"/>
      <c r="S5651" s="48"/>
      <c r="T5651" s="1403"/>
      <c r="U5651" s="48"/>
      <c r="V5651" s="48"/>
    </row>
    <row r="5652" spans="7:22">
      <c r="G5652" s="48"/>
      <c r="H5652" s="48"/>
      <c r="I5652" s="48"/>
      <c r="J5652" s="49"/>
      <c r="K5652" s="1498"/>
      <c r="L5652" s="49"/>
      <c r="M5652" s="1498"/>
      <c r="N5652" s="49"/>
      <c r="O5652" s="644"/>
      <c r="P5652" s="644"/>
      <c r="Q5652" s="1290"/>
      <c r="R5652" s="644"/>
      <c r="S5652" s="48"/>
      <c r="T5652" s="1403"/>
      <c r="U5652" s="48"/>
      <c r="V5652" s="48"/>
    </row>
    <row r="5653" spans="7:22">
      <c r="G5653" s="48"/>
      <c r="H5653" s="48"/>
      <c r="I5653" s="48"/>
      <c r="J5653" s="49"/>
      <c r="K5653" s="1498"/>
      <c r="L5653" s="49"/>
      <c r="M5653" s="1498"/>
      <c r="N5653" s="49"/>
      <c r="O5653" s="644"/>
      <c r="P5653" s="644"/>
      <c r="Q5653" s="1290"/>
      <c r="R5653" s="644"/>
      <c r="S5653" s="48"/>
      <c r="T5653" s="1403"/>
      <c r="U5653" s="48"/>
      <c r="V5653" s="48"/>
    </row>
    <row r="5654" spans="7:22">
      <c r="G5654" s="48"/>
      <c r="H5654" s="48"/>
      <c r="I5654" s="48"/>
      <c r="J5654" s="49"/>
      <c r="K5654" s="1498"/>
      <c r="L5654" s="49"/>
      <c r="M5654" s="1498"/>
      <c r="N5654" s="49"/>
      <c r="O5654" s="644"/>
      <c r="P5654" s="644"/>
      <c r="Q5654" s="1290"/>
      <c r="R5654" s="644"/>
      <c r="S5654" s="48"/>
      <c r="T5654" s="1403"/>
      <c r="U5654" s="48"/>
      <c r="V5654" s="48"/>
    </row>
    <row r="5655" spans="7:22">
      <c r="G5655" s="48"/>
      <c r="H5655" s="48"/>
      <c r="I5655" s="48"/>
      <c r="J5655" s="49"/>
      <c r="K5655" s="49"/>
      <c r="L5655" s="49"/>
      <c r="M5655" s="1498"/>
      <c r="N5655" s="49"/>
      <c r="O5655" s="644"/>
      <c r="P5655" s="644"/>
      <c r="Q5655" s="1290"/>
      <c r="R5655" s="644"/>
      <c r="S5655" s="48"/>
      <c r="T5655" s="1403"/>
      <c r="U5655" s="48"/>
      <c r="V5655" s="48"/>
    </row>
    <row r="5656" spans="7:22">
      <c r="G5656" s="48"/>
      <c r="H5656" s="48"/>
      <c r="I5656" s="48"/>
      <c r="J5656" s="954">
        <f>SUM(J5633:J5655)</f>
        <v>628540000</v>
      </c>
      <c r="K5656" s="954"/>
      <c r="L5656" s="954">
        <f>SUM(L5633:L5655)</f>
        <v>42800000</v>
      </c>
      <c r="M5656" s="1498"/>
      <c r="N5656" s="954">
        <f>SUM(N5633:N5655)</f>
        <v>1273500000</v>
      </c>
      <c r="O5656" s="644"/>
      <c r="P5656" s="969">
        <f>SUM(P5633:P5640)</f>
        <v>4000000</v>
      </c>
      <c r="Q5656" s="969"/>
      <c r="R5656" s="969">
        <f>SUM(R5633:R5655)</f>
        <v>3000000</v>
      </c>
      <c r="S5656" s="48"/>
      <c r="T5656" s="1178">
        <f>SUM(T5633:T5655)</f>
        <v>18400</v>
      </c>
      <c r="U5656" s="48"/>
      <c r="V5656" s="878">
        <f>SUM(V5633:V5655)</f>
        <v>900</v>
      </c>
    </row>
    <row r="5657" spans="7:22">
      <c r="T5657" s="1402"/>
    </row>
    <row r="5658" spans="7:22">
      <c r="T5658" s="1402"/>
    </row>
    <row r="5659" spans="7:22">
      <c r="R5659" s="661"/>
      <c r="T5659" s="1402"/>
    </row>
    <row r="5660" spans="7:22">
      <c r="T5660" s="1402"/>
    </row>
    <row r="5661" spans="7:22">
      <c r="T5661" s="1402"/>
    </row>
    <row r="5662" spans="7:22">
      <c r="I5662" s="946"/>
      <c r="M5662" s="1533" t="s">
        <v>3699</v>
      </c>
      <c r="O5662" s="1535" t="s">
        <v>3741</v>
      </c>
      <c r="P5662" s="1512">
        <f>P5656-R5656</f>
        <v>1000000</v>
      </c>
      <c r="S5662" s="906" t="s">
        <v>4049</v>
      </c>
      <c r="T5662" s="1107">
        <f>T5656-V5656</f>
        <v>17500</v>
      </c>
    </row>
    <row r="5663" spans="7:22">
      <c r="G5663" s="1574" t="s">
        <v>3530</v>
      </c>
      <c r="H5663" s="1574"/>
      <c r="I5663" s="1574"/>
      <c r="J5663" s="3">
        <f>J5656+L5656</f>
        <v>671340000</v>
      </c>
      <c r="K5663" s="1009"/>
      <c r="L5663" s="3"/>
      <c r="M5663" s="1533" t="s">
        <v>3664</v>
      </c>
      <c r="N5663" s="1527"/>
      <c r="O5663" s="1535" t="s">
        <v>4066</v>
      </c>
      <c r="P5663" s="1512"/>
      <c r="T5663" s="1402"/>
    </row>
    <row r="5664" spans="7:22">
      <c r="G5664" s="1574" t="s">
        <v>3512</v>
      </c>
      <c r="H5664" s="1574"/>
      <c r="I5664" s="1574"/>
      <c r="J5664" s="3">
        <f>N5656-J5663</f>
        <v>602160000</v>
      </c>
      <c r="K5664" s="1009"/>
      <c r="L5664" s="3"/>
      <c r="M5664" s="1528"/>
      <c r="O5664" s="1529"/>
      <c r="Q5664" s="661"/>
      <c r="T5664" s="1402"/>
    </row>
    <row r="5665" spans="7:22">
      <c r="G5665" s="1574" t="s">
        <v>3531</v>
      </c>
      <c r="H5665" s="1574"/>
      <c r="I5665" s="1574"/>
      <c r="J5665" s="3">
        <f>T5662</f>
        <v>17500</v>
      </c>
      <c r="Q5665" s="3"/>
      <c r="T5665" s="1402"/>
    </row>
    <row r="5666" spans="7:22">
      <c r="G5666" s="1564" t="s">
        <v>4455</v>
      </c>
      <c r="H5666" s="1564"/>
      <c r="I5666" s="1564"/>
      <c r="J5666" s="3">
        <f>+P5662</f>
        <v>1000000</v>
      </c>
      <c r="R5666" s="3"/>
      <c r="T5666" s="1402"/>
    </row>
    <row r="5671" spans="7:22">
      <c r="T5671" s="1405"/>
    </row>
    <row r="5672" spans="7:22">
      <c r="T5672" s="1405"/>
    </row>
    <row r="5673" spans="7:22">
      <c r="G5673" s="1008">
        <v>46122</v>
      </c>
      <c r="H5673" s="1169"/>
      <c r="I5673" s="1575" t="s">
        <v>3510</v>
      </c>
      <c r="J5673" s="1576"/>
      <c r="K5673" s="1575" t="s">
        <v>3509</v>
      </c>
      <c r="L5673" s="1576"/>
      <c r="M5673" s="1575" t="s">
        <v>3541</v>
      </c>
      <c r="N5673" s="1576"/>
      <c r="O5673" s="1577" t="s">
        <v>3598</v>
      </c>
      <c r="P5673" s="1578"/>
      <c r="Q5673" s="1579" t="s">
        <v>3599</v>
      </c>
      <c r="R5673" s="1580"/>
      <c r="S5673" s="1583" t="s">
        <v>3953</v>
      </c>
      <c r="T5673" s="1583"/>
      <c r="U5673" s="1583" t="s">
        <v>3954</v>
      </c>
      <c r="V5673" s="1583"/>
    </row>
    <row r="5674" spans="7:22">
      <c r="G5674" s="1097"/>
      <c r="H5674" s="1261"/>
      <c r="I5674" s="1418" t="s">
        <v>5246</v>
      </c>
      <c r="J5674" s="1081">
        <v>46000000</v>
      </c>
      <c r="K5674" s="1493" t="s">
        <v>4597</v>
      </c>
      <c r="L5674" s="1081">
        <v>299600000</v>
      </c>
      <c r="M5674" s="1495" t="s">
        <v>4613</v>
      </c>
      <c r="N5674" s="1495">
        <v>601300000</v>
      </c>
      <c r="O5674" s="1383"/>
      <c r="P5674" s="644"/>
      <c r="Q5674" s="1279"/>
      <c r="R5674" s="644"/>
      <c r="S5674" s="1223"/>
      <c r="T5674" s="1191"/>
      <c r="U5674" s="1232"/>
      <c r="V5674" s="48"/>
    </row>
    <row r="5675" spans="7:22">
      <c r="G5675" s="1098"/>
      <c r="H5675" s="1172"/>
      <c r="I5675" s="1418" t="s">
        <v>5247</v>
      </c>
      <c r="J5675" s="1081">
        <v>21850000</v>
      </c>
      <c r="K5675" s="1493" t="s">
        <v>5252</v>
      </c>
      <c r="L5675" s="1081">
        <v>1400000</v>
      </c>
      <c r="M5675" s="1495" t="s">
        <v>5101</v>
      </c>
      <c r="N5675" s="49">
        <v>400000000</v>
      </c>
      <c r="O5675" s="1383" t="s">
        <v>5262</v>
      </c>
      <c r="P5675" s="644">
        <v>18800000</v>
      </c>
      <c r="Q5675" s="1410"/>
      <c r="R5675" s="1290"/>
      <c r="S5675" s="1389" t="s">
        <v>4613</v>
      </c>
      <c r="T5675" s="1191">
        <v>17500</v>
      </c>
      <c r="U5675" s="48"/>
      <c r="V5675" s="49"/>
    </row>
    <row r="5676" spans="7:22">
      <c r="G5676" s="48"/>
      <c r="H5676" s="48"/>
      <c r="I5676" s="1416" t="s">
        <v>5248</v>
      </c>
      <c r="J5676" s="1081">
        <v>45500000</v>
      </c>
      <c r="K5676" s="1493" t="s">
        <v>4447</v>
      </c>
      <c r="L5676" s="1081">
        <v>8000000</v>
      </c>
      <c r="M5676" s="1495" t="s">
        <v>5255</v>
      </c>
      <c r="N5676" s="49">
        <v>6000000</v>
      </c>
      <c r="O5676" s="1495"/>
      <c r="P5676" s="644"/>
      <c r="Q5676" s="1412"/>
      <c r="R5676" s="644"/>
      <c r="S5676" s="1415"/>
      <c r="T5676" s="1191"/>
      <c r="U5676" s="1417"/>
      <c r="V5676" s="1191"/>
    </row>
    <row r="5677" spans="7:22">
      <c r="G5677" s="48"/>
      <c r="H5677" s="48"/>
      <c r="I5677" s="1416" t="s">
        <v>5249</v>
      </c>
      <c r="J5677" s="1393">
        <v>45500000</v>
      </c>
      <c r="K5677" s="1495" t="s">
        <v>4630</v>
      </c>
      <c r="L5677" s="1081">
        <v>550000</v>
      </c>
      <c r="M5677" s="1495" t="s">
        <v>5260</v>
      </c>
      <c r="N5677" s="49">
        <v>4800000</v>
      </c>
      <c r="O5677" s="1383"/>
      <c r="P5677" s="644"/>
      <c r="Q5677" s="1376"/>
      <c r="R5677" s="644"/>
      <c r="S5677" s="1415"/>
      <c r="T5677" s="1406"/>
      <c r="U5677" s="1408"/>
      <c r="V5677" s="1406"/>
    </row>
    <row r="5678" spans="7:22">
      <c r="G5678" s="48"/>
      <c r="H5678" s="48"/>
      <c r="I5678" s="1418" t="s">
        <v>5250</v>
      </c>
      <c r="J5678" s="1081">
        <v>36400000</v>
      </c>
      <c r="K5678" s="1495" t="s">
        <v>4867</v>
      </c>
      <c r="L5678" s="1081">
        <v>1500000</v>
      </c>
      <c r="M5678" s="1495"/>
      <c r="N5678" s="49"/>
      <c r="O5678" s="1383"/>
      <c r="P5678" s="644"/>
      <c r="Q5678" s="1384"/>
      <c r="R5678" s="644"/>
      <c r="S5678" s="1408"/>
      <c r="T5678" s="1406"/>
      <c r="U5678" s="1408"/>
      <c r="V5678" s="49"/>
    </row>
    <row r="5679" spans="7:22">
      <c r="G5679" s="48"/>
      <c r="H5679" s="48"/>
      <c r="I5679" s="1416" t="s">
        <v>5251</v>
      </c>
      <c r="J5679" s="1393">
        <v>30360000</v>
      </c>
      <c r="K5679" s="1495" t="s">
        <v>757</v>
      </c>
      <c r="L5679" s="1081">
        <v>1000000</v>
      </c>
      <c r="M5679" s="1495"/>
      <c r="N5679" s="49"/>
      <c r="O5679" s="1383"/>
      <c r="P5679" s="644"/>
      <c r="Q5679" s="1382"/>
      <c r="R5679" s="644"/>
      <c r="S5679" s="1358"/>
      <c r="T5679" s="1406"/>
      <c r="U5679" s="1408"/>
      <c r="V5679" s="49"/>
    </row>
    <row r="5680" spans="7:22">
      <c r="G5680" s="48"/>
      <c r="H5680" s="48"/>
      <c r="I5680" s="1416" t="s">
        <v>5253</v>
      </c>
      <c r="J5680" s="1081">
        <v>46500000</v>
      </c>
      <c r="K5680" s="1493"/>
      <c r="L5680" s="1081"/>
      <c r="M5680" s="1493"/>
      <c r="N5680" s="49"/>
      <c r="O5680" s="1383"/>
      <c r="P5680" s="644"/>
      <c r="Q5680" s="1383"/>
      <c r="R5680" s="644"/>
      <c r="S5680" s="48"/>
      <c r="T5680" s="1406"/>
      <c r="U5680" s="1408"/>
      <c r="V5680" s="49"/>
    </row>
    <row r="5681" spans="7:22">
      <c r="G5681" s="48"/>
      <c r="H5681" s="48"/>
      <c r="I5681" s="1416"/>
      <c r="J5681" s="1081"/>
      <c r="K5681" s="1536"/>
      <c r="L5681" s="1081"/>
      <c r="M5681" s="1495"/>
      <c r="N5681" s="49"/>
      <c r="O5681" s="1383"/>
      <c r="P5681" s="644"/>
      <c r="Q5681" s="1385"/>
      <c r="R5681" s="644"/>
      <c r="S5681" s="48"/>
      <c r="T5681" s="1406"/>
      <c r="U5681" s="1408"/>
      <c r="V5681" s="49"/>
    </row>
    <row r="5682" spans="7:22">
      <c r="G5682" s="48"/>
      <c r="H5682" s="48"/>
      <c r="I5682" s="1416" t="s">
        <v>5256</v>
      </c>
      <c r="J5682" s="1081">
        <v>46000000</v>
      </c>
      <c r="K5682" s="1493"/>
      <c r="L5682" s="1081"/>
      <c r="M5682" s="1495"/>
      <c r="N5682" s="49"/>
      <c r="O5682" s="644"/>
      <c r="P5682" s="644"/>
      <c r="Q5682" s="1383"/>
      <c r="R5682" s="644"/>
      <c r="S5682" s="48"/>
      <c r="T5682" s="1406"/>
      <c r="U5682" s="1408"/>
      <c r="V5682" s="49"/>
    </row>
    <row r="5683" spans="7:22">
      <c r="G5683" s="48"/>
      <c r="H5683" s="48"/>
      <c r="I5683" s="1416" t="s">
        <v>5257</v>
      </c>
      <c r="J5683" s="1081">
        <v>45500000</v>
      </c>
      <c r="K5683" s="1509"/>
      <c r="L5683" s="1081"/>
      <c r="M5683" s="1498"/>
      <c r="N5683" s="49"/>
      <c r="O5683" s="644"/>
      <c r="P5683" s="644"/>
      <c r="Q5683" s="1290"/>
      <c r="R5683" s="644"/>
      <c r="S5683" s="48"/>
      <c r="T5683" s="1406"/>
      <c r="U5683" s="1408"/>
      <c r="V5683" s="49"/>
    </row>
    <row r="5684" spans="7:22">
      <c r="G5684" s="48"/>
      <c r="H5684" s="48"/>
      <c r="I5684" s="1416" t="s">
        <v>5258</v>
      </c>
      <c r="J5684" s="1081">
        <v>45500000</v>
      </c>
      <c r="K5684" s="1493"/>
      <c r="L5684" s="1081"/>
      <c r="M5684" s="1498"/>
      <c r="N5684" s="49"/>
      <c r="O5684" s="644"/>
      <c r="P5684" s="644"/>
      <c r="Q5684" s="1383"/>
      <c r="R5684" s="644"/>
      <c r="S5684" s="48"/>
      <c r="T5684" s="1406"/>
      <c r="U5684" s="48"/>
      <c r="V5684" s="48"/>
    </row>
    <row r="5685" spans="7:22">
      <c r="G5685" s="48"/>
      <c r="H5685" s="48"/>
      <c r="I5685" s="1416" t="s">
        <v>5259</v>
      </c>
      <c r="J5685" s="1081">
        <v>46000000</v>
      </c>
      <c r="K5685" s="1509"/>
      <c r="L5685" s="1081"/>
      <c r="M5685" s="1498"/>
      <c r="N5685" s="49"/>
      <c r="O5685" s="644"/>
      <c r="P5685" s="644"/>
      <c r="Q5685" s="1290"/>
      <c r="R5685" s="644"/>
      <c r="S5685" s="48"/>
      <c r="T5685" s="1406"/>
      <c r="U5685" s="48"/>
      <c r="V5685" s="48"/>
    </row>
    <row r="5686" spans="7:22">
      <c r="G5686" s="48"/>
      <c r="H5686" s="48"/>
      <c r="I5686" s="1416" t="s">
        <v>5261</v>
      </c>
      <c r="J5686" s="1081">
        <v>45000000</v>
      </c>
      <c r="K5686" s="1509"/>
      <c r="L5686" s="1081"/>
      <c r="M5686" s="1498"/>
      <c r="N5686" s="49"/>
      <c r="O5686" s="644"/>
      <c r="P5686" s="644"/>
      <c r="Q5686" s="1290"/>
      <c r="R5686" s="644"/>
      <c r="S5686" s="48"/>
      <c r="T5686" s="1406"/>
      <c r="U5686" s="48"/>
      <c r="V5686" s="48"/>
    </row>
    <row r="5687" spans="7:22">
      <c r="G5687" s="48"/>
      <c r="H5687" s="48"/>
      <c r="I5687" s="1417" t="s">
        <v>5263</v>
      </c>
      <c r="J5687" s="49">
        <v>36800000</v>
      </c>
      <c r="K5687" s="1498"/>
      <c r="L5687" s="49"/>
      <c r="M5687" s="1498"/>
      <c r="N5687" s="49"/>
      <c r="O5687" s="644"/>
      <c r="P5687" s="644"/>
      <c r="Q5687" s="1290"/>
      <c r="R5687" s="644"/>
      <c r="S5687" s="48"/>
      <c r="T5687" s="1406"/>
      <c r="U5687" s="48"/>
      <c r="V5687" s="48"/>
    </row>
    <row r="5688" spans="7:22">
      <c r="G5688" s="48"/>
      <c r="H5688" s="48"/>
      <c r="I5688" s="1417"/>
      <c r="J5688" s="49"/>
      <c r="K5688" s="1498"/>
      <c r="L5688" s="49"/>
      <c r="M5688" s="1498"/>
      <c r="N5688" s="49"/>
      <c r="O5688" s="644"/>
      <c r="P5688" s="644"/>
      <c r="Q5688" s="1290"/>
      <c r="R5688" s="644"/>
      <c r="S5688" s="48"/>
      <c r="T5688" s="1406"/>
      <c r="U5688" s="48"/>
      <c r="V5688" s="48"/>
    </row>
    <row r="5689" spans="7:22">
      <c r="G5689" s="48"/>
      <c r="H5689" s="48"/>
      <c r="I5689" s="1408"/>
      <c r="J5689" s="49"/>
      <c r="K5689" s="1498"/>
      <c r="L5689" s="49"/>
      <c r="M5689" s="1498"/>
      <c r="N5689" s="49"/>
      <c r="O5689" s="644"/>
      <c r="P5689" s="644"/>
      <c r="Q5689" s="1290"/>
      <c r="R5689" s="644"/>
      <c r="S5689" s="48"/>
      <c r="T5689" s="1406"/>
      <c r="U5689" s="48"/>
      <c r="V5689" s="48"/>
    </row>
    <row r="5690" spans="7:22">
      <c r="G5690" s="48"/>
      <c r="H5690" s="48"/>
      <c r="I5690" s="48"/>
      <c r="J5690" s="49"/>
      <c r="K5690" s="1498"/>
      <c r="L5690" s="49"/>
      <c r="M5690" s="1498"/>
      <c r="N5690" s="49"/>
      <c r="O5690" s="644"/>
      <c r="P5690" s="644"/>
      <c r="Q5690" s="1290"/>
      <c r="R5690" s="644"/>
      <c r="S5690" s="48"/>
      <c r="T5690" s="1406"/>
      <c r="U5690" s="48"/>
      <c r="V5690" s="48"/>
    </row>
    <row r="5691" spans="7:22">
      <c r="G5691" s="48"/>
      <c r="H5691" s="48"/>
      <c r="I5691" s="48"/>
      <c r="J5691" s="49"/>
      <c r="K5691" s="1498"/>
      <c r="L5691" s="49"/>
      <c r="M5691" s="1498"/>
      <c r="N5691" s="49"/>
      <c r="O5691" s="644"/>
      <c r="P5691" s="644"/>
      <c r="Q5691" s="1290"/>
      <c r="R5691" s="644"/>
      <c r="S5691" s="48"/>
      <c r="T5691" s="1406"/>
      <c r="U5691" s="48"/>
      <c r="V5691" s="48"/>
    </row>
    <row r="5692" spans="7:22">
      <c r="G5692" s="48"/>
      <c r="H5692" s="48"/>
      <c r="I5692" s="48"/>
      <c r="J5692" s="49"/>
      <c r="K5692" s="1498"/>
      <c r="L5692" s="49"/>
      <c r="M5692" s="1498"/>
      <c r="N5692" s="49"/>
      <c r="O5692" s="644"/>
      <c r="P5692" s="644"/>
      <c r="Q5692" s="1290"/>
      <c r="R5692" s="644"/>
      <c r="S5692" s="48"/>
      <c r="T5692" s="1406"/>
      <c r="U5692" s="48"/>
      <c r="V5692" s="48"/>
    </row>
    <row r="5693" spans="7:22">
      <c r="G5693" s="48"/>
      <c r="H5693" s="48"/>
      <c r="I5693" s="48"/>
      <c r="J5693" s="49"/>
      <c r="K5693" s="1498"/>
      <c r="L5693" s="49"/>
      <c r="M5693" s="1498"/>
      <c r="N5693" s="49"/>
      <c r="O5693" s="644"/>
      <c r="P5693" s="644"/>
      <c r="Q5693" s="1290"/>
      <c r="R5693" s="644"/>
      <c r="S5693" s="48"/>
      <c r="T5693" s="1406"/>
      <c r="U5693" s="48"/>
      <c r="V5693" s="48"/>
    </row>
    <row r="5694" spans="7:22">
      <c r="G5694" s="48"/>
      <c r="H5694" s="48"/>
      <c r="I5694" s="48"/>
      <c r="J5694" s="49"/>
      <c r="K5694" s="1498"/>
      <c r="L5694" s="49"/>
      <c r="M5694" s="1498"/>
      <c r="N5694" s="49"/>
      <c r="O5694" s="644"/>
      <c r="P5694" s="644"/>
      <c r="Q5694" s="1290"/>
      <c r="R5694" s="644"/>
      <c r="S5694" s="48"/>
      <c r="T5694" s="1406"/>
      <c r="U5694" s="48"/>
      <c r="V5694" s="48"/>
    </row>
    <row r="5695" spans="7:22">
      <c r="G5695" s="48"/>
      <c r="H5695" s="48"/>
      <c r="I5695" s="48"/>
      <c r="J5695" s="49"/>
      <c r="K5695" s="1498"/>
      <c r="L5695" s="49"/>
      <c r="M5695" s="1498"/>
      <c r="N5695" s="49"/>
      <c r="O5695" s="644"/>
      <c r="P5695" s="644"/>
      <c r="Q5695" s="1290"/>
      <c r="R5695" s="644"/>
      <c r="S5695" s="48"/>
      <c r="T5695" s="1406"/>
      <c r="U5695" s="48"/>
      <c r="V5695" s="48"/>
    </row>
    <row r="5696" spans="7:22">
      <c r="G5696" s="48"/>
      <c r="H5696" s="48"/>
      <c r="I5696" s="48"/>
      <c r="J5696" s="49"/>
      <c r="K5696" s="49"/>
      <c r="L5696" s="49"/>
      <c r="M5696" s="1498"/>
      <c r="N5696" s="49"/>
      <c r="O5696" s="644"/>
      <c r="P5696" s="644"/>
      <c r="Q5696" s="1290"/>
      <c r="R5696" s="644"/>
      <c r="S5696" s="48"/>
      <c r="T5696" s="1406"/>
      <c r="U5696" s="48"/>
      <c r="V5696" s="48"/>
    </row>
    <row r="5697" spans="7:22">
      <c r="G5697" s="48"/>
      <c r="H5697" s="48"/>
      <c r="I5697" s="48"/>
      <c r="J5697" s="954">
        <f>SUM(J5674:J5696)</f>
        <v>536910000</v>
      </c>
      <c r="K5697" s="954"/>
      <c r="L5697" s="954">
        <f>SUM(L5674:L5696)</f>
        <v>312050000</v>
      </c>
      <c r="M5697" s="1498"/>
      <c r="N5697" s="954">
        <f>SUM(N5674:N5696)</f>
        <v>1012100000</v>
      </c>
      <c r="O5697" s="644"/>
      <c r="P5697" s="969">
        <f>SUM(P5674:P5681)</f>
        <v>18800000</v>
      </c>
      <c r="Q5697" s="969"/>
      <c r="R5697" s="969">
        <f>SUM(R5674:R5696)</f>
        <v>0</v>
      </c>
      <c r="S5697" s="48"/>
      <c r="T5697" s="1178">
        <f>SUM(T5674:T5696)</f>
        <v>17500</v>
      </c>
      <c r="U5697" s="48"/>
      <c r="V5697" s="878">
        <f>SUM(V5674:V5696)</f>
        <v>0</v>
      </c>
    </row>
    <row r="5698" spans="7:22">
      <c r="T5698" s="1405"/>
    </row>
    <row r="5699" spans="7:22">
      <c r="T5699" s="1405"/>
    </row>
    <row r="5700" spans="7:22">
      <c r="R5700" s="661"/>
      <c r="T5700" s="1405"/>
    </row>
    <row r="5701" spans="7:22">
      <c r="T5701" s="1405"/>
    </row>
    <row r="5702" spans="7:22">
      <c r="T5702" s="1405"/>
    </row>
    <row r="5703" spans="7:22">
      <c r="I5703" s="946"/>
      <c r="M5703" s="1533" t="s">
        <v>3699</v>
      </c>
      <c r="O5703" s="1535" t="s">
        <v>3741</v>
      </c>
      <c r="P5703" s="1512">
        <f>P5697-R5697</f>
        <v>18800000</v>
      </c>
      <c r="S5703" s="906" t="s">
        <v>4049</v>
      </c>
      <c r="T5703" s="1107">
        <f>T5697-V5697</f>
        <v>17500</v>
      </c>
    </row>
    <row r="5704" spans="7:22">
      <c r="G5704" s="1574" t="s">
        <v>3530</v>
      </c>
      <c r="H5704" s="1574"/>
      <c r="I5704" s="1574"/>
      <c r="J5704" s="3">
        <f>J5697+L5697</f>
        <v>848960000</v>
      </c>
      <c r="K5704" s="1009"/>
      <c r="L5704" s="3"/>
      <c r="M5704" s="1533" t="s">
        <v>3664</v>
      </c>
      <c r="N5704" s="1527"/>
      <c r="O5704" s="1535" t="s">
        <v>4066</v>
      </c>
      <c r="P5704" s="1512"/>
      <c r="T5704" s="1405"/>
    </row>
    <row r="5705" spans="7:22">
      <c r="G5705" s="1574" t="s">
        <v>3512</v>
      </c>
      <c r="H5705" s="1574"/>
      <c r="I5705" s="1574"/>
      <c r="J5705" s="3">
        <f>N5697-J5704</f>
        <v>163140000</v>
      </c>
      <c r="K5705" s="1009"/>
      <c r="L5705" s="3"/>
      <c r="M5705" s="1528"/>
      <c r="O5705" s="1529"/>
      <c r="Q5705" s="661"/>
      <c r="T5705" s="1405"/>
    </row>
    <row r="5706" spans="7:22">
      <c r="G5706" s="1574" t="s">
        <v>3531</v>
      </c>
      <c r="H5706" s="1574"/>
      <c r="I5706" s="1574"/>
      <c r="J5706" s="3">
        <f>T5703</f>
        <v>17500</v>
      </c>
      <c r="Q5706" s="3"/>
      <c r="T5706" s="1405"/>
    </row>
    <row r="5707" spans="7:22">
      <c r="G5707" s="1564" t="s">
        <v>4455</v>
      </c>
      <c r="H5707" s="1564"/>
      <c r="I5707" s="1564"/>
      <c r="J5707" s="3">
        <f>+P5703</f>
        <v>18800000</v>
      </c>
      <c r="R5707" s="3"/>
      <c r="T5707" s="1405"/>
    </row>
    <row r="5708" spans="7:22">
      <c r="T5708" s="1405"/>
    </row>
    <row r="5709" spans="7:22">
      <c r="T5709" s="1405"/>
    </row>
    <row r="5711" spans="7:22">
      <c r="T5711" s="1405"/>
    </row>
    <row r="5712" spans="7:22">
      <c r="T5712" s="1405"/>
    </row>
    <row r="5713" spans="7:22">
      <c r="G5713" s="1008">
        <v>46123</v>
      </c>
      <c r="H5713" s="1169"/>
      <c r="I5713" s="1575" t="s">
        <v>3510</v>
      </c>
      <c r="J5713" s="1576"/>
      <c r="K5713" s="1575" t="s">
        <v>3509</v>
      </c>
      <c r="L5713" s="1576"/>
      <c r="M5713" s="1575" t="s">
        <v>3541</v>
      </c>
      <c r="N5713" s="1576"/>
      <c r="O5713" s="1577" t="s">
        <v>3598</v>
      </c>
      <c r="P5713" s="1578"/>
      <c r="Q5713" s="1579" t="s">
        <v>3599</v>
      </c>
      <c r="R5713" s="1580"/>
      <c r="S5713" s="1583" t="s">
        <v>3953</v>
      </c>
      <c r="T5713" s="1583"/>
      <c r="U5713" s="1583" t="s">
        <v>3954</v>
      </c>
      <c r="V5713" s="1583"/>
    </row>
    <row r="5714" spans="7:22">
      <c r="G5714" s="1097"/>
      <c r="H5714" s="1261"/>
      <c r="I5714" s="1418" t="s">
        <v>5266</v>
      </c>
      <c r="J5714" s="1081">
        <v>45000000</v>
      </c>
      <c r="K5714" s="1493" t="s">
        <v>5270</v>
      </c>
      <c r="L5714" s="1081">
        <v>1000000</v>
      </c>
      <c r="M5714" s="1495" t="s">
        <v>4613</v>
      </c>
      <c r="N5714" s="1495">
        <v>164400000</v>
      </c>
      <c r="O5714" s="1383"/>
      <c r="P5714" s="644"/>
      <c r="Q5714" s="1279"/>
      <c r="R5714" s="644"/>
      <c r="S5714" s="1223"/>
      <c r="T5714" s="1191"/>
      <c r="U5714" s="1232"/>
      <c r="V5714" s="48"/>
    </row>
    <row r="5715" spans="7:22">
      <c r="G5715" s="1098"/>
      <c r="H5715" s="1172"/>
      <c r="I5715" s="1418" t="s">
        <v>5267</v>
      </c>
      <c r="J5715" s="1081">
        <v>46000000</v>
      </c>
      <c r="K5715" s="1493" t="s">
        <v>5278</v>
      </c>
      <c r="L5715" s="1081">
        <v>1215000</v>
      </c>
      <c r="M5715" s="1495" t="s">
        <v>5264</v>
      </c>
      <c r="N5715" s="49">
        <v>90000000</v>
      </c>
      <c r="O5715" s="1383" t="s">
        <v>5262</v>
      </c>
      <c r="P5715" s="644">
        <v>18800000</v>
      </c>
      <c r="Q5715" s="1410"/>
      <c r="R5715" s="1290"/>
      <c r="S5715" s="1389" t="s">
        <v>4613</v>
      </c>
      <c r="T5715" s="1191">
        <v>17500</v>
      </c>
      <c r="U5715" s="48"/>
      <c r="V5715" s="49"/>
    </row>
    <row r="5716" spans="7:22">
      <c r="G5716" s="48"/>
      <c r="H5716" s="48"/>
      <c r="I5716" s="1416" t="s">
        <v>5268</v>
      </c>
      <c r="J5716" s="1081">
        <v>18200000</v>
      </c>
      <c r="K5716" s="1493" t="s">
        <v>5280</v>
      </c>
      <c r="L5716" s="1081">
        <v>500000</v>
      </c>
      <c r="M5716" s="1495" t="s">
        <v>5277</v>
      </c>
      <c r="N5716" s="49">
        <v>14000000</v>
      </c>
      <c r="O5716" s="1495" t="s">
        <v>5265</v>
      </c>
      <c r="P5716" s="644">
        <v>24360000</v>
      </c>
      <c r="Q5716" s="1412"/>
      <c r="R5716" s="644"/>
      <c r="S5716" s="1415" t="s">
        <v>5273</v>
      </c>
      <c r="T5716" s="1191">
        <v>100</v>
      </c>
      <c r="U5716" s="1417"/>
      <c r="V5716" s="1191">
        <v>2000</v>
      </c>
    </row>
    <row r="5717" spans="7:22">
      <c r="G5717" s="48"/>
      <c r="H5717" s="48"/>
      <c r="I5717" s="1416" t="s">
        <v>5269</v>
      </c>
      <c r="J5717" s="1393">
        <v>23000000</v>
      </c>
      <c r="K5717" s="1495" t="s">
        <v>4551</v>
      </c>
      <c r="L5717" s="1081">
        <v>500000</v>
      </c>
      <c r="M5717" s="1495" t="s">
        <v>4440</v>
      </c>
      <c r="N5717" s="49">
        <v>15000000</v>
      </c>
      <c r="O5717" s="1383"/>
      <c r="P5717" s="644"/>
      <c r="Q5717" s="1419" t="s">
        <v>5138</v>
      </c>
      <c r="R5717" s="644">
        <v>5985000</v>
      </c>
      <c r="S5717" s="1415"/>
      <c r="T5717" s="1406"/>
      <c r="U5717" s="1408"/>
      <c r="V5717" s="1406">
        <v>5000</v>
      </c>
    </row>
    <row r="5718" spans="7:22">
      <c r="G5718" s="48"/>
      <c r="H5718" s="48"/>
      <c r="I5718" s="1418" t="s">
        <v>5271</v>
      </c>
      <c r="J5718" s="1081">
        <v>34000000</v>
      </c>
      <c r="K5718" s="1495"/>
      <c r="L5718" s="1081"/>
      <c r="M5718" s="1495" t="s">
        <v>5101</v>
      </c>
      <c r="N5718" s="49">
        <v>300000000</v>
      </c>
      <c r="O5718" s="1383"/>
      <c r="P5718" s="644"/>
      <c r="Q5718" s="1384"/>
      <c r="R5718" s="644"/>
      <c r="S5718" s="1408"/>
      <c r="T5718" s="1406"/>
      <c r="U5718" s="1408"/>
      <c r="V5718" s="49"/>
    </row>
    <row r="5719" spans="7:22">
      <c r="G5719" s="48"/>
      <c r="H5719" s="48"/>
      <c r="I5719" s="1416" t="s">
        <v>5272</v>
      </c>
      <c r="J5719" s="1393">
        <v>29700000</v>
      </c>
      <c r="K5719" s="1495"/>
      <c r="L5719" s="1081"/>
      <c r="M5719" s="1495"/>
      <c r="N5719" s="49"/>
      <c r="O5719" s="1383"/>
      <c r="P5719" s="644"/>
      <c r="Q5719" s="1382"/>
      <c r="R5719" s="644"/>
      <c r="S5719" s="1358"/>
      <c r="T5719" s="1406"/>
      <c r="U5719" s="1416" t="s">
        <v>5274</v>
      </c>
      <c r="V5719" s="49"/>
    </row>
    <row r="5720" spans="7:22">
      <c r="G5720" s="48"/>
      <c r="H5720" s="48"/>
      <c r="I5720" s="1416" t="s">
        <v>5274</v>
      </c>
      <c r="J5720" s="1081"/>
      <c r="K5720" s="1493"/>
      <c r="L5720" s="1081"/>
      <c r="M5720" s="1493"/>
      <c r="N5720" s="49"/>
      <c r="O5720" s="1383"/>
      <c r="P5720" s="644"/>
      <c r="Q5720" s="1383"/>
      <c r="R5720" s="644"/>
      <c r="S5720" s="48"/>
      <c r="T5720" s="1406"/>
      <c r="U5720" s="1416" t="s">
        <v>5275</v>
      </c>
      <c r="V5720" s="49"/>
    </row>
    <row r="5721" spans="7:22">
      <c r="G5721" s="48"/>
      <c r="H5721" s="48"/>
      <c r="I5721" s="1416" t="s">
        <v>5275</v>
      </c>
      <c r="J5721" s="1081"/>
      <c r="K5721" s="1536"/>
      <c r="L5721" s="1081"/>
      <c r="M5721" s="1495"/>
      <c r="N5721" s="49"/>
      <c r="O5721" s="1383"/>
      <c r="P5721" s="644"/>
      <c r="Q5721" s="1385"/>
      <c r="R5721" s="644"/>
      <c r="S5721" s="48"/>
      <c r="T5721" s="1406"/>
      <c r="U5721" s="1416" t="s">
        <v>5276</v>
      </c>
      <c r="V5721" s="49">
        <v>5000</v>
      </c>
    </row>
    <row r="5722" spans="7:22">
      <c r="G5722" s="48"/>
      <c r="H5722" s="48"/>
      <c r="I5722" s="1416" t="s">
        <v>5276</v>
      </c>
      <c r="J5722" s="1081">
        <v>69600000</v>
      </c>
      <c r="K5722" s="1493"/>
      <c r="L5722" s="1081"/>
      <c r="M5722" s="1495"/>
      <c r="N5722" s="49"/>
      <c r="O5722" s="644"/>
      <c r="P5722" s="644"/>
      <c r="Q5722" s="1383"/>
      <c r="R5722" s="644"/>
      <c r="S5722" s="48"/>
      <c r="T5722" s="1406"/>
      <c r="U5722" s="1408"/>
      <c r="V5722" s="49"/>
    </row>
    <row r="5723" spans="7:22">
      <c r="G5723" s="48"/>
      <c r="H5723" s="48"/>
      <c r="I5723" s="1416" t="s">
        <v>5279</v>
      </c>
      <c r="J5723" s="1081">
        <v>45000000</v>
      </c>
      <c r="K5723" s="1509"/>
      <c r="L5723" s="1081"/>
      <c r="M5723" s="1498"/>
      <c r="N5723" s="49"/>
      <c r="O5723" s="644"/>
      <c r="P5723" s="644"/>
      <c r="Q5723" s="1290"/>
      <c r="R5723" s="644"/>
      <c r="S5723" s="48"/>
      <c r="T5723" s="1406"/>
      <c r="U5723" s="1408"/>
      <c r="V5723" s="49"/>
    </row>
    <row r="5724" spans="7:22">
      <c r="G5724" s="48"/>
      <c r="H5724" s="48"/>
      <c r="I5724" s="1416" t="s">
        <v>5281</v>
      </c>
      <c r="J5724" s="1081">
        <v>92000000</v>
      </c>
      <c r="K5724" s="1493"/>
      <c r="L5724" s="1081"/>
      <c r="M5724" s="1498"/>
      <c r="N5724" s="49"/>
      <c r="O5724" s="644"/>
      <c r="P5724" s="644"/>
      <c r="Q5724" s="1383"/>
      <c r="R5724" s="644"/>
      <c r="S5724" s="48"/>
      <c r="T5724" s="1406"/>
      <c r="U5724" s="48"/>
      <c r="V5724" s="48"/>
    </row>
    <row r="5725" spans="7:22">
      <c r="G5725" s="48"/>
      <c r="H5725" s="48"/>
      <c r="I5725" s="1416"/>
      <c r="J5725" s="1081"/>
      <c r="K5725" s="1509"/>
      <c r="L5725" s="1081"/>
      <c r="M5725" s="1498"/>
      <c r="N5725" s="49"/>
      <c r="O5725" s="644"/>
      <c r="P5725" s="644"/>
      <c r="Q5725" s="1290"/>
      <c r="R5725" s="644"/>
      <c r="S5725" s="48"/>
      <c r="T5725" s="1406"/>
      <c r="U5725" s="48"/>
      <c r="V5725" s="48"/>
    </row>
    <row r="5726" spans="7:22">
      <c r="G5726" s="48"/>
      <c r="H5726" s="48"/>
      <c r="I5726" s="1416"/>
      <c r="J5726" s="1081"/>
      <c r="K5726" s="1509"/>
      <c r="L5726" s="1081"/>
      <c r="M5726" s="1498"/>
      <c r="N5726" s="49"/>
      <c r="O5726" s="644"/>
      <c r="P5726" s="644"/>
      <c r="Q5726" s="1290"/>
      <c r="R5726" s="644"/>
      <c r="S5726" s="48"/>
      <c r="T5726" s="1406"/>
      <c r="U5726" s="48"/>
      <c r="V5726" s="48"/>
    </row>
    <row r="5727" spans="7:22">
      <c r="G5727" s="48"/>
      <c r="H5727" s="48"/>
      <c r="I5727" s="1417"/>
      <c r="J5727" s="49"/>
      <c r="K5727" s="1498"/>
      <c r="L5727" s="49"/>
      <c r="M5727" s="1498"/>
      <c r="N5727" s="49"/>
      <c r="O5727" s="644"/>
      <c r="P5727" s="644"/>
      <c r="Q5727" s="1290"/>
      <c r="R5727" s="644"/>
      <c r="S5727" s="48"/>
      <c r="T5727" s="1406"/>
      <c r="U5727" s="48"/>
      <c r="V5727" s="48"/>
    </row>
    <row r="5728" spans="7:22">
      <c r="G5728" s="48"/>
      <c r="H5728" s="48"/>
      <c r="I5728" s="1417"/>
      <c r="J5728" s="49"/>
      <c r="K5728" s="1498"/>
      <c r="L5728" s="49"/>
      <c r="M5728" s="1498"/>
      <c r="N5728" s="49"/>
      <c r="O5728" s="644"/>
      <c r="P5728" s="644"/>
      <c r="Q5728" s="1290"/>
      <c r="R5728" s="644"/>
      <c r="S5728" s="48"/>
      <c r="T5728" s="1406"/>
      <c r="U5728" s="48"/>
      <c r="V5728" s="48"/>
    </row>
    <row r="5729" spans="7:22">
      <c r="G5729" s="48"/>
      <c r="H5729" s="48"/>
      <c r="I5729" s="1408"/>
      <c r="J5729" s="49"/>
      <c r="K5729" s="1498"/>
      <c r="L5729" s="49"/>
      <c r="M5729" s="1498"/>
      <c r="N5729" s="49"/>
      <c r="O5729" s="644"/>
      <c r="P5729" s="644"/>
      <c r="Q5729" s="1290"/>
      <c r="R5729" s="644"/>
      <c r="S5729" s="48"/>
      <c r="T5729" s="1406"/>
      <c r="U5729" s="48"/>
      <c r="V5729" s="48"/>
    </row>
    <row r="5730" spans="7:22">
      <c r="G5730" s="48"/>
      <c r="H5730" s="48"/>
      <c r="I5730" s="48"/>
      <c r="J5730" s="49"/>
      <c r="K5730" s="1498"/>
      <c r="L5730" s="49"/>
      <c r="M5730" s="1498"/>
      <c r="N5730" s="49"/>
      <c r="O5730" s="644"/>
      <c r="P5730" s="644"/>
      <c r="Q5730" s="1290"/>
      <c r="R5730" s="644"/>
      <c r="S5730" s="48"/>
      <c r="T5730" s="1406"/>
      <c r="U5730" s="48"/>
      <c r="V5730" s="48"/>
    </row>
    <row r="5731" spans="7:22">
      <c r="G5731" s="48"/>
      <c r="H5731" s="48"/>
      <c r="I5731" s="48"/>
      <c r="J5731" s="49"/>
      <c r="K5731" s="1498"/>
      <c r="L5731" s="49"/>
      <c r="M5731" s="1498"/>
      <c r="N5731" s="49"/>
      <c r="O5731" s="644"/>
      <c r="P5731" s="644"/>
      <c r="Q5731" s="1290"/>
      <c r="R5731" s="644"/>
      <c r="S5731" s="48"/>
      <c r="T5731" s="1406"/>
      <c r="U5731" s="48"/>
      <c r="V5731" s="48"/>
    </row>
    <row r="5732" spans="7:22">
      <c r="G5732" s="48"/>
      <c r="H5732" s="48"/>
      <c r="I5732" s="48"/>
      <c r="J5732" s="49"/>
      <c r="K5732" s="1498"/>
      <c r="L5732" s="49"/>
      <c r="M5732" s="1498"/>
      <c r="N5732" s="49"/>
      <c r="O5732" s="644"/>
      <c r="P5732" s="644"/>
      <c r="Q5732" s="1290"/>
      <c r="R5732" s="644"/>
      <c r="S5732" s="48"/>
      <c r="T5732" s="1406"/>
      <c r="U5732" s="48"/>
      <c r="V5732" s="48"/>
    </row>
    <row r="5733" spans="7:22">
      <c r="G5733" s="48"/>
      <c r="H5733" s="48"/>
      <c r="I5733" s="48"/>
      <c r="J5733" s="49"/>
      <c r="K5733" s="1498"/>
      <c r="L5733" s="49"/>
      <c r="M5733" s="1498"/>
      <c r="N5733" s="49"/>
      <c r="O5733" s="644"/>
      <c r="P5733" s="644"/>
      <c r="Q5733" s="1290"/>
      <c r="R5733" s="644"/>
      <c r="S5733" s="48"/>
      <c r="T5733" s="1406"/>
      <c r="U5733" s="48"/>
      <c r="V5733" s="48"/>
    </row>
    <row r="5734" spans="7:22">
      <c r="G5734" s="48"/>
      <c r="H5734" s="48"/>
      <c r="I5734" s="48"/>
      <c r="J5734" s="49"/>
      <c r="K5734" s="1498"/>
      <c r="L5734" s="49"/>
      <c r="M5734" s="1498"/>
      <c r="N5734" s="49"/>
      <c r="O5734" s="644"/>
      <c r="P5734" s="644"/>
      <c r="Q5734" s="1290"/>
      <c r="R5734" s="644"/>
      <c r="S5734" s="48"/>
      <c r="T5734" s="1406"/>
      <c r="U5734" s="48"/>
      <c r="V5734" s="48"/>
    </row>
    <row r="5735" spans="7:22">
      <c r="G5735" s="48"/>
      <c r="H5735" s="48"/>
      <c r="I5735" s="48"/>
      <c r="J5735" s="49"/>
      <c r="K5735" s="1498"/>
      <c r="L5735" s="49"/>
      <c r="M5735" s="1498"/>
      <c r="N5735" s="49"/>
      <c r="O5735" s="644"/>
      <c r="P5735" s="644"/>
      <c r="Q5735" s="1290"/>
      <c r="R5735" s="644"/>
      <c r="S5735" s="48"/>
      <c r="T5735" s="1406"/>
      <c r="U5735" s="48"/>
      <c r="V5735" s="48"/>
    </row>
    <row r="5736" spans="7:22">
      <c r="G5736" s="48"/>
      <c r="H5736" s="48"/>
      <c r="I5736" s="48"/>
      <c r="J5736" s="49"/>
      <c r="K5736" s="49"/>
      <c r="L5736" s="49"/>
      <c r="M5736" s="1498"/>
      <c r="N5736" s="49"/>
      <c r="O5736" s="644"/>
      <c r="P5736" s="644"/>
      <c r="Q5736" s="1290"/>
      <c r="R5736" s="644"/>
      <c r="S5736" s="48"/>
      <c r="T5736" s="1406"/>
      <c r="U5736" s="48"/>
      <c r="V5736" s="48"/>
    </row>
    <row r="5737" spans="7:22">
      <c r="G5737" s="48"/>
      <c r="H5737" s="48"/>
      <c r="I5737" s="48"/>
      <c r="J5737" s="954">
        <f>SUM(J5714:J5736)</f>
        <v>402500000</v>
      </c>
      <c r="K5737" s="954"/>
      <c r="L5737" s="954">
        <f>SUM(L5714:L5736)</f>
        <v>3215000</v>
      </c>
      <c r="M5737" s="1498"/>
      <c r="N5737" s="954">
        <f>SUM(N5714:N5736)</f>
        <v>583400000</v>
      </c>
      <c r="O5737" s="644"/>
      <c r="P5737" s="969">
        <f>SUM(P5714:P5721)</f>
        <v>43160000</v>
      </c>
      <c r="Q5737" s="969"/>
      <c r="R5737" s="969">
        <f>SUM(R5714:R5736)</f>
        <v>5985000</v>
      </c>
      <c r="S5737" s="48"/>
      <c r="T5737" s="1178">
        <f>SUM(T5714:T5736)</f>
        <v>17600</v>
      </c>
      <c r="U5737" s="48"/>
      <c r="V5737" s="878">
        <f>SUM(V5714:V5736)</f>
        <v>12000</v>
      </c>
    </row>
    <row r="5738" spans="7:22">
      <c r="T5738" s="1405"/>
    </row>
    <row r="5739" spans="7:22">
      <c r="T5739" s="1405"/>
    </row>
    <row r="5740" spans="7:22">
      <c r="R5740" s="661"/>
      <c r="T5740" s="1405"/>
    </row>
    <row r="5741" spans="7:22">
      <c r="T5741" s="1405"/>
    </row>
    <row r="5742" spans="7:22">
      <c r="T5742" s="1405"/>
    </row>
    <row r="5743" spans="7:22">
      <c r="I5743" s="946"/>
      <c r="M5743" s="1533" t="s">
        <v>3699</v>
      </c>
      <c r="O5743" s="1535" t="s">
        <v>3741</v>
      </c>
      <c r="P5743" s="1512">
        <f>P5737-R5737</f>
        <v>37175000</v>
      </c>
      <c r="S5743" s="906" t="s">
        <v>4049</v>
      </c>
      <c r="T5743" s="1107">
        <f>T5737-V5737</f>
        <v>5600</v>
      </c>
    </row>
    <row r="5744" spans="7:22">
      <c r="G5744" s="1574" t="s">
        <v>3530</v>
      </c>
      <c r="H5744" s="1574"/>
      <c r="I5744" s="1574"/>
      <c r="J5744" s="3">
        <f>J5737+L5737</f>
        <v>405715000</v>
      </c>
      <c r="K5744" s="1009"/>
      <c r="L5744" s="3"/>
      <c r="M5744" s="1533" t="s">
        <v>3664</v>
      </c>
      <c r="N5744" s="1527"/>
      <c r="O5744" s="1535" t="s">
        <v>4066</v>
      </c>
      <c r="P5744" s="1512"/>
      <c r="T5744" s="1405"/>
    </row>
    <row r="5745" spans="7:22">
      <c r="G5745" s="1574" t="s">
        <v>3512</v>
      </c>
      <c r="H5745" s="1574"/>
      <c r="I5745" s="1574"/>
      <c r="J5745" s="3">
        <f>N5737-J5744</f>
        <v>177685000</v>
      </c>
      <c r="K5745" s="1009"/>
      <c r="L5745" s="3"/>
      <c r="M5745" s="1528"/>
      <c r="O5745" s="1529"/>
      <c r="Q5745" s="661"/>
      <c r="T5745" s="1405"/>
    </row>
    <row r="5746" spans="7:22">
      <c r="G5746" s="1574" t="s">
        <v>3531</v>
      </c>
      <c r="H5746" s="1574"/>
      <c r="I5746" s="1574"/>
      <c r="J5746" s="3">
        <f>T5743</f>
        <v>5600</v>
      </c>
      <c r="Q5746" s="3"/>
      <c r="T5746" s="1405"/>
    </row>
    <row r="5747" spans="7:22">
      <c r="G5747" s="1564" t="s">
        <v>4455</v>
      </c>
      <c r="H5747" s="1564"/>
      <c r="I5747" s="1564"/>
      <c r="J5747" s="3">
        <f>+P5743</f>
        <v>37175000</v>
      </c>
      <c r="R5747" s="3"/>
      <c r="T5747" s="1405"/>
    </row>
    <row r="5748" spans="7:22">
      <c r="T5748" s="1405"/>
    </row>
    <row r="5751" spans="7:22">
      <c r="T5751" s="1413"/>
    </row>
    <row r="5752" spans="7:22">
      <c r="T5752" s="1413"/>
    </row>
    <row r="5753" spans="7:22">
      <c r="G5753" s="1008">
        <v>46125</v>
      </c>
      <c r="H5753" s="1169"/>
      <c r="I5753" s="1575" t="s">
        <v>3510</v>
      </c>
      <c r="J5753" s="1576"/>
      <c r="K5753" s="1575" t="s">
        <v>3509</v>
      </c>
      <c r="L5753" s="1576"/>
      <c r="M5753" s="1575" t="s">
        <v>3541</v>
      </c>
      <c r="N5753" s="1576"/>
      <c r="O5753" s="1577" t="s">
        <v>3598</v>
      </c>
      <c r="P5753" s="1578"/>
      <c r="Q5753" s="1579" t="s">
        <v>3599</v>
      </c>
      <c r="R5753" s="1580"/>
      <c r="S5753" s="1583" t="s">
        <v>3953</v>
      </c>
      <c r="T5753" s="1583"/>
      <c r="U5753" s="1583" t="s">
        <v>3954</v>
      </c>
      <c r="V5753" s="1583"/>
    </row>
    <row r="5754" spans="7:22">
      <c r="G5754" s="1097"/>
      <c r="H5754" s="1261"/>
      <c r="I5754" s="1425" t="s">
        <v>5286</v>
      </c>
      <c r="J5754" s="1081">
        <v>30000000</v>
      </c>
      <c r="K5754" s="1493" t="s">
        <v>3058</v>
      </c>
      <c r="L5754" s="1081">
        <v>2000000</v>
      </c>
      <c r="M5754" s="1495" t="s">
        <v>4613</v>
      </c>
      <c r="N5754" s="1495">
        <v>175200000</v>
      </c>
      <c r="O5754" s="1383"/>
      <c r="P5754" s="644"/>
      <c r="Q5754" s="1279"/>
      <c r="R5754" s="644"/>
      <c r="S5754" s="1223"/>
      <c r="T5754" s="1191"/>
      <c r="U5754" s="1232"/>
      <c r="V5754" s="48"/>
    </row>
    <row r="5755" spans="7:22">
      <c r="G5755" s="1098"/>
      <c r="H5755" s="1172"/>
      <c r="I5755" s="1425" t="s">
        <v>5287</v>
      </c>
      <c r="J5755" s="1081">
        <v>44000000</v>
      </c>
      <c r="K5755" s="1493" t="s">
        <v>4513</v>
      </c>
      <c r="L5755" s="1081">
        <v>2000000</v>
      </c>
      <c r="M5755" s="1495" t="s">
        <v>5285</v>
      </c>
      <c r="N5755" s="49">
        <v>15600000</v>
      </c>
      <c r="O5755" s="1383" t="s">
        <v>5262</v>
      </c>
      <c r="P5755" s="644">
        <v>40000000</v>
      </c>
      <c r="Q5755" s="1410"/>
      <c r="R5755" s="1290"/>
      <c r="S5755" s="1389" t="s">
        <v>4613</v>
      </c>
      <c r="T5755" s="1191">
        <v>10700</v>
      </c>
      <c r="U5755" s="48"/>
      <c r="V5755" s="49"/>
    </row>
    <row r="5756" spans="7:22">
      <c r="G5756" s="48"/>
      <c r="H5756" s="48"/>
      <c r="I5756" s="1426" t="s">
        <v>5288</v>
      </c>
      <c r="J5756" s="1081">
        <v>38640000</v>
      </c>
      <c r="K5756" s="1493" t="s">
        <v>4551</v>
      </c>
      <c r="L5756" s="1081">
        <v>250000</v>
      </c>
      <c r="M5756" s="1495" t="s">
        <v>4580</v>
      </c>
      <c r="N5756" s="49">
        <v>800000000</v>
      </c>
      <c r="O5756" s="1495"/>
      <c r="P5756" s="644"/>
      <c r="Q5756" s="1412"/>
      <c r="R5756" s="644"/>
      <c r="S5756" s="1423" t="s">
        <v>4440</v>
      </c>
      <c r="T5756" s="1191">
        <v>300</v>
      </c>
      <c r="U5756" s="1417"/>
      <c r="V5756" s="1191"/>
    </row>
    <row r="5757" spans="7:22">
      <c r="G5757" s="48"/>
      <c r="H5757" s="48"/>
      <c r="I5757" s="1426" t="s">
        <v>5289</v>
      </c>
      <c r="J5757" s="1393">
        <v>2060000</v>
      </c>
      <c r="K5757" s="1495" t="s">
        <v>4541</v>
      </c>
      <c r="L5757" s="1081">
        <v>200000</v>
      </c>
      <c r="M5757" s="1495"/>
      <c r="N5757" s="49"/>
      <c r="O5757" s="1383"/>
      <c r="P5757" s="644"/>
      <c r="Q5757" s="1422" t="s">
        <v>5163</v>
      </c>
      <c r="R5757" s="644">
        <v>13000000</v>
      </c>
      <c r="S5757" s="1415"/>
      <c r="T5757" s="1414"/>
      <c r="U5757" s="1424" t="s">
        <v>5284</v>
      </c>
      <c r="V5757" s="1414">
        <v>10800</v>
      </c>
    </row>
    <row r="5758" spans="7:22">
      <c r="G5758" s="48"/>
      <c r="H5758" s="48"/>
      <c r="I5758" s="1425" t="s">
        <v>5290</v>
      </c>
      <c r="J5758" s="1081">
        <v>44000000</v>
      </c>
      <c r="K5758" s="1495" t="s">
        <v>4646</v>
      </c>
      <c r="L5758" s="1081">
        <v>1000000</v>
      </c>
      <c r="M5758" s="1495"/>
      <c r="N5758" s="49"/>
      <c r="O5758" s="1383"/>
      <c r="P5758" s="644"/>
      <c r="Q5758" s="1422" t="s">
        <v>4605</v>
      </c>
      <c r="R5758" s="644">
        <v>3000000</v>
      </c>
      <c r="S5758" s="1408"/>
      <c r="T5758" s="1414"/>
      <c r="U5758" s="1408"/>
      <c r="V5758" s="49"/>
    </row>
    <row r="5759" spans="7:22">
      <c r="G5759" s="48"/>
      <c r="H5759" s="48"/>
      <c r="I5759" s="1416"/>
      <c r="J5759" s="1393"/>
      <c r="K5759" s="1495" t="s">
        <v>4965</v>
      </c>
      <c r="L5759" s="1081">
        <v>6000000</v>
      </c>
      <c r="M5759" s="1495"/>
      <c r="N5759" s="49"/>
      <c r="O5759" s="1383"/>
      <c r="P5759" s="644"/>
      <c r="Q5759" s="1382"/>
      <c r="R5759" s="644"/>
      <c r="S5759" s="1358"/>
      <c r="T5759" s="1414"/>
      <c r="U5759" s="1416"/>
      <c r="V5759" s="49"/>
    </row>
    <row r="5760" spans="7:22">
      <c r="G5760" s="48"/>
      <c r="H5760" s="48"/>
      <c r="I5760" s="1416"/>
      <c r="J5760" s="1081"/>
      <c r="K5760" s="1493" t="s">
        <v>5292</v>
      </c>
      <c r="L5760" s="1081">
        <v>4000000</v>
      </c>
      <c r="M5760" s="1493"/>
      <c r="N5760" s="49"/>
      <c r="O5760" s="1383"/>
      <c r="P5760" s="644"/>
      <c r="Q5760" s="1383"/>
      <c r="R5760" s="644"/>
      <c r="S5760" s="48"/>
      <c r="T5760" s="1414"/>
      <c r="U5760" s="1416"/>
      <c r="V5760" s="49"/>
    </row>
    <row r="5761" spans="7:22">
      <c r="G5761" s="48"/>
      <c r="H5761" s="48"/>
      <c r="I5761" s="1416"/>
      <c r="J5761" s="1081"/>
      <c r="K5761" s="1536"/>
      <c r="L5761" s="1081"/>
      <c r="M5761" s="1495"/>
      <c r="N5761" s="49"/>
      <c r="O5761" s="1383"/>
      <c r="P5761" s="644"/>
      <c r="Q5761" s="1385"/>
      <c r="R5761" s="644"/>
      <c r="S5761" s="48"/>
      <c r="T5761" s="1414"/>
      <c r="U5761" s="1416"/>
      <c r="V5761" s="49"/>
    </row>
    <row r="5762" spans="7:22">
      <c r="G5762" s="48"/>
      <c r="H5762" s="48"/>
      <c r="I5762" s="1416"/>
      <c r="J5762" s="1081"/>
      <c r="K5762" s="1493"/>
      <c r="L5762" s="1081"/>
      <c r="M5762" s="1495"/>
      <c r="N5762" s="49"/>
      <c r="O5762" s="644"/>
      <c r="P5762" s="644"/>
      <c r="Q5762" s="1383"/>
      <c r="R5762" s="644"/>
      <c r="S5762" s="48"/>
      <c r="T5762" s="1414"/>
      <c r="U5762" s="1408"/>
      <c r="V5762" s="49"/>
    </row>
    <row r="5763" spans="7:22">
      <c r="G5763" s="48"/>
      <c r="H5763" s="48"/>
      <c r="I5763" s="1416"/>
      <c r="J5763" s="1081"/>
      <c r="K5763" s="1509"/>
      <c r="L5763" s="1081"/>
      <c r="M5763" s="1498"/>
      <c r="N5763" s="49"/>
      <c r="O5763" s="644"/>
      <c r="P5763" s="644"/>
      <c r="Q5763" s="1290"/>
      <c r="R5763" s="644"/>
      <c r="S5763" s="48"/>
      <c r="T5763" s="1414"/>
      <c r="U5763" s="1408"/>
      <c r="V5763" s="49"/>
    </row>
    <row r="5764" spans="7:22">
      <c r="G5764" s="48"/>
      <c r="H5764" s="48"/>
      <c r="I5764" s="1416"/>
      <c r="J5764" s="1081"/>
      <c r="K5764" s="1493"/>
      <c r="L5764" s="1081"/>
      <c r="M5764" s="1498"/>
      <c r="N5764" s="49"/>
      <c r="O5764" s="644"/>
      <c r="P5764" s="644"/>
      <c r="Q5764" s="1383"/>
      <c r="R5764" s="644"/>
      <c r="S5764" s="48"/>
      <c r="T5764" s="1414"/>
      <c r="U5764" s="48"/>
      <c r="V5764" s="48"/>
    </row>
    <row r="5765" spans="7:22">
      <c r="G5765" s="48"/>
      <c r="H5765" s="48"/>
      <c r="I5765" s="1416"/>
      <c r="J5765" s="1081"/>
      <c r="K5765" s="1509"/>
      <c r="L5765" s="1081"/>
      <c r="M5765" s="1498"/>
      <c r="N5765" s="49"/>
      <c r="O5765" s="644"/>
      <c r="P5765" s="644"/>
      <c r="Q5765" s="1290"/>
      <c r="R5765" s="644"/>
      <c r="S5765" s="48"/>
      <c r="T5765" s="1414"/>
      <c r="U5765" s="48"/>
      <c r="V5765" s="48"/>
    </row>
    <row r="5766" spans="7:22">
      <c r="G5766" s="48"/>
      <c r="H5766" s="48"/>
      <c r="I5766" s="1416"/>
      <c r="J5766" s="1081"/>
      <c r="K5766" s="1509"/>
      <c r="L5766" s="1081"/>
      <c r="M5766" s="1498"/>
      <c r="N5766" s="49"/>
      <c r="O5766" s="644"/>
      <c r="P5766" s="644"/>
      <c r="Q5766" s="1290"/>
      <c r="R5766" s="644"/>
      <c r="S5766" s="48"/>
      <c r="T5766" s="1414"/>
      <c r="U5766" s="48"/>
      <c r="V5766" s="48"/>
    </row>
    <row r="5767" spans="7:22">
      <c r="G5767" s="48"/>
      <c r="H5767" s="48"/>
      <c r="I5767" s="1417"/>
      <c r="J5767" s="49"/>
      <c r="K5767" s="1498"/>
      <c r="L5767" s="49"/>
      <c r="M5767" s="1498"/>
      <c r="N5767" s="49"/>
      <c r="O5767" s="644"/>
      <c r="P5767" s="644"/>
      <c r="Q5767" s="1290"/>
      <c r="R5767" s="644"/>
      <c r="S5767" s="48"/>
      <c r="T5767" s="1414"/>
      <c r="U5767" s="48"/>
      <c r="V5767" s="48"/>
    </row>
    <row r="5768" spans="7:22">
      <c r="G5768" s="48"/>
      <c r="H5768" s="48"/>
      <c r="I5768" s="1417"/>
      <c r="J5768" s="49"/>
      <c r="K5768" s="1498"/>
      <c r="L5768" s="49"/>
      <c r="M5768" s="1498"/>
      <c r="N5768" s="49"/>
      <c r="O5768" s="644"/>
      <c r="P5768" s="644"/>
      <c r="Q5768" s="1290"/>
      <c r="R5768" s="644"/>
      <c r="S5768" s="48"/>
      <c r="T5768" s="1414"/>
      <c r="U5768" s="48"/>
      <c r="V5768" s="48"/>
    </row>
    <row r="5769" spans="7:22">
      <c r="G5769" s="48"/>
      <c r="H5769" s="48"/>
      <c r="I5769" s="1408"/>
      <c r="J5769" s="49"/>
      <c r="K5769" s="1498"/>
      <c r="L5769" s="49"/>
      <c r="M5769" s="1498"/>
      <c r="N5769" s="49"/>
      <c r="O5769" s="644"/>
      <c r="P5769" s="644"/>
      <c r="Q5769" s="1290"/>
      <c r="R5769" s="644"/>
      <c r="S5769" s="48"/>
      <c r="T5769" s="1414"/>
      <c r="U5769" s="48"/>
      <c r="V5769" s="48"/>
    </row>
    <row r="5770" spans="7:22">
      <c r="G5770" s="48"/>
      <c r="H5770" s="48"/>
      <c r="I5770" s="48"/>
      <c r="J5770" s="49"/>
      <c r="K5770" s="1498"/>
      <c r="L5770" s="49"/>
      <c r="M5770" s="1498"/>
      <c r="N5770" s="49"/>
      <c r="O5770" s="644"/>
      <c r="P5770" s="644"/>
      <c r="Q5770" s="1290"/>
      <c r="R5770" s="644"/>
      <c r="S5770" s="48"/>
      <c r="T5770" s="1414"/>
      <c r="U5770" s="48"/>
      <c r="V5770" s="48"/>
    </row>
    <row r="5771" spans="7:22">
      <c r="G5771" s="48"/>
      <c r="H5771" s="48"/>
      <c r="I5771" s="48"/>
      <c r="J5771" s="49"/>
      <c r="K5771" s="1498"/>
      <c r="L5771" s="49"/>
      <c r="M5771" s="1498"/>
      <c r="N5771" s="49"/>
      <c r="O5771" s="644"/>
      <c r="P5771" s="644"/>
      <c r="Q5771" s="1290"/>
      <c r="R5771" s="644"/>
      <c r="S5771" s="48"/>
      <c r="T5771" s="1414"/>
      <c r="U5771" s="48"/>
      <c r="V5771" s="48"/>
    </row>
    <row r="5772" spans="7:22">
      <c r="G5772" s="48"/>
      <c r="H5772" s="48"/>
      <c r="I5772" s="48"/>
      <c r="J5772" s="49"/>
      <c r="K5772" s="1498"/>
      <c r="L5772" s="49"/>
      <c r="M5772" s="1498"/>
      <c r="N5772" s="49"/>
      <c r="O5772" s="644"/>
      <c r="P5772" s="644"/>
      <c r="Q5772" s="1290"/>
      <c r="R5772" s="644"/>
      <c r="S5772" s="48"/>
      <c r="T5772" s="1414"/>
      <c r="U5772" s="48"/>
      <c r="V5772" s="48"/>
    </row>
    <row r="5773" spans="7:22">
      <c r="G5773" s="48"/>
      <c r="H5773" s="48"/>
      <c r="I5773" s="48"/>
      <c r="J5773" s="49"/>
      <c r="K5773" s="1498"/>
      <c r="L5773" s="49"/>
      <c r="M5773" s="1498"/>
      <c r="N5773" s="49"/>
      <c r="O5773" s="644"/>
      <c r="P5773" s="644"/>
      <c r="Q5773" s="1290"/>
      <c r="R5773" s="644"/>
      <c r="S5773" s="48"/>
      <c r="T5773" s="1414"/>
      <c r="U5773" s="48"/>
      <c r="V5773" s="48"/>
    </row>
    <row r="5774" spans="7:22">
      <c r="G5774" s="48"/>
      <c r="H5774" s="48"/>
      <c r="I5774" s="48"/>
      <c r="J5774" s="49"/>
      <c r="K5774" s="1498"/>
      <c r="L5774" s="49"/>
      <c r="M5774" s="1498"/>
      <c r="N5774" s="49"/>
      <c r="O5774" s="644"/>
      <c r="P5774" s="644"/>
      <c r="Q5774" s="1290"/>
      <c r="R5774" s="644"/>
      <c r="S5774" s="48"/>
      <c r="T5774" s="1414"/>
      <c r="U5774" s="48"/>
      <c r="V5774" s="48"/>
    </row>
    <row r="5775" spans="7:22">
      <c r="G5775" s="48"/>
      <c r="H5775" s="48"/>
      <c r="I5775" s="48"/>
      <c r="J5775" s="49"/>
      <c r="K5775" s="1498"/>
      <c r="L5775" s="49"/>
      <c r="M5775" s="1498"/>
      <c r="N5775" s="49"/>
      <c r="O5775" s="644"/>
      <c r="P5775" s="644"/>
      <c r="Q5775" s="1290"/>
      <c r="R5775" s="644"/>
      <c r="S5775" s="48"/>
      <c r="T5775" s="1414"/>
      <c r="U5775" s="48"/>
      <c r="V5775" s="48"/>
    </row>
    <row r="5776" spans="7:22">
      <c r="G5776" s="48"/>
      <c r="H5776" s="48"/>
      <c r="I5776" s="48"/>
      <c r="J5776" s="49"/>
      <c r="K5776" s="49"/>
      <c r="L5776" s="49"/>
      <c r="M5776" s="1498"/>
      <c r="N5776" s="49"/>
      <c r="O5776" s="644"/>
      <c r="P5776" s="644"/>
      <c r="Q5776" s="1290"/>
      <c r="R5776" s="644"/>
      <c r="S5776" s="48"/>
      <c r="T5776" s="1414"/>
      <c r="U5776" s="48"/>
      <c r="V5776" s="48"/>
    </row>
    <row r="5777" spans="7:22">
      <c r="G5777" s="48"/>
      <c r="H5777" s="48"/>
      <c r="I5777" s="48"/>
      <c r="J5777" s="954">
        <f>SUM(J5754:J5776)</f>
        <v>158700000</v>
      </c>
      <c r="K5777" s="954"/>
      <c r="L5777" s="954">
        <f>SUM(L5754:L5776)</f>
        <v>15450000</v>
      </c>
      <c r="M5777" s="1498"/>
      <c r="N5777" s="954">
        <f>SUM(N5754:N5776)</f>
        <v>990800000</v>
      </c>
      <c r="O5777" s="644"/>
      <c r="P5777" s="969">
        <f>SUM(P5754:P5761)</f>
        <v>40000000</v>
      </c>
      <c r="Q5777" s="969"/>
      <c r="R5777" s="969">
        <f>SUM(R5754:R5776)</f>
        <v>16000000</v>
      </c>
      <c r="S5777" s="48"/>
      <c r="T5777" s="1178">
        <f>SUM(T5754:T5776)</f>
        <v>11000</v>
      </c>
      <c r="U5777" s="48"/>
      <c r="V5777" s="878">
        <f>SUM(V5754:V5776)</f>
        <v>10800</v>
      </c>
    </row>
    <row r="5778" spans="7:22">
      <c r="T5778" s="1413"/>
    </row>
    <row r="5779" spans="7:22">
      <c r="T5779" s="1413"/>
    </row>
    <row r="5780" spans="7:22">
      <c r="R5780" s="661"/>
      <c r="T5780" s="1413"/>
    </row>
    <row r="5781" spans="7:22">
      <c r="T5781" s="1413"/>
    </row>
    <row r="5782" spans="7:22">
      <c r="T5782" s="1413"/>
    </row>
    <row r="5783" spans="7:22">
      <c r="I5783" s="946"/>
      <c r="M5783" s="1533" t="s">
        <v>3699</v>
      </c>
      <c r="O5783" s="1535" t="s">
        <v>3741</v>
      </c>
      <c r="P5783" s="1512">
        <f>P5777-R5777</f>
        <v>24000000</v>
      </c>
      <c r="S5783" s="906" t="s">
        <v>4049</v>
      </c>
      <c r="T5783" s="1107">
        <f>T5777-V5777</f>
        <v>200</v>
      </c>
    </row>
    <row r="5784" spans="7:22">
      <c r="G5784" s="1574" t="s">
        <v>3530</v>
      </c>
      <c r="H5784" s="1574"/>
      <c r="I5784" s="1574"/>
      <c r="J5784" s="3">
        <f>J5777+L5777</f>
        <v>174150000</v>
      </c>
      <c r="K5784" s="1009"/>
      <c r="L5784" s="3"/>
      <c r="M5784" s="1533" t="s">
        <v>3664</v>
      </c>
      <c r="N5784" s="1527"/>
      <c r="O5784" s="1535" t="s">
        <v>4066</v>
      </c>
      <c r="P5784" s="1512"/>
      <c r="T5784" s="1413"/>
    </row>
    <row r="5785" spans="7:22">
      <c r="G5785" s="1574" t="s">
        <v>3512</v>
      </c>
      <c r="H5785" s="1574"/>
      <c r="I5785" s="1574"/>
      <c r="J5785" s="3">
        <f>N5777-J5784</f>
        <v>816650000</v>
      </c>
      <c r="K5785" s="1009"/>
      <c r="L5785" s="3"/>
      <c r="M5785" s="1528"/>
      <c r="O5785" s="1529"/>
      <c r="Q5785" s="661"/>
      <c r="T5785" s="1413"/>
    </row>
    <row r="5786" spans="7:22">
      <c r="G5786" s="1574" t="s">
        <v>3531</v>
      </c>
      <c r="H5786" s="1574"/>
      <c r="I5786" s="1574"/>
      <c r="J5786" s="3">
        <f>T5783</f>
        <v>200</v>
      </c>
      <c r="Q5786" s="3"/>
      <c r="T5786" s="1413"/>
    </row>
    <row r="5787" spans="7:22">
      <c r="G5787" s="1564" t="s">
        <v>4455</v>
      </c>
      <c r="H5787" s="1564"/>
      <c r="I5787" s="1564"/>
      <c r="J5787" s="3">
        <f>+P5783</f>
        <v>24000000</v>
      </c>
      <c r="R5787" s="3"/>
      <c r="T5787" s="1413"/>
    </row>
    <row r="5788" spans="7:22">
      <c r="T5788" s="1413"/>
    </row>
    <row r="5790" spans="7:22">
      <c r="T5790" s="1413"/>
    </row>
    <row r="5791" spans="7:22">
      <c r="T5791" s="1413"/>
    </row>
    <row r="5792" spans="7:22">
      <c r="T5792" s="1413"/>
    </row>
    <row r="5793" spans="7:22">
      <c r="G5793" s="1008">
        <v>46126</v>
      </c>
      <c r="H5793" s="1169"/>
      <c r="I5793" s="1575" t="s">
        <v>3510</v>
      </c>
      <c r="J5793" s="1576"/>
      <c r="K5793" s="1575" t="s">
        <v>3509</v>
      </c>
      <c r="L5793" s="1576"/>
      <c r="M5793" s="1575" t="s">
        <v>3541</v>
      </c>
      <c r="N5793" s="1576"/>
      <c r="O5793" s="1577" t="s">
        <v>3598</v>
      </c>
      <c r="P5793" s="1578"/>
      <c r="Q5793" s="1579" t="s">
        <v>3599</v>
      </c>
      <c r="R5793" s="1580"/>
      <c r="S5793" s="1583" t="s">
        <v>3953</v>
      </c>
      <c r="T5793" s="1583"/>
      <c r="U5793" s="1583" t="s">
        <v>3954</v>
      </c>
      <c r="V5793" s="1583"/>
    </row>
    <row r="5794" spans="7:22">
      <c r="G5794" s="1097"/>
      <c r="H5794" s="1261"/>
      <c r="I5794" s="1425" t="s">
        <v>5293</v>
      </c>
      <c r="J5794" s="1081">
        <v>44000000</v>
      </c>
      <c r="K5794" s="1493" t="s">
        <v>5297</v>
      </c>
      <c r="L5794" s="1081">
        <v>1000000</v>
      </c>
      <c r="M5794" s="1495" t="s">
        <v>4613</v>
      </c>
      <c r="N5794" s="1495">
        <v>816600000</v>
      </c>
      <c r="O5794" s="1383"/>
      <c r="P5794" s="644"/>
      <c r="Q5794" s="1279"/>
      <c r="R5794" s="644"/>
      <c r="S5794" s="1223"/>
      <c r="T5794" s="1191"/>
      <c r="U5794" s="1232"/>
      <c r="V5794" s="48"/>
    </row>
    <row r="5795" spans="7:22">
      <c r="G5795" s="1098"/>
      <c r="H5795" s="1172"/>
      <c r="I5795" s="1425" t="s">
        <v>5294</v>
      </c>
      <c r="J5795" s="1081">
        <v>45500000</v>
      </c>
      <c r="K5795" s="1493" t="s">
        <v>5298</v>
      </c>
      <c r="L5795" s="1081">
        <v>1420000</v>
      </c>
      <c r="M5795" s="1495"/>
      <c r="N5795" s="49"/>
      <c r="O5795" s="1383" t="s">
        <v>5262</v>
      </c>
      <c r="P5795" s="644">
        <v>40000000</v>
      </c>
      <c r="Q5795" s="1410"/>
      <c r="R5795" s="1290"/>
      <c r="S5795" s="1389" t="s">
        <v>4613</v>
      </c>
      <c r="T5795" s="1191">
        <v>10700</v>
      </c>
      <c r="U5795" s="48"/>
      <c r="V5795" s="49"/>
    </row>
    <row r="5796" spans="7:22">
      <c r="G5796" s="48"/>
      <c r="H5796" s="48"/>
      <c r="I5796" s="1426" t="s">
        <v>5295</v>
      </c>
      <c r="J5796" s="1081">
        <v>27000000</v>
      </c>
      <c r="K5796" s="1493" t="s">
        <v>4507</v>
      </c>
      <c r="L5796" s="1081">
        <v>20000000</v>
      </c>
      <c r="M5796" s="1495"/>
      <c r="N5796" s="49"/>
      <c r="O5796" s="1495"/>
      <c r="P5796" s="644"/>
      <c r="Q5796" s="1412"/>
      <c r="R5796" s="644"/>
      <c r="S5796" s="1423" t="s">
        <v>4440</v>
      </c>
      <c r="T5796" s="1191">
        <v>300</v>
      </c>
      <c r="U5796" s="1417"/>
      <c r="V5796" s="1191"/>
    </row>
    <row r="5797" spans="7:22">
      <c r="G5797" s="48"/>
      <c r="H5797" s="48"/>
      <c r="I5797" s="1426" t="s">
        <v>5296</v>
      </c>
      <c r="J5797" s="1393">
        <v>25800000</v>
      </c>
      <c r="K5797" s="1495" t="s">
        <v>5302</v>
      </c>
      <c r="L5797" s="1081">
        <v>2000000</v>
      </c>
      <c r="M5797" s="1495"/>
      <c r="N5797" s="49"/>
      <c r="O5797" s="1383"/>
      <c r="P5797" s="644"/>
      <c r="Q5797" s="1422" t="s">
        <v>5163</v>
      </c>
      <c r="R5797" s="644">
        <v>13000000</v>
      </c>
      <c r="S5797" s="1415"/>
      <c r="T5797" s="1414"/>
      <c r="U5797" s="1424" t="s">
        <v>5284</v>
      </c>
      <c r="V5797" s="1414">
        <v>10800</v>
      </c>
    </row>
    <row r="5798" spans="7:22">
      <c r="G5798" s="48"/>
      <c r="H5798" s="48"/>
      <c r="I5798" s="1425" t="s">
        <v>5299</v>
      </c>
      <c r="J5798" s="1081">
        <v>46500000</v>
      </c>
      <c r="K5798" s="1495" t="s">
        <v>4541</v>
      </c>
      <c r="L5798" s="1081">
        <v>880000</v>
      </c>
      <c r="M5798" s="1495"/>
      <c r="N5798" s="49"/>
      <c r="O5798" s="1383"/>
      <c r="P5798" s="644"/>
      <c r="Q5798" s="1422" t="s">
        <v>4605</v>
      </c>
      <c r="R5798" s="644">
        <v>3000000</v>
      </c>
      <c r="S5798" s="1408"/>
      <c r="T5798" s="1414"/>
      <c r="U5798" s="1408"/>
      <c r="V5798" s="49"/>
    </row>
    <row r="5799" spans="7:22">
      <c r="G5799" s="48"/>
      <c r="H5799" s="48"/>
      <c r="I5799" s="1426" t="s">
        <v>5300</v>
      </c>
      <c r="J5799" s="1081">
        <v>46500000</v>
      </c>
      <c r="K5799" s="1495" t="s">
        <v>5291</v>
      </c>
      <c r="L5799" s="1081">
        <v>1400000</v>
      </c>
      <c r="M5799" s="1495"/>
      <c r="N5799" s="49"/>
      <c r="O5799" s="1383"/>
      <c r="P5799" s="644"/>
      <c r="Q5799" s="1382"/>
      <c r="R5799" s="644"/>
      <c r="S5799" s="1358"/>
      <c r="T5799" s="1414"/>
      <c r="U5799" s="1416"/>
      <c r="V5799" s="49"/>
    </row>
    <row r="5800" spans="7:22">
      <c r="G5800" s="48"/>
      <c r="H5800" s="48"/>
      <c r="I5800" s="1426" t="s">
        <v>5301</v>
      </c>
      <c r="J5800" s="1081">
        <v>45000000</v>
      </c>
      <c r="K5800" s="1493"/>
      <c r="L5800" s="1081"/>
      <c r="M5800" s="1493"/>
      <c r="N5800" s="49"/>
      <c r="O5800" s="1383"/>
      <c r="P5800" s="644"/>
      <c r="Q5800" s="1383"/>
      <c r="R5800" s="644"/>
      <c r="S5800" s="48"/>
      <c r="T5800" s="1414"/>
      <c r="U5800" s="1416"/>
      <c r="V5800" s="49"/>
    </row>
    <row r="5801" spans="7:22">
      <c r="G5801" s="48"/>
      <c r="H5801" s="48"/>
      <c r="I5801" s="1416"/>
      <c r="J5801" s="1081"/>
      <c r="K5801" s="1536"/>
      <c r="L5801" s="1081"/>
      <c r="M5801" s="1495"/>
      <c r="N5801" s="49"/>
      <c r="O5801" s="1383"/>
      <c r="P5801" s="644"/>
      <c r="Q5801" s="1385"/>
      <c r="R5801" s="644"/>
      <c r="S5801" s="48"/>
      <c r="T5801" s="1414"/>
      <c r="U5801" s="1416"/>
      <c r="V5801" s="49"/>
    </row>
    <row r="5802" spans="7:22">
      <c r="G5802" s="48"/>
      <c r="H5802" s="48"/>
      <c r="I5802" s="1426" t="s">
        <v>5303</v>
      </c>
      <c r="J5802" s="1081">
        <v>46500000</v>
      </c>
      <c r="K5802" s="1493"/>
      <c r="L5802" s="1081"/>
      <c r="M5802" s="1495"/>
      <c r="N5802" s="49"/>
      <c r="O5802" s="644"/>
      <c r="P5802" s="644"/>
      <c r="Q5802" s="1383"/>
      <c r="R5802" s="644"/>
      <c r="S5802" s="48"/>
      <c r="T5802" s="1414"/>
      <c r="U5802" s="1408"/>
      <c r="V5802" s="49"/>
    </row>
    <row r="5803" spans="7:22">
      <c r="G5803" s="48"/>
      <c r="H5803" s="48"/>
      <c r="I5803" s="1426" t="s">
        <v>5304</v>
      </c>
      <c r="J5803" s="1081">
        <v>18600000</v>
      </c>
      <c r="K5803" s="1509"/>
      <c r="L5803" s="1081"/>
      <c r="M5803" s="1498"/>
      <c r="N5803" s="49"/>
      <c r="O5803" s="644"/>
      <c r="P5803" s="644"/>
      <c r="Q5803" s="1290"/>
      <c r="R5803" s="644"/>
      <c r="S5803" s="48"/>
      <c r="T5803" s="1414"/>
      <c r="U5803" s="1408"/>
      <c r="V5803" s="49"/>
    </row>
    <row r="5804" spans="7:22">
      <c r="G5804" s="48"/>
      <c r="H5804" s="48"/>
      <c r="I5804" s="1426" t="s">
        <v>5305</v>
      </c>
      <c r="J5804" s="1081">
        <v>30360000</v>
      </c>
      <c r="K5804" s="1493"/>
      <c r="L5804" s="1081"/>
      <c r="M5804" s="1498"/>
      <c r="N5804" s="49"/>
      <c r="O5804" s="644"/>
      <c r="P5804" s="644"/>
      <c r="Q5804" s="1383"/>
      <c r="R5804" s="644"/>
      <c r="S5804" s="48"/>
      <c r="T5804" s="1414"/>
      <c r="U5804" s="48"/>
      <c r="V5804" s="48"/>
    </row>
    <row r="5805" spans="7:22">
      <c r="G5805" s="48"/>
      <c r="H5805" s="48"/>
      <c r="I5805" s="1426" t="s">
        <v>5306</v>
      </c>
      <c r="J5805" s="1081">
        <v>37200000</v>
      </c>
      <c r="K5805" s="1509"/>
      <c r="L5805" s="1081"/>
      <c r="M5805" s="1498"/>
      <c r="N5805" s="49"/>
      <c r="O5805" s="644"/>
      <c r="P5805" s="644"/>
      <c r="Q5805" s="1290"/>
      <c r="R5805" s="644"/>
      <c r="S5805" s="48"/>
      <c r="T5805" s="1414"/>
      <c r="U5805" s="48"/>
      <c r="V5805" s="48"/>
    </row>
    <row r="5806" spans="7:22">
      <c r="G5806" s="48"/>
      <c r="H5806" s="48"/>
      <c r="I5806" s="1426" t="s">
        <v>5307</v>
      </c>
      <c r="J5806" s="1081">
        <v>9000000</v>
      </c>
      <c r="K5806" s="1509"/>
      <c r="L5806" s="1081"/>
      <c r="M5806" s="1498"/>
      <c r="N5806" s="49"/>
      <c r="O5806" s="644"/>
      <c r="P5806" s="644"/>
      <c r="Q5806" s="1290"/>
      <c r="R5806" s="644"/>
      <c r="S5806" s="48"/>
      <c r="T5806" s="1414"/>
      <c r="U5806" s="48"/>
      <c r="V5806" s="48"/>
    </row>
    <row r="5807" spans="7:22">
      <c r="G5807" s="48"/>
      <c r="H5807" s="48"/>
      <c r="I5807" s="1424" t="s">
        <v>5308</v>
      </c>
      <c r="J5807" s="49">
        <v>21160000</v>
      </c>
      <c r="K5807" s="1498"/>
      <c r="L5807" s="49"/>
      <c r="M5807" s="1498"/>
      <c r="N5807" s="49"/>
      <c r="O5807" s="644"/>
      <c r="P5807" s="644"/>
      <c r="Q5807" s="1290"/>
      <c r="R5807" s="644"/>
      <c r="S5807" s="48"/>
      <c r="T5807" s="1414"/>
      <c r="U5807" s="48"/>
      <c r="V5807" s="48"/>
    </row>
    <row r="5808" spans="7:22">
      <c r="G5808" s="48"/>
      <c r="H5808" s="48"/>
      <c r="I5808" s="1424" t="s">
        <v>5309</v>
      </c>
      <c r="J5808" s="49">
        <v>21160000</v>
      </c>
      <c r="K5808" s="1498"/>
      <c r="L5808" s="49"/>
      <c r="M5808" s="1498"/>
      <c r="N5808" s="49"/>
      <c r="O5808" s="644"/>
      <c r="P5808" s="644"/>
      <c r="Q5808" s="1290"/>
      <c r="R5808" s="644"/>
      <c r="S5808" s="48"/>
      <c r="T5808" s="1414"/>
      <c r="U5808" s="48"/>
      <c r="V5808" s="48"/>
    </row>
    <row r="5809" spans="7:22">
      <c r="G5809" s="48"/>
      <c r="H5809" s="48"/>
      <c r="I5809" s="1424" t="s">
        <v>5311</v>
      </c>
      <c r="J5809" s="49">
        <v>30800000</v>
      </c>
      <c r="K5809" s="1498"/>
      <c r="L5809" s="49"/>
      <c r="M5809" s="1498"/>
      <c r="N5809" s="49"/>
      <c r="O5809" s="644"/>
      <c r="P5809" s="644"/>
      <c r="Q5809" s="1290"/>
      <c r="R5809" s="644"/>
      <c r="S5809" s="48"/>
      <c r="T5809" s="1414"/>
      <c r="U5809" s="48"/>
      <c r="V5809" s="48"/>
    </row>
    <row r="5810" spans="7:22">
      <c r="G5810" s="48"/>
      <c r="H5810" s="48"/>
      <c r="I5810" s="48"/>
      <c r="J5810" s="49"/>
      <c r="K5810" s="1498"/>
      <c r="L5810" s="49"/>
      <c r="M5810" s="1498"/>
      <c r="N5810" s="49"/>
      <c r="O5810" s="644"/>
      <c r="P5810" s="644"/>
      <c r="Q5810" s="1290"/>
      <c r="R5810" s="644"/>
      <c r="S5810" s="48"/>
      <c r="T5810" s="1414"/>
      <c r="U5810" s="48"/>
      <c r="V5810" s="48"/>
    </row>
    <row r="5811" spans="7:22">
      <c r="G5811" s="48"/>
      <c r="H5811" s="48"/>
      <c r="I5811" s="48"/>
      <c r="J5811" s="49"/>
      <c r="K5811" s="1498"/>
      <c r="L5811" s="49"/>
      <c r="M5811" s="1498"/>
      <c r="N5811" s="49"/>
      <c r="O5811" s="644"/>
      <c r="P5811" s="644"/>
      <c r="Q5811" s="1290"/>
      <c r="R5811" s="644"/>
      <c r="S5811" s="48"/>
      <c r="T5811" s="1414"/>
      <c r="U5811" s="48"/>
      <c r="V5811" s="48"/>
    </row>
    <row r="5812" spans="7:22">
      <c r="G5812" s="48"/>
      <c r="H5812" s="48"/>
      <c r="I5812" s="48"/>
      <c r="J5812" s="49"/>
      <c r="K5812" s="1498"/>
      <c r="L5812" s="49"/>
      <c r="M5812" s="1498"/>
      <c r="N5812" s="49"/>
      <c r="O5812" s="644"/>
      <c r="P5812" s="644"/>
      <c r="Q5812" s="1290"/>
      <c r="R5812" s="644"/>
      <c r="S5812" s="48"/>
      <c r="T5812" s="1414"/>
      <c r="U5812" s="48"/>
      <c r="V5812" s="48"/>
    </row>
    <row r="5813" spans="7:22">
      <c r="G5813" s="48"/>
      <c r="H5813" s="48"/>
      <c r="I5813" s="48"/>
      <c r="J5813" s="49"/>
      <c r="K5813" s="1498"/>
      <c r="L5813" s="49"/>
      <c r="M5813" s="1498"/>
      <c r="N5813" s="49"/>
      <c r="O5813" s="644"/>
      <c r="P5813" s="644"/>
      <c r="Q5813" s="1290"/>
      <c r="R5813" s="644"/>
      <c r="S5813" s="48"/>
      <c r="T5813" s="1414"/>
      <c r="U5813" s="48"/>
      <c r="V5813" s="48"/>
    </row>
    <row r="5814" spans="7:22">
      <c r="G5814" s="48"/>
      <c r="H5814" s="48"/>
      <c r="I5814" s="48"/>
      <c r="J5814" s="49"/>
      <c r="K5814" s="1498"/>
      <c r="L5814" s="49"/>
      <c r="M5814" s="1498"/>
      <c r="N5814" s="49"/>
      <c r="O5814" s="644"/>
      <c r="P5814" s="644"/>
      <c r="Q5814" s="1290"/>
      <c r="R5814" s="644"/>
      <c r="S5814" s="48"/>
      <c r="T5814" s="1414"/>
      <c r="U5814" s="48"/>
      <c r="V5814" s="48"/>
    </row>
    <row r="5815" spans="7:22">
      <c r="G5815" s="48"/>
      <c r="H5815" s="48"/>
      <c r="I5815" s="48"/>
      <c r="J5815" s="49"/>
      <c r="K5815" s="1498"/>
      <c r="L5815" s="49"/>
      <c r="M5815" s="1498"/>
      <c r="N5815" s="49"/>
      <c r="O5815" s="644"/>
      <c r="P5815" s="644"/>
      <c r="Q5815" s="1290"/>
      <c r="R5815" s="644"/>
      <c r="S5815" s="48"/>
      <c r="T5815" s="1414"/>
      <c r="U5815" s="48"/>
      <c r="V5815" s="48"/>
    </row>
    <row r="5816" spans="7:22">
      <c r="G5816" s="48"/>
      <c r="H5816" s="48"/>
      <c r="I5816" s="48"/>
      <c r="J5816" s="49"/>
      <c r="K5816" s="49"/>
      <c r="L5816" s="49"/>
      <c r="M5816" s="1498"/>
      <c r="N5816" s="49"/>
      <c r="O5816" s="644"/>
      <c r="P5816" s="644"/>
      <c r="Q5816" s="1290"/>
      <c r="R5816" s="644"/>
      <c r="S5816" s="48"/>
      <c r="T5816" s="1414"/>
      <c r="U5816" s="48"/>
      <c r="V5816" s="48"/>
    </row>
    <row r="5817" spans="7:22">
      <c r="G5817" s="48"/>
      <c r="H5817" s="48"/>
      <c r="I5817" s="48"/>
      <c r="J5817" s="954">
        <f>SUM(J5794:J5816)</f>
        <v>495080000</v>
      </c>
      <c r="K5817" s="954"/>
      <c r="L5817" s="954">
        <f>SUM(L5794:L5816)</f>
        <v>26700000</v>
      </c>
      <c r="M5817" s="1498"/>
      <c r="N5817" s="954">
        <f>SUM(N5794:N5816)</f>
        <v>816600000</v>
      </c>
      <c r="O5817" s="644"/>
      <c r="P5817" s="969">
        <f>SUM(P5794:P5801)</f>
        <v>40000000</v>
      </c>
      <c r="Q5817" s="969"/>
      <c r="R5817" s="969">
        <f>SUM(R5794:R5816)</f>
        <v>16000000</v>
      </c>
      <c r="S5817" s="48"/>
      <c r="T5817" s="1178">
        <f>SUM(T5794:T5816)</f>
        <v>11000</v>
      </c>
      <c r="U5817" s="48"/>
      <c r="V5817" s="878">
        <f>SUM(V5794:V5816)</f>
        <v>10800</v>
      </c>
    </row>
    <row r="5818" spans="7:22">
      <c r="T5818" s="1413"/>
    </row>
    <row r="5819" spans="7:22">
      <c r="T5819" s="1413"/>
    </row>
    <row r="5820" spans="7:22">
      <c r="R5820" s="661"/>
      <c r="T5820" s="1413"/>
    </row>
    <row r="5821" spans="7:22">
      <c r="T5821" s="1413"/>
    </row>
    <row r="5822" spans="7:22">
      <c r="K5822" s="3" t="s">
        <v>5310</v>
      </c>
      <c r="T5822" s="1413"/>
    </row>
    <row r="5823" spans="7:22">
      <c r="I5823" s="946"/>
      <c r="M5823" s="1533" t="s">
        <v>3699</v>
      </c>
      <c r="O5823" s="1535" t="s">
        <v>3741</v>
      </c>
      <c r="P5823" s="1512">
        <f>P5817-R5817</f>
        <v>24000000</v>
      </c>
      <c r="S5823" s="906" t="s">
        <v>4049</v>
      </c>
      <c r="T5823" s="1107">
        <f>T5817-V5817</f>
        <v>200</v>
      </c>
    </row>
    <row r="5824" spans="7:22">
      <c r="G5824" s="1574" t="s">
        <v>3530</v>
      </c>
      <c r="H5824" s="1574"/>
      <c r="I5824" s="1574"/>
      <c r="J5824" s="3">
        <f>J5817+L5817</f>
        <v>521780000</v>
      </c>
      <c r="K5824" s="1009"/>
      <c r="L5824" s="3"/>
      <c r="M5824" s="1533" t="s">
        <v>3664</v>
      </c>
      <c r="N5824" s="1527"/>
      <c r="O5824" s="1535" t="s">
        <v>4066</v>
      </c>
      <c r="P5824" s="1512"/>
      <c r="T5824" s="1413"/>
    </row>
    <row r="5825" spans="7:22">
      <c r="G5825" s="1574" t="s">
        <v>3512</v>
      </c>
      <c r="H5825" s="1574"/>
      <c r="I5825" s="1574"/>
      <c r="J5825" s="3">
        <f>N5817-J5824</f>
        <v>294820000</v>
      </c>
      <c r="K5825" s="1009"/>
      <c r="L5825" s="3"/>
      <c r="M5825" s="1528"/>
      <c r="O5825" s="1529"/>
      <c r="Q5825" s="661"/>
      <c r="T5825" s="1413"/>
    </row>
    <row r="5826" spans="7:22">
      <c r="G5826" s="1574" t="s">
        <v>3531</v>
      </c>
      <c r="H5826" s="1574"/>
      <c r="I5826" s="1574"/>
      <c r="J5826" s="3">
        <f>T5823</f>
        <v>200</v>
      </c>
      <c r="Q5826" s="3"/>
      <c r="T5826" s="1413"/>
    </row>
    <row r="5827" spans="7:22">
      <c r="G5827" s="1564" t="s">
        <v>4455</v>
      </c>
      <c r="H5827" s="1564"/>
      <c r="I5827" s="1564"/>
      <c r="J5827" s="3">
        <f>+P5823</f>
        <v>24000000</v>
      </c>
      <c r="R5827" s="3"/>
      <c r="T5827" s="1413"/>
    </row>
    <row r="5828" spans="7:22">
      <c r="T5828" s="1413"/>
    </row>
    <row r="5829" spans="7:22">
      <c r="T5829" s="1413"/>
    </row>
    <row r="5830" spans="7:22">
      <c r="T5830" s="1413"/>
    </row>
    <row r="5831" spans="7:22">
      <c r="T5831" s="1413"/>
    </row>
    <row r="5832" spans="7:22">
      <c r="G5832" s="1008">
        <v>46127</v>
      </c>
      <c r="H5832" s="1169"/>
      <c r="I5832" s="1575" t="s">
        <v>3510</v>
      </c>
      <c r="J5832" s="1576"/>
      <c r="K5832" s="1575" t="s">
        <v>3509</v>
      </c>
      <c r="L5832" s="1576"/>
      <c r="M5832" s="1575" t="s">
        <v>3541</v>
      </c>
      <c r="N5832" s="1576"/>
      <c r="O5832" s="1577" t="s">
        <v>3598</v>
      </c>
      <c r="P5832" s="1578"/>
      <c r="Q5832" s="1579" t="s">
        <v>3599</v>
      </c>
      <c r="R5832" s="1580"/>
      <c r="S5832" s="1583" t="s">
        <v>3953</v>
      </c>
      <c r="T5832" s="1583"/>
      <c r="U5832" s="1583" t="s">
        <v>3954</v>
      </c>
      <c r="V5832" s="1583"/>
    </row>
    <row r="5833" spans="7:22">
      <c r="G5833" s="1097"/>
      <c r="H5833" s="1261"/>
      <c r="I5833" s="1425" t="s">
        <v>5313</v>
      </c>
      <c r="J5833" s="1081">
        <v>37800000</v>
      </c>
      <c r="K5833" s="1493" t="s">
        <v>4455</v>
      </c>
      <c r="L5833" s="1081">
        <v>10000000</v>
      </c>
      <c r="M5833" s="1495" t="s">
        <v>4613</v>
      </c>
      <c r="N5833" s="1495">
        <v>294300000</v>
      </c>
      <c r="O5833" s="1383"/>
      <c r="P5833" s="644"/>
      <c r="Q5833" s="1279"/>
      <c r="R5833" s="644"/>
      <c r="S5833" s="1223"/>
      <c r="T5833" s="1191"/>
      <c r="U5833" s="1232"/>
      <c r="V5833" s="48"/>
    </row>
    <row r="5834" spans="7:22">
      <c r="G5834" s="1098"/>
      <c r="H5834" s="1172"/>
      <c r="I5834" s="1425" t="s">
        <v>5314</v>
      </c>
      <c r="J5834" s="1081"/>
      <c r="K5834" s="1493" t="s">
        <v>4474</v>
      </c>
      <c r="L5834" s="1081">
        <v>200000</v>
      </c>
      <c r="M5834" s="1495" t="s">
        <v>5101</v>
      </c>
      <c r="N5834" s="49">
        <v>700000000</v>
      </c>
      <c r="O5834" s="1383" t="s">
        <v>5262</v>
      </c>
      <c r="P5834" s="644">
        <v>500000</v>
      </c>
      <c r="Q5834" s="1410"/>
      <c r="R5834" s="1290"/>
      <c r="S5834" s="1389" t="s">
        <v>4613</v>
      </c>
      <c r="T5834" s="1191">
        <v>200</v>
      </c>
      <c r="U5834" s="48"/>
      <c r="V5834" s="49"/>
    </row>
    <row r="5835" spans="7:22">
      <c r="G5835" s="48"/>
      <c r="H5835" s="48"/>
      <c r="I5835" s="1426" t="s">
        <v>5315</v>
      </c>
      <c r="J5835" s="1081"/>
      <c r="K5835" s="1493" t="s">
        <v>4541</v>
      </c>
      <c r="L5835" s="1081">
        <v>200000</v>
      </c>
      <c r="M5835" s="1495" t="s">
        <v>5329</v>
      </c>
      <c r="N5835" s="49">
        <v>25120000</v>
      </c>
      <c r="O5835" s="1495"/>
      <c r="P5835" s="644"/>
      <c r="Q5835" s="1412"/>
      <c r="R5835" s="644"/>
      <c r="S5835" s="1429" t="s">
        <v>5329</v>
      </c>
      <c r="T5835" s="1191">
        <v>400</v>
      </c>
      <c r="U5835" s="1417"/>
      <c r="V5835" s="1191"/>
    </row>
    <row r="5836" spans="7:22">
      <c r="G5836" s="48"/>
      <c r="H5836" s="48"/>
      <c r="I5836" s="1426" t="s">
        <v>5316</v>
      </c>
      <c r="J5836" s="1393">
        <v>86500000</v>
      </c>
      <c r="K5836" s="1495" t="s">
        <v>5332</v>
      </c>
      <c r="L5836" s="1081">
        <v>10000000</v>
      </c>
      <c r="M5836" s="1495"/>
      <c r="N5836" s="49"/>
      <c r="O5836" s="1383"/>
      <c r="P5836" s="644"/>
      <c r="Q5836" s="1422"/>
      <c r="R5836" s="644"/>
      <c r="S5836" s="1415"/>
      <c r="T5836" s="1414"/>
      <c r="U5836" s="1424"/>
      <c r="V5836" s="1414"/>
    </row>
    <row r="5837" spans="7:22">
      <c r="G5837" s="48"/>
      <c r="H5837" s="48"/>
      <c r="I5837" s="1430" t="s">
        <v>3058</v>
      </c>
      <c r="J5837" s="1081">
        <v>40000000</v>
      </c>
      <c r="K5837" s="1495" t="s">
        <v>4647</v>
      </c>
      <c r="L5837" s="1081">
        <v>2000000</v>
      </c>
      <c r="M5837" s="1495"/>
      <c r="N5837" s="49"/>
      <c r="O5837" s="1383"/>
      <c r="P5837" s="644"/>
      <c r="Q5837" s="1422"/>
      <c r="R5837" s="644"/>
      <c r="S5837" s="1408"/>
      <c r="T5837" s="1414"/>
      <c r="U5837" s="1408"/>
      <c r="V5837" s="49"/>
    </row>
    <row r="5838" spans="7:22">
      <c r="G5838" s="48"/>
      <c r="H5838" s="48"/>
      <c r="I5838" s="1431" t="s">
        <v>5318</v>
      </c>
      <c r="J5838" s="1081">
        <v>46500000</v>
      </c>
      <c r="K5838" s="1495" t="s">
        <v>4646</v>
      </c>
      <c r="L5838" s="1081">
        <v>4000000</v>
      </c>
      <c r="M5838" s="1495"/>
      <c r="N5838" s="49"/>
      <c r="O5838" s="1383"/>
      <c r="P5838" s="644"/>
      <c r="Q5838" s="1382"/>
      <c r="R5838" s="644"/>
      <c r="S5838" s="1358"/>
      <c r="T5838" s="1414"/>
      <c r="U5838" s="1416"/>
      <c r="V5838" s="49"/>
    </row>
    <row r="5839" spans="7:22">
      <c r="G5839" s="48"/>
      <c r="H5839" s="48"/>
      <c r="I5839" s="1431" t="s">
        <v>5319</v>
      </c>
      <c r="J5839" s="1081">
        <v>37200000</v>
      </c>
      <c r="K5839" s="1493" t="s">
        <v>4647</v>
      </c>
      <c r="L5839" s="1081">
        <v>4000000</v>
      </c>
      <c r="M5839" s="1493"/>
      <c r="N5839" s="49"/>
      <c r="O5839" s="1383"/>
      <c r="P5839" s="644"/>
      <c r="Q5839" s="1383"/>
      <c r="R5839" s="644"/>
      <c r="S5839" s="48"/>
      <c r="T5839" s="1414"/>
      <c r="U5839" s="1416"/>
      <c r="V5839" s="49"/>
    </row>
    <row r="5840" spans="7:22">
      <c r="G5840" s="48"/>
      <c r="H5840" s="48"/>
      <c r="I5840" s="1431" t="s">
        <v>5320</v>
      </c>
      <c r="J5840" s="1081">
        <v>37200000</v>
      </c>
      <c r="K5840" s="1495" t="s">
        <v>4597</v>
      </c>
      <c r="L5840" s="49">
        <v>317600000</v>
      </c>
      <c r="M5840" s="1495"/>
      <c r="N5840" s="49"/>
      <c r="O5840" s="1383"/>
      <c r="P5840" s="644"/>
      <c r="Q5840" s="1385"/>
      <c r="R5840" s="644"/>
      <c r="S5840" s="48"/>
      <c r="T5840" s="1414"/>
      <c r="U5840" s="1416"/>
      <c r="V5840" s="49"/>
    </row>
    <row r="5841" spans="7:22">
      <c r="G5841" s="48"/>
      <c r="H5841" s="48"/>
      <c r="I5841" s="1431" t="s">
        <v>5321</v>
      </c>
      <c r="J5841" s="1081">
        <v>27900000</v>
      </c>
      <c r="K5841" s="1493"/>
      <c r="L5841" s="1081"/>
      <c r="M5841" s="1495"/>
      <c r="N5841" s="49"/>
      <c r="O5841" s="644"/>
      <c r="P5841" s="644"/>
      <c r="Q5841" s="1383"/>
      <c r="R5841" s="644"/>
      <c r="S5841" s="48"/>
      <c r="T5841" s="1414"/>
      <c r="U5841" s="1408"/>
      <c r="V5841" s="49"/>
    </row>
    <row r="5842" spans="7:22">
      <c r="G5842" s="48"/>
      <c r="H5842" s="48"/>
      <c r="I5842" s="1431" t="s">
        <v>5322</v>
      </c>
      <c r="J5842" s="1081">
        <v>45500000</v>
      </c>
      <c r="K5842" s="1509"/>
      <c r="L5842" s="1081"/>
      <c r="M5842" s="1498"/>
      <c r="N5842" s="49"/>
      <c r="O5842" s="644"/>
      <c r="P5842" s="644"/>
      <c r="Q5842" s="1290"/>
      <c r="R5842" s="644"/>
      <c r="S5842" s="48"/>
      <c r="T5842" s="1414"/>
      <c r="U5842" s="1408"/>
      <c r="V5842" s="49"/>
    </row>
    <row r="5843" spans="7:22">
      <c r="G5843" s="48"/>
      <c r="H5843" s="48"/>
      <c r="I5843" s="1431" t="s">
        <v>5323</v>
      </c>
      <c r="J5843" s="1081">
        <v>45500000</v>
      </c>
      <c r="K5843" s="1493"/>
      <c r="L5843" s="1081"/>
      <c r="M5843" s="1498"/>
      <c r="N5843" s="49"/>
      <c r="O5843" s="644"/>
      <c r="P5843" s="644"/>
      <c r="Q5843" s="1383"/>
      <c r="R5843" s="644"/>
      <c r="S5843" s="48"/>
      <c r="T5843" s="1414"/>
      <c r="U5843" s="48"/>
      <c r="V5843" s="48"/>
    </row>
    <row r="5844" spans="7:22">
      <c r="G5844" s="48"/>
      <c r="H5844" s="48"/>
      <c r="I5844" s="1431" t="s">
        <v>5324</v>
      </c>
      <c r="J5844" s="1081">
        <v>45500000</v>
      </c>
      <c r="K5844" s="1509"/>
      <c r="L5844" s="1081"/>
      <c r="M5844" s="1498"/>
      <c r="N5844" s="49"/>
      <c r="O5844" s="644"/>
      <c r="P5844" s="644"/>
      <c r="Q5844" s="1290"/>
      <c r="R5844" s="644"/>
      <c r="S5844" s="48"/>
      <c r="T5844" s="1414"/>
      <c r="U5844" s="48"/>
      <c r="V5844" s="48"/>
    </row>
    <row r="5845" spans="7:22">
      <c r="G5845" s="48"/>
      <c r="H5845" s="48"/>
      <c r="I5845" s="1431" t="s">
        <v>5325</v>
      </c>
      <c r="J5845" s="1081">
        <f>40000000*0.91</f>
        <v>36400000</v>
      </c>
      <c r="K5845" s="1509"/>
      <c r="L5845" s="1081"/>
      <c r="M5845" s="1498"/>
      <c r="N5845" s="49"/>
      <c r="O5845" s="644"/>
      <c r="P5845" s="644"/>
      <c r="Q5845" s="1290"/>
      <c r="R5845" s="644"/>
      <c r="S5845" s="48"/>
      <c r="T5845" s="1414"/>
      <c r="U5845" s="48"/>
      <c r="V5845" s="48"/>
    </row>
    <row r="5846" spans="7:22">
      <c r="G5846" s="48"/>
      <c r="H5846" s="48"/>
      <c r="I5846" s="1432" t="s">
        <v>5326</v>
      </c>
      <c r="J5846" s="49">
        <v>36400000</v>
      </c>
      <c r="K5846" s="1498"/>
      <c r="L5846" s="49"/>
      <c r="M5846" s="1498"/>
      <c r="N5846" s="49"/>
      <c r="O5846" s="644"/>
      <c r="P5846" s="644"/>
      <c r="Q5846" s="1290"/>
      <c r="R5846" s="644"/>
      <c r="S5846" s="48"/>
      <c r="T5846" s="1414"/>
      <c r="U5846" s="48"/>
      <c r="V5846" s="48"/>
    </row>
    <row r="5847" spans="7:22">
      <c r="G5847" s="48"/>
      <c r="H5847" s="48"/>
      <c r="I5847" s="1432" t="s">
        <v>5327</v>
      </c>
      <c r="J5847" s="49">
        <v>36400000</v>
      </c>
      <c r="K5847" s="1498"/>
      <c r="L5847" s="49"/>
      <c r="M5847" s="1498"/>
      <c r="N5847" s="49"/>
      <c r="O5847" s="644"/>
      <c r="P5847" s="644"/>
      <c r="Q5847" s="1290"/>
      <c r="R5847" s="644"/>
      <c r="S5847" s="48"/>
      <c r="T5847" s="1414"/>
      <c r="U5847" s="48"/>
      <c r="V5847" s="48"/>
    </row>
    <row r="5848" spans="7:22">
      <c r="G5848" s="48"/>
      <c r="H5848" s="48"/>
      <c r="I5848" s="1432" t="s">
        <v>5328</v>
      </c>
      <c r="J5848" s="49">
        <v>36400000</v>
      </c>
      <c r="K5848" s="1498"/>
      <c r="L5848" s="49"/>
      <c r="M5848" s="1498"/>
      <c r="N5848" s="49"/>
      <c r="O5848" s="644"/>
      <c r="P5848" s="644"/>
      <c r="Q5848" s="1290"/>
      <c r="R5848" s="644"/>
      <c r="S5848" s="48"/>
      <c r="T5848" s="1414"/>
      <c r="U5848" s="48"/>
      <c r="V5848" s="48"/>
    </row>
    <row r="5849" spans="7:22">
      <c r="G5849" s="48"/>
      <c r="H5849" s="48"/>
      <c r="I5849" s="48" t="s">
        <v>5330</v>
      </c>
      <c r="J5849" s="49">
        <v>22750000</v>
      </c>
      <c r="K5849" s="1498"/>
      <c r="L5849" s="49"/>
      <c r="M5849" s="1498"/>
      <c r="N5849" s="49"/>
      <c r="O5849" s="644"/>
      <c r="P5849" s="644"/>
      <c r="Q5849" s="1290"/>
      <c r="R5849" s="644"/>
      <c r="S5849" s="48"/>
      <c r="T5849" s="1414"/>
      <c r="U5849" s="48"/>
      <c r="V5849" s="48"/>
    </row>
    <row r="5850" spans="7:22">
      <c r="G5850" s="48"/>
      <c r="H5850" s="48"/>
      <c r="I5850" s="48" t="s">
        <v>5331</v>
      </c>
      <c r="J5850" s="49">
        <v>20000000</v>
      </c>
      <c r="K5850" s="1498"/>
      <c r="L5850" s="49"/>
      <c r="M5850" s="1498"/>
      <c r="N5850" s="49"/>
      <c r="O5850" s="644"/>
      <c r="P5850" s="644"/>
      <c r="Q5850" s="1290"/>
      <c r="R5850" s="644"/>
      <c r="S5850" s="48"/>
      <c r="T5850" s="1414"/>
      <c r="U5850" s="48"/>
      <c r="V5850" s="48"/>
    </row>
    <row r="5851" spans="7:22">
      <c r="G5851" s="48"/>
      <c r="H5851" s="48"/>
      <c r="I5851" s="48"/>
      <c r="J5851" s="49"/>
      <c r="K5851" s="1498"/>
      <c r="L5851" s="49"/>
      <c r="M5851" s="1498"/>
      <c r="N5851" s="49"/>
      <c r="O5851" s="644"/>
      <c r="P5851" s="644"/>
      <c r="Q5851" s="1290"/>
      <c r="R5851" s="644"/>
      <c r="S5851" s="48"/>
      <c r="T5851" s="1414"/>
      <c r="U5851" s="48"/>
      <c r="V5851" s="48"/>
    </row>
    <row r="5852" spans="7:22">
      <c r="G5852" s="48"/>
      <c r="H5852" s="48"/>
      <c r="I5852" s="48"/>
      <c r="J5852" s="49"/>
      <c r="K5852" s="1498"/>
      <c r="L5852" s="49"/>
      <c r="M5852" s="1498"/>
      <c r="N5852" s="49"/>
      <c r="O5852" s="644"/>
      <c r="P5852" s="644"/>
      <c r="Q5852" s="1290"/>
      <c r="R5852" s="644"/>
      <c r="S5852" s="48"/>
      <c r="T5852" s="1414"/>
      <c r="U5852" s="48"/>
      <c r="V5852" s="48"/>
    </row>
    <row r="5853" spans="7:22">
      <c r="G5853" s="48"/>
      <c r="H5853" s="48"/>
      <c r="I5853" s="48"/>
      <c r="J5853" s="49"/>
      <c r="K5853" s="1498"/>
      <c r="L5853" s="49"/>
      <c r="M5853" s="1498"/>
      <c r="N5853" s="49"/>
      <c r="O5853" s="644"/>
      <c r="P5853" s="644"/>
      <c r="Q5853" s="1290"/>
      <c r="R5853" s="644"/>
      <c r="S5853" s="48"/>
      <c r="T5853" s="1414"/>
      <c r="U5853" s="48"/>
      <c r="V5853" s="48"/>
    </row>
    <row r="5854" spans="7:22">
      <c r="G5854" s="48"/>
      <c r="H5854" s="48"/>
      <c r="I5854" s="48"/>
      <c r="J5854" s="49"/>
      <c r="K5854" s="1498"/>
      <c r="L5854" s="49"/>
      <c r="M5854" s="1498"/>
      <c r="N5854" s="49"/>
      <c r="O5854" s="644"/>
      <c r="P5854" s="644"/>
      <c r="Q5854" s="1290"/>
      <c r="R5854" s="644"/>
      <c r="S5854" s="48"/>
      <c r="T5854" s="1414"/>
      <c r="U5854" s="48"/>
      <c r="V5854" s="48"/>
    </row>
    <row r="5855" spans="7:22">
      <c r="G5855" s="48"/>
      <c r="H5855" s="48"/>
      <c r="I5855" s="48"/>
      <c r="J5855" s="49"/>
      <c r="K5855" s="49"/>
      <c r="L5855" s="49"/>
      <c r="M5855" s="1498"/>
      <c r="N5855" s="49"/>
      <c r="O5855" s="644"/>
      <c r="P5855" s="644"/>
      <c r="Q5855" s="1290"/>
      <c r="R5855" s="644"/>
      <c r="S5855" s="48"/>
      <c r="T5855" s="1414"/>
      <c r="U5855" s="48"/>
      <c r="V5855" s="48"/>
    </row>
    <row r="5856" spans="7:22">
      <c r="G5856" s="48"/>
      <c r="H5856" s="48"/>
      <c r="I5856" s="48"/>
      <c r="J5856" s="954">
        <f>SUM(J5833:J5855)</f>
        <v>637950000</v>
      </c>
      <c r="K5856" s="954"/>
      <c r="L5856" s="954">
        <f>SUM(L5833:L5855)</f>
        <v>348000000</v>
      </c>
      <c r="M5856" s="1498"/>
      <c r="N5856" s="954">
        <f>SUM(N5833:N5855)</f>
        <v>1019420000</v>
      </c>
      <c r="O5856" s="644"/>
      <c r="P5856" s="969">
        <f>SUM(P5833:P5840)</f>
        <v>500000</v>
      </c>
      <c r="Q5856" s="969"/>
      <c r="R5856" s="969">
        <f>SUM(R5833:R5855)</f>
        <v>0</v>
      </c>
      <c r="S5856" s="48"/>
      <c r="T5856" s="1178">
        <f>SUM(T5833:T5855)</f>
        <v>600</v>
      </c>
      <c r="U5856" s="48"/>
      <c r="V5856" s="878">
        <f>SUM(V5833:V5855)</f>
        <v>0</v>
      </c>
    </row>
    <row r="5857" spans="7:22">
      <c r="T5857" s="1413"/>
    </row>
    <row r="5858" spans="7:22">
      <c r="T5858" s="1413"/>
    </row>
    <row r="5859" spans="7:22">
      <c r="R5859" s="661"/>
      <c r="T5859" s="1413"/>
    </row>
    <row r="5860" spans="7:22">
      <c r="T5860" s="1413"/>
    </row>
    <row r="5861" spans="7:22">
      <c r="K5861" s="3" t="s">
        <v>5310</v>
      </c>
      <c r="T5861" s="1413"/>
    </row>
    <row r="5862" spans="7:22">
      <c r="I5862" s="946"/>
      <c r="M5862" s="1533" t="s">
        <v>3699</v>
      </c>
      <c r="O5862" s="1535" t="s">
        <v>3741</v>
      </c>
      <c r="P5862" s="1512">
        <f>P5856-R5856</f>
        <v>500000</v>
      </c>
      <c r="S5862" s="906" t="s">
        <v>4049</v>
      </c>
      <c r="T5862" s="1107">
        <f>T5856-V5856</f>
        <v>600</v>
      </c>
    </row>
    <row r="5863" spans="7:22">
      <c r="G5863" s="1574" t="s">
        <v>3530</v>
      </c>
      <c r="H5863" s="1574"/>
      <c r="I5863" s="1574"/>
      <c r="J5863" s="3">
        <f>J5856+L5856</f>
        <v>985950000</v>
      </c>
      <c r="K5863" s="1009"/>
      <c r="L5863" s="3"/>
      <c r="M5863" s="1533" t="s">
        <v>3664</v>
      </c>
      <c r="N5863" s="1527"/>
      <c r="O5863" s="1535" t="s">
        <v>4066</v>
      </c>
      <c r="P5863" s="1512"/>
      <c r="T5863" s="1413"/>
    </row>
    <row r="5864" spans="7:22">
      <c r="G5864" s="1574" t="s">
        <v>3512</v>
      </c>
      <c r="H5864" s="1574"/>
      <c r="I5864" s="1574"/>
      <c r="J5864" s="3">
        <f>N5856-J5863</f>
        <v>33470000</v>
      </c>
      <c r="K5864" s="1009"/>
      <c r="L5864" s="3"/>
      <c r="M5864" s="1528"/>
      <c r="O5864" s="1529"/>
      <c r="Q5864" s="661"/>
      <c r="T5864" s="1413"/>
    </row>
    <row r="5865" spans="7:22">
      <c r="G5865" s="1574" t="s">
        <v>3531</v>
      </c>
      <c r="H5865" s="1574"/>
      <c r="I5865" s="1574"/>
      <c r="J5865" s="3">
        <f>T5862</f>
        <v>600</v>
      </c>
      <c r="Q5865" s="3"/>
      <c r="T5865" s="1413"/>
    </row>
    <row r="5866" spans="7:22">
      <c r="G5866" s="1564" t="s">
        <v>4455</v>
      </c>
      <c r="H5866" s="1564"/>
      <c r="I5866" s="1564"/>
      <c r="J5866" s="3">
        <f>+P5862</f>
        <v>500000</v>
      </c>
      <c r="R5866" s="3"/>
      <c r="T5866" s="1413"/>
    </row>
    <row r="5867" spans="7:22">
      <c r="T5867" s="1413"/>
    </row>
    <row r="5868" spans="7:22">
      <c r="T5868" s="1420"/>
    </row>
    <row r="5869" spans="7:22">
      <c r="T5869" s="1420"/>
    </row>
    <row r="5870" spans="7:22">
      <c r="G5870" s="1008">
        <v>46128</v>
      </c>
      <c r="H5870" s="1169"/>
      <c r="I5870" s="1575" t="s">
        <v>3510</v>
      </c>
      <c r="J5870" s="1576"/>
      <c r="K5870" s="1575" t="s">
        <v>3509</v>
      </c>
      <c r="L5870" s="1576"/>
      <c r="M5870" s="1575" t="s">
        <v>3541</v>
      </c>
      <c r="N5870" s="1576"/>
      <c r="O5870" s="1577" t="s">
        <v>3598</v>
      </c>
      <c r="P5870" s="1578"/>
      <c r="Q5870" s="1579" t="s">
        <v>3599</v>
      </c>
      <c r="R5870" s="1580"/>
      <c r="S5870" s="1583" t="s">
        <v>3953</v>
      </c>
      <c r="T5870" s="1583"/>
      <c r="U5870" s="1583" t="s">
        <v>3954</v>
      </c>
      <c r="V5870" s="1583"/>
    </row>
    <row r="5871" spans="7:22">
      <c r="G5871" s="1097"/>
      <c r="H5871" s="1261"/>
      <c r="I5871" s="1430" t="s">
        <v>5336</v>
      </c>
      <c r="J5871" s="1081">
        <v>36000000</v>
      </c>
      <c r="K5871" s="1493" t="s">
        <v>4646</v>
      </c>
      <c r="L5871" s="1081">
        <v>2000000</v>
      </c>
      <c r="M5871" s="1495" t="s">
        <v>4613</v>
      </c>
      <c r="N5871" s="1495">
        <v>28200000</v>
      </c>
      <c r="O5871" s="1383"/>
      <c r="P5871" s="644"/>
      <c r="Q5871" s="1279"/>
      <c r="R5871" s="644"/>
      <c r="S5871" s="1223"/>
      <c r="T5871" s="1191"/>
      <c r="U5871" s="1232"/>
      <c r="V5871" s="48"/>
    </row>
    <row r="5872" spans="7:22">
      <c r="G5872" s="1098"/>
      <c r="H5872" s="1172"/>
      <c r="I5872" s="1430" t="s">
        <v>5343</v>
      </c>
      <c r="J5872" s="1081">
        <v>46000000</v>
      </c>
      <c r="K5872" s="1493" t="s">
        <v>5335</v>
      </c>
      <c r="L5872" s="1081">
        <v>4000000</v>
      </c>
      <c r="M5872" s="1495" t="s">
        <v>5333</v>
      </c>
      <c r="N5872" s="49">
        <v>32000000</v>
      </c>
      <c r="O5872" s="1383" t="s">
        <v>5262</v>
      </c>
      <c r="P5872" s="644">
        <v>500000</v>
      </c>
      <c r="Q5872" s="1410"/>
      <c r="R5872" s="1290"/>
      <c r="S5872" s="1389" t="s">
        <v>4613</v>
      </c>
      <c r="T5872" s="1191">
        <v>200</v>
      </c>
      <c r="U5872" s="48"/>
      <c r="V5872" s="49"/>
    </row>
    <row r="5873" spans="7:22">
      <c r="G5873" s="48"/>
      <c r="H5873" s="48"/>
      <c r="I5873" s="1431" t="s">
        <v>5344</v>
      </c>
      <c r="J5873" s="1081">
        <v>46000000</v>
      </c>
      <c r="K5873" s="1493" t="s">
        <v>4507</v>
      </c>
      <c r="L5873" s="1081">
        <v>10000000</v>
      </c>
      <c r="M5873" s="1495" t="s">
        <v>5334</v>
      </c>
      <c r="N5873" s="49">
        <v>2500000</v>
      </c>
      <c r="O5873" s="1495"/>
      <c r="P5873" s="644"/>
      <c r="Q5873" s="1412"/>
      <c r="R5873" s="644"/>
      <c r="S5873" s="1429" t="s">
        <v>5329</v>
      </c>
      <c r="T5873" s="1191">
        <v>400</v>
      </c>
      <c r="U5873" s="1417"/>
      <c r="V5873" s="1191"/>
    </row>
    <row r="5874" spans="7:22">
      <c r="G5874" s="48"/>
      <c r="H5874" s="48"/>
      <c r="I5874" s="1431" t="s">
        <v>5345</v>
      </c>
      <c r="J5874" s="1393">
        <v>45500000</v>
      </c>
      <c r="K5874" s="1495" t="s">
        <v>5337</v>
      </c>
      <c r="L5874" s="1081">
        <v>850000</v>
      </c>
      <c r="M5874" s="1495" t="s">
        <v>5339</v>
      </c>
      <c r="N5874" s="49">
        <v>31700000</v>
      </c>
      <c r="O5874" s="1383"/>
      <c r="P5874" s="644"/>
      <c r="Q5874" s="1422"/>
      <c r="R5874" s="644"/>
      <c r="S5874" s="1415"/>
      <c r="T5874" s="1421"/>
      <c r="U5874" s="1424"/>
      <c r="V5874" s="1421"/>
    </row>
    <row r="5875" spans="7:22">
      <c r="G5875" s="48"/>
      <c r="H5875" s="48"/>
      <c r="I5875" s="1430" t="s">
        <v>5347</v>
      </c>
      <c r="J5875" s="1081">
        <v>27600000</v>
      </c>
      <c r="K5875" s="1495" t="s">
        <v>5342</v>
      </c>
      <c r="L5875" s="1081">
        <v>16000000</v>
      </c>
      <c r="M5875" s="1495" t="s">
        <v>5340</v>
      </c>
      <c r="N5875" s="49">
        <v>17000000</v>
      </c>
      <c r="O5875" s="1383"/>
      <c r="P5875" s="644"/>
      <c r="Q5875" s="1422"/>
      <c r="R5875" s="644"/>
      <c r="S5875" s="1408"/>
      <c r="T5875" s="1421"/>
      <c r="U5875" s="1408"/>
      <c r="V5875" s="49"/>
    </row>
    <row r="5876" spans="7:22">
      <c r="G5876" s="48"/>
      <c r="H5876" s="48"/>
      <c r="I5876" s="1431" t="s">
        <v>5348</v>
      </c>
      <c r="J5876" s="1081">
        <v>32200000</v>
      </c>
      <c r="K5876" s="1495" t="s">
        <v>5346</v>
      </c>
      <c r="L5876" s="1081">
        <v>4000000</v>
      </c>
      <c r="M5876" s="1495" t="s">
        <v>5341</v>
      </c>
      <c r="N5876" s="49">
        <v>29000000</v>
      </c>
      <c r="O5876" s="1383"/>
      <c r="P5876" s="644"/>
      <c r="Q5876" s="1382"/>
      <c r="R5876" s="644"/>
      <c r="S5876" s="1358"/>
      <c r="T5876" s="1421"/>
      <c r="U5876" s="1416"/>
      <c r="V5876" s="49"/>
    </row>
    <row r="5877" spans="7:22">
      <c r="G5877" s="48"/>
      <c r="H5877" s="48"/>
      <c r="I5877" s="1431" t="s">
        <v>5349</v>
      </c>
      <c r="J5877" s="1081">
        <v>41500000</v>
      </c>
      <c r="K5877" s="1493" t="s">
        <v>4647</v>
      </c>
      <c r="L5877" s="1081">
        <v>4000000</v>
      </c>
      <c r="M5877" s="1493"/>
      <c r="N5877" s="49">
        <v>1000000</v>
      </c>
      <c r="O5877" s="1383"/>
      <c r="P5877" s="644"/>
      <c r="Q5877" s="1383"/>
      <c r="R5877" s="644"/>
      <c r="S5877" s="48"/>
      <c r="T5877" s="1421"/>
      <c r="U5877" s="1416"/>
      <c r="V5877" s="49"/>
    </row>
    <row r="5878" spans="7:22">
      <c r="G5878" s="48"/>
      <c r="H5878" s="48"/>
      <c r="I5878" s="1431" t="s">
        <v>5350</v>
      </c>
      <c r="J5878" s="1081">
        <v>46000000</v>
      </c>
      <c r="K5878" s="1495" t="s">
        <v>4867</v>
      </c>
      <c r="L5878" s="49">
        <v>4000000</v>
      </c>
      <c r="M5878" s="1495" t="s">
        <v>5101</v>
      </c>
      <c r="N5878" s="49">
        <v>900000000</v>
      </c>
      <c r="O5878" s="1383"/>
      <c r="P5878" s="644"/>
      <c r="Q5878" s="1385"/>
      <c r="R5878" s="644"/>
      <c r="S5878" s="48"/>
      <c r="T5878" s="1421"/>
      <c r="U5878" s="1416"/>
      <c r="V5878" s="49"/>
    </row>
    <row r="5879" spans="7:22">
      <c r="G5879" s="48"/>
      <c r="H5879" s="48"/>
      <c r="I5879" s="1431"/>
      <c r="J5879" s="1081"/>
      <c r="K5879" s="1493"/>
      <c r="L5879" s="1081"/>
      <c r="M5879" s="1495"/>
      <c r="N5879" s="49"/>
      <c r="O5879" s="644"/>
      <c r="P5879" s="644"/>
      <c r="Q5879" s="1383"/>
      <c r="R5879" s="644"/>
      <c r="S5879" s="48"/>
      <c r="T5879" s="1421"/>
      <c r="U5879" s="1408"/>
      <c r="V5879" s="49"/>
    </row>
    <row r="5880" spans="7:22">
      <c r="G5880" s="48"/>
      <c r="H5880" s="48"/>
      <c r="I5880" s="1431"/>
      <c r="J5880" s="1081"/>
      <c r="K5880" s="1509"/>
      <c r="L5880" s="1081"/>
      <c r="M5880" s="1498"/>
      <c r="N5880" s="49"/>
      <c r="O5880" s="644"/>
      <c r="P5880" s="644"/>
      <c r="Q5880" s="1290"/>
      <c r="R5880" s="644"/>
      <c r="S5880" s="48"/>
      <c r="T5880" s="1421"/>
      <c r="U5880" s="1408"/>
      <c r="V5880" s="49"/>
    </row>
    <row r="5881" spans="7:22">
      <c r="G5881" s="48"/>
      <c r="H5881" s="48"/>
      <c r="I5881" s="1431"/>
      <c r="J5881" s="1081"/>
      <c r="K5881" s="1493"/>
      <c r="L5881" s="1081"/>
      <c r="M5881" s="1498"/>
      <c r="N5881" s="49"/>
      <c r="O5881" s="644"/>
      <c r="P5881" s="644"/>
      <c r="Q5881" s="1383"/>
      <c r="R5881" s="644"/>
      <c r="S5881" s="48"/>
      <c r="T5881" s="1421"/>
      <c r="U5881" s="48"/>
      <c r="V5881" s="48"/>
    </row>
    <row r="5882" spans="7:22">
      <c r="G5882" s="48"/>
      <c r="H5882" s="48"/>
      <c r="I5882" s="1431"/>
      <c r="J5882" s="1081"/>
      <c r="K5882" s="1509"/>
      <c r="L5882" s="1081"/>
      <c r="M5882" s="1498"/>
      <c r="N5882" s="49"/>
      <c r="O5882" s="644"/>
      <c r="P5882" s="644"/>
      <c r="Q5882" s="1290"/>
      <c r="R5882" s="644"/>
      <c r="S5882" s="48"/>
      <c r="T5882" s="1421"/>
      <c r="U5882" s="48"/>
      <c r="V5882" s="48"/>
    </row>
    <row r="5883" spans="7:22">
      <c r="G5883" s="48"/>
      <c r="H5883" s="48"/>
      <c r="I5883" s="1431"/>
      <c r="J5883" s="1081"/>
      <c r="K5883" s="1509"/>
      <c r="L5883" s="1081"/>
      <c r="M5883" s="1498"/>
      <c r="N5883" s="49"/>
      <c r="O5883" s="644"/>
      <c r="P5883" s="644"/>
      <c r="Q5883" s="1290"/>
      <c r="R5883" s="644"/>
      <c r="S5883" s="48"/>
      <c r="T5883" s="1421"/>
      <c r="U5883" s="48"/>
      <c r="V5883" s="48"/>
    </row>
    <row r="5884" spans="7:22">
      <c r="G5884" s="48"/>
      <c r="H5884" s="48"/>
      <c r="I5884" s="1432"/>
      <c r="J5884" s="49"/>
      <c r="K5884" s="1498"/>
      <c r="L5884" s="49"/>
      <c r="M5884" s="1498"/>
      <c r="N5884" s="49"/>
      <c r="O5884" s="644"/>
      <c r="P5884" s="644"/>
      <c r="Q5884" s="1290"/>
      <c r="R5884" s="644"/>
      <c r="S5884" s="48"/>
      <c r="T5884" s="1421"/>
      <c r="U5884" s="48"/>
      <c r="V5884" s="48"/>
    </row>
    <row r="5885" spans="7:22">
      <c r="G5885" s="48"/>
      <c r="H5885" s="48"/>
      <c r="I5885" s="1432"/>
      <c r="J5885" s="49"/>
      <c r="K5885" s="1498"/>
      <c r="L5885" s="49"/>
      <c r="M5885" s="1498"/>
      <c r="N5885" s="49"/>
      <c r="O5885" s="644"/>
      <c r="P5885" s="644"/>
      <c r="Q5885" s="1290"/>
      <c r="R5885" s="644"/>
      <c r="S5885" s="48"/>
      <c r="T5885" s="1421"/>
      <c r="U5885" s="48"/>
      <c r="V5885" s="48"/>
    </row>
    <row r="5886" spans="7:22">
      <c r="G5886" s="48"/>
      <c r="H5886" s="48"/>
      <c r="I5886" s="1432"/>
      <c r="J5886" s="49"/>
      <c r="K5886" s="1498"/>
      <c r="L5886" s="49"/>
      <c r="M5886" s="1498"/>
      <c r="N5886" s="49"/>
      <c r="O5886" s="644"/>
      <c r="P5886" s="644"/>
      <c r="Q5886" s="1290"/>
      <c r="R5886" s="644"/>
      <c r="S5886" s="48"/>
      <c r="T5886" s="1421"/>
      <c r="U5886" s="48"/>
      <c r="V5886" s="48"/>
    </row>
    <row r="5887" spans="7:22">
      <c r="G5887" s="48"/>
      <c r="H5887" s="48"/>
      <c r="I5887" s="48"/>
      <c r="J5887" s="49"/>
      <c r="K5887" s="1498"/>
      <c r="L5887" s="49"/>
      <c r="M5887" s="1498"/>
      <c r="N5887" s="49"/>
      <c r="O5887" s="644"/>
      <c r="P5887" s="644"/>
      <c r="Q5887" s="1290"/>
      <c r="R5887" s="644"/>
      <c r="S5887" s="48"/>
      <c r="T5887" s="1421"/>
      <c r="U5887" s="48"/>
      <c r="V5887" s="48"/>
    </row>
    <row r="5888" spans="7:22">
      <c r="G5888" s="48"/>
      <c r="H5888" s="48"/>
      <c r="I5888" s="48"/>
      <c r="J5888" s="49"/>
      <c r="K5888" s="1498"/>
      <c r="L5888" s="49"/>
      <c r="M5888" s="1498"/>
      <c r="N5888" s="49"/>
      <c r="O5888" s="644"/>
      <c r="P5888" s="644"/>
      <c r="Q5888" s="1290"/>
      <c r="R5888" s="644"/>
      <c r="S5888" s="48"/>
      <c r="T5888" s="1421"/>
      <c r="U5888" s="48"/>
      <c r="V5888" s="48"/>
    </row>
    <row r="5889" spans="7:22">
      <c r="G5889" s="48"/>
      <c r="H5889" s="48"/>
      <c r="I5889" s="48"/>
      <c r="J5889" s="49"/>
      <c r="K5889" s="1498"/>
      <c r="L5889" s="49"/>
      <c r="M5889" s="1498"/>
      <c r="N5889" s="49"/>
      <c r="O5889" s="644"/>
      <c r="P5889" s="644"/>
      <c r="Q5889" s="1290"/>
      <c r="R5889" s="644"/>
      <c r="S5889" s="48"/>
      <c r="T5889" s="1421"/>
      <c r="U5889" s="48"/>
      <c r="V5889" s="48"/>
    </row>
    <row r="5890" spans="7:22">
      <c r="G5890" s="48"/>
      <c r="H5890" s="48"/>
      <c r="I5890" s="48"/>
      <c r="J5890" s="49"/>
      <c r="K5890" s="1498"/>
      <c r="L5890" s="49"/>
      <c r="M5890" s="1498"/>
      <c r="N5890" s="49"/>
      <c r="O5890" s="644"/>
      <c r="P5890" s="644"/>
      <c r="Q5890" s="1290"/>
      <c r="R5890" s="644"/>
      <c r="S5890" s="48"/>
      <c r="T5890" s="1421"/>
      <c r="U5890" s="48"/>
      <c r="V5890" s="48"/>
    </row>
    <row r="5891" spans="7:22">
      <c r="G5891" s="48"/>
      <c r="H5891" s="48"/>
      <c r="I5891" s="48"/>
      <c r="J5891" s="49"/>
      <c r="K5891" s="1498"/>
      <c r="L5891" s="49"/>
      <c r="M5891" s="1498"/>
      <c r="N5891" s="49"/>
      <c r="O5891" s="644"/>
      <c r="P5891" s="644"/>
      <c r="Q5891" s="1290"/>
      <c r="R5891" s="644"/>
      <c r="S5891" s="48"/>
      <c r="T5891" s="1421"/>
      <c r="U5891" s="48"/>
      <c r="V5891" s="48"/>
    </row>
    <row r="5892" spans="7:22">
      <c r="G5892" s="48"/>
      <c r="H5892" s="48"/>
      <c r="I5892" s="48"/>
      <c r="J5892" s="49"/>
      <c r="K5892" s="1498"/>
      <c r="L5892" s="49"/>
      <c r="M5892" s="1498"/>
      <c r="N5892" s="49"/>
      <c r="O5892" s="644"/>
      <c r="P5892" s="644"/>
      <c r="Q5892" s="1290"/>
      <c r="R5892" s="644"/>
      <c r="S5892" s="48"/>
      <c r="T5892" s="1421"/>
      <c r="U5892" s="48"/>
      <c r="V5892" s="48"/>
    </row>
    <row r="5893" spans="7:22">
      <c r="G5893" s="48"/>
      <c r="H5893" s="48"/>
      <c r="I5893" s="48"/>
      <c r="J5893" s="49"/>
      <c r="K5893" s="49"/>
      <c r="L5893" s="49"/>
      <c r="M5893" s="1498"/>
      <c r="N5893" s="49"/>
      <c r="O5893" s="644"/>
      <c r="P5893" s="644"/>
      <c r="Q5893" s="1290"/>
      <c r="R5893" s="644"/>
      <c r="S5893" s="48"/>
      <c r="T5893" s="1421"/>
      <c r="U5893" s="48"/>
      <c r="V5893" s="48"/>
    </row>
    <row r="5894" spans="7:22">
      <c r="G5894" s="48"/>
      <c r="H5894" s="48"/>
      <c r="I5894" s="48"/>
      <c r="J5894" s="954">
        <f>SUM(J5871:J5893)</f>
        <v>320800000</v>
      </c>
      <c r="K5894" s="954"/>
      <c r="L5894" s="954">
        <f>SUM(L5871:L5893)</f>
        <v>44850000</v>
      </c>
      <c r="M5894" s="1498"/>
      <c r="N5894" s="954">
        <f>SUM(N5871:N5893)</f>
        <v>1041400000</v>
      </c>
      <c r="O5894" s="644"/>
      <c r="P5894" s="969">
        <f>SUM(P5871:P5878)</f>
        <v>500000</v>
      </c>
      <c r="Q5894" s="969"/>
      <c r="R5894" s="969">
        <f>SUM(R5871:R5893)</f>
        <v>0</v>
      </c>
      <c r="S5894" s="48"/>
      <c r="T5894" s="1178">
        <f>SUM(T5871:T5893)</f>
        <v>600</v>
      </c>
      <c r="U5894" s="48"/>
      <c r="V5894" s="878">
        <f>SUM(V5871:V5893)</f>
        <v>0</v>
      </c>
    </row>
    <row r="5895" spans="7:22">
      <c r="T5895" s="1420"/>
    </row>
    <row r="5896" spans="7:22">
      <c r="T5896" s="1420"/>
    </row>
    <row r="5897" spans="7:22">
      <c r="R5897" s="661"/>
      <c r="T5897" s="1420"/>
    </row>
    <row r="5898" spans="7:22">
      <c r="T5898" s="1420"/>
    </row>
    <row r="5899" spans="7:22">
      <c r="K5899" s="3" t="s">
        <v>5310</v>
      </c>
      <c r="T5899" s="1420"/>
    </row>
    <row r="5900" spans="7:22">
      <c r="I5900" s="946"/>
      <c r="M5900" s="1533" t="s">
        <v>3699</v>
      </c>
      <c r="O5900" s="1535" t="s">
        <v>3741</v>
      </c>
      <c r="P5900" s="1512">
        <f>P5894-R5894</f>
        <v>500000</v>
      </c>
      <c r="S5900" s="906" t="s">
        <v>4049</v>
      </c>
      <c r="T5900" s="1107">
        <f>T5894-V5894</f>
        <v>600</v>
      </c>
    </row>
    <row r="5901" spans="7:22">
      <c r="G5901" s="1574" t="s">
        <v>3530</v>
      </c>
      <c r="H5901" s="1574"/>
      <c r="I5901" s="1574"/>
      <c r="J5901" s="3">
        <f>J5894+L5894</f>
        <v>365650000</v>
      </c>
      <c r="K5901" s="1009"/>
      <c r="L5901" s="3"/>
      <c r="M5901" s="1533" t="s">
        <v>3664</v>
      </c>
      <c r="N5901" s="1527"/>
      <c r="O5901" s="1535" t="s">
        <v>4066</v>
      </c>
      <c r="P5901" s="1512"/>
      <c r="T5901" s="1420"/>
    </row>
    <row r="5902" spans="7:22">
      <c r="G5902" s="1574" t="s">
        <v>3512</v>
      </c>
      <c r="H5902" s="1574"/>
      <c r="I5902" s="1574"/>
      <c r="J5902" s="3">
        <f>N5894-J5901</f>
        <v>675750000</v>
      </c>
      <c r="K5902" s="1009"/>
      <c r="L5902" s="3"/>
      <c r="M5902" s="1528"/>
      <c r="O5902" s="1529"/>
      <c r="Q5902" s="661"/>
      <c r="T5902" s="1420"/>
    </row>
    <row r="5903" spans="7:22">
      <c r="G5903" s="1574" t="s">
        <v>3531</v>
      </c>
      <c r="H5903" s="1574"/>
      <c r="I5903" s="1574"/>
      <c r="J5903" s="3">
        <v>2600</v>
      </c>
      <c r="Q5903" s="3"/>
      <c r="T5903" s="1420"/>
    </row>
    <row r="5904" spans="7:22">
      <c r="G5904" s="1564" t="s">
        <v>4455</v>
      </c>
      <c r="H5904" s="1564"/>
      <c r="I5904" s="1564"/>
      <c r="J5904" s="3">
        <f>+P5900</f>
        <v>500000</v>
      </c>
      <c r="R5904" s="3"/>
      <c r="T5904" s="1420"/>
    </row>
    <row r="5905" spans="7:22">
      <c r="T5905" s="1420"/>
    </row>
    <row r="5906" spans="7:22">
      <c r="T5906" s="1420"/>
    </row>
    <row r="5907" spans="7:22">
      <c r="G5907" s="1008">
        <v>46129</v>
      </c>
      <c r="H5907" s="1169"/>
      <c r="I5907" s="1575" t="s">
        <v>3510</v>
      </c>
      <c r="J5907" s="1576"/>
      <c r="K5907" s="1575" t="s">
        <v>3509</v>
      </c>
      <c r="L5907" s="1576"/>
      <c r="M5907" s="1575" t="s">
        <v>3541</v>
      </c>
      <c r="N5907" s="1576"/>
      <c r="O5907" s="1577" t="s">
        <v>3598</v>
      </c>
      <c r="P5907" s="1578"/>
      <c r="Q5907" s="1579" t="s">
        <v>3599</v>
      </c>
      <c r="R5907" s="1580"/>
      <c r="S5907" s="1583" t="s">
        <v>3953</v>
      </c>
      <c r="T5907" s="1583"/>
      <c r="U5907" s="1583" t="s">
        <v>3954</v>
      </c>
      <c r="V5907" s="1583"/>
    </row>
    <row r="5908" spans="7:22">
      <c r="G5908" s="1097"/>
      <c r="H5908" s="1261"/>
      <c r="I5908" s="1430" t="s">
        <v>5352</v>
      </c>
      <c r="J5908" s="1081"/>
      <c r="K5908" s="1493" t="s">
        <v>5040</v>
      </c>
      <c r="L5908" s="1081">
        <v>300000</v>
      </c>
      <c r="M5908" s="1495" t="s">
        <v>4613</v>
      </c>
      <c r="N5908" s="1495">
        <v>676000000</v>
      </c>
      <c r="O5908" s="1383"/>
      <c r="P5908" s="644"/>
      <c r="Q5908" s="1279"/>
      <c r="R5908" s="644"/>
      <c r="S5908" s="1223"/>
      <c r="T5908" s="1191"/>
      <c r="U5908" s="1232"/>
      <c r="V5908" s="48"/>
    </row>
    <row r="5909" spans="7:22">
      <c r="G5909" s="1098"/>
      <c r="H5909" s="1172"/>
      <c r="I5909" s="1430" t="s">
        <v>5353</v>
      </c>
      <c r="J5909" s="1081">
        <v>60450000</v>
      </c>
      <c r="K5909" s="1493" t="s">
        <v>4541</v>
      </c>
      <c r="L5909" s="1081">
        <v>550000</v>
      </c>
      <c r="M5909" s="1495" t="s">
        <v>5101</v>
      </c>
      <c r="N5909" s="49">
        <v>400000000</v>
      </c>
      <c r="O5909" s="1383" t="s">
        <v>5262</v>
      </c>
      <c r="P5909" s="644">
        <v>500000</v>
      </c>
      <c r="Q5909" s="1410"/>
      <c r="R5909" s="1290"/>
      <c r="S5909" s="1389" t="s">
        <v>4613</v>
      </c>
      <c r="T5909" s="1191">
        <v>2600</v>
      </c>
      <c r="U5909" s="48"/>
      <c r="V5909" s="49"/>
    </row>
    <row r="5910" spans="7:22">
      <c r="G5910" s="48"/>
      <c r="H5910" s="48"/>
      <c r="I5910" s="1431" t="s">
        <v>5354</v>
      </c>
      <c r="J5910" s="1081">
        <v>46500000</v>
      </c>
      <c r="K5910" s="1493" t="s">
        <v>4507</v>
      </c>
      <c r="L5910" s="1081">
        <v>5000000</v>
      </c>
      <c r="M5910" s="1495"/>
      <c r="N5910" s="49"/>
      <c r="O5910" s="1495"/>
      <c r="P5910" s="644"/>
      <c r="Q5910" s="1412"/>
      <c r="R5910" s="644"/>
      <c r="S5910" s="1429"/>
      <c r="T5910" s="1191"/>
      <c r="U5910" s="1417"/>
      <c r="V5910" s="1191"/>
    </row>
    <row r="5911" spans="7:22">
      <c r="G5911" s="48"/>
      <c r="H5911" s="48"/>
      <c r="I5911" s="1431" t="s">
        <v>5355</v>
      </c>
      <c r="J5911" s="1393">
        <v>27600000</v>
      </c>
      <c r="K5911" s="1495" t="s">
        <v>5365</v>
      </c>
      <c r="L5911" s="1081">
        <v>1400000</v>
      </c>
      <c r="M5911" s="1495"/>
      <c r="N5911" s="49"/>
      <c r="O5911" s="1383"/>
      <c r="P5911" s="644"/>
      <c r="Q5911" s="1422"/>
      <c r="R5911" s="644"/>
      <c r="S5911" s="1415"/>
      <c r="T5911" s="1421"/>
      <c r="U5911" s="1424"/>
      <c r="V5911" s="1421"/>
    </row>
    <row r="5912" spans="7:22">
      <c r="G5912" s="48"/>
      <c r="H5912" s="48"/>
      <c r="I5912" s="1430" t="s">
        <v>5356</v>
      </c>
      <c r="J5912" s="1081">
        <v>36000000</v>
      </c>
      <c r="K5912" s="1495" t="s">
        <v>5297</v>
      </c>
      <c r="L5912" s="1081">
        <v>1000000</v>
      </c>
      <c r="M5912" s="1495"/>
      <c r="N5912" s="49"/>
      <c r="O5912" s="1383"/>
      <c r="P5912" s="644"/>
      <c r="Q5912" s="1422"/>
      <c r="R5912" s="644"/>
      <c r="S5912" s="1408"/>
      <c r="T5912" s="1421"/>
      <c r="U5912" s="1408"/>
      <c r="V5912" s="49"/>
    </row>
    <row r="5913" spans="7:22">
      <c r="G5913" s="48"/>
      <c r="H5913" s="48"/>
      <c r="I5913" s="1431" t="s">
        <v>778</v>
      </c>
      <c r="J5913" s="1081">
        <v>27000000</v>
      </c>
      <c r="K5913" s="1495"/>
      <c r="L5913" s="1081"/>
      <c r="M5913" s="1495"/>
      <c r="N5913" s="49"/>
      <c r="O5913" s="1383"/>
      <c r="P5913" s="644"/>
      <c r="Q5913" s="1382"/>
      <c r="R5913" s="644"/>
      <c r="S5913" s="1358"/>
      <c r="T5913" s="1421"/>
      <c r="U5913" s="1416"/>
      <c r="V5913" s="49"/>
    </row>
    <row r="5914" spans="7:22">
      <c r="G5914" s="48"/>
      <c r="H5914" s="48"/>
      <c r="I5914" s="1431" t="s">
        <v>5357</v>
      </c>
      <c r="J5914" s="1081"/>
      <c r="K5914" s="1493"/>
      <c r="L5914" s="1081"/>
      <c r="M5914" s="1493"/>
      <c r="N5914" s="49"/>
      <c r="O5914" s="1383"/>
      <c r="P5914" s="644"/>
      <c r="Q5914" s="1383"/>
      <c r="R5914" s="644"/>
      <c r="S5914" s="48"/>
      <c r="T5914" s="1421"/>
      <c r="U5914" s="1416"/>
      <c r="V5914" s="49"/>
    </row>
    <row r="5915" spans="7:22">
      <c r="G5915" s="48"/>
      <c r="H5915" s="48"/>
      <c r="I5915" s="1431" t="s">
        <v>5358</v>
      </c>
      <c r="J5915" s="1081"/>
      <c r="K5915" s="1495"/>
      <c r="L5915" s="49"/>
      <c r="M5915" s="1495"/>
      <c r="N5915" s="49"/>
      <c r="O5915" s="1383"/>
      <c r="P5915" s="644"/>
      <c r="Q5915" s="1385"/>
      <c r="R5915" s="644"/>
      <c r="S5915" s="48"/>
      <c r="T5915" s="1421"/>
      <c r="U5915" s="1416"/>
      <c r="V5915" s="49"/>
    </row>
    <row r="5916" spans="7:22">
      <c r="G5916" s="48"/>
      <c r="H5916" s="48"/>
      <c r="I5916" s="1431" t="s">
        <v>5359</v>
      </c>
      <c r="J5916" s="1081"/>
      <c r="K5916" s="1493"/>
      <c r="L5916" s="1081"/>
      <c r="M5916" s="1495"/>
      <c r="N5916" s="49"/>
      <c r="O5916" s="644"/>
      <c r="P5916" s="644"/>
      <c r="Q5916" s="1383"/>
      <c r="R5916" s="644"/>
      <c r="S5916" s="48"/>
      <c r="T5916" s="1421"/>
      <c r="U5916" s="1408"/>
      <c r="V5916" s="49"/>
    </row>
    <row r="5917" spans="7:22">
      <c r="G5917" s="48"/>
      <c r="H5917" s="48"/>
      <c r="I5917" s="1431" t="s">
        <v>5360</v>
      </c>
      <c r="J5917" s="1081">
        <v>134850000</v>
      </c>
      <c r="K5917" s="1509"/>
      <c r="L5917" s="1081"/>
      <c r="M5917" s="1498"/>
      <c r="N5917" s="49"/>
      <c r="O5917" s="644"/>
      <c r="P5917" s="644"/>
      <c r="Q5917" s="1290"/>
      <c r="R5917" s="644"/>
      <c r="S5917" s="48"/>
      <c r="T5917" s="1421"/>
      <c r="U5917" s="1408"/>
      <c r="V5917" s="49"/>
    </row>
    <row r="5918" spans="7:22">
      <c r="G5918" s="48"/>
      <c r="H5918" s="48"/>
      <c r="I5918" s="1431" t="s">
        <v>5361</v>
      </c>
      <c r="J5918" s="1081">
        <v>18400000</v>
      </c>
      <c r="K5918" s="1493"/>
      <c r="L5918" s="1081"/>
      <c r="M5918" s="1498"/>
      <c r="N5918" s="49"/>
      <c r="O5918" s="644"/>
      <c r="P5918" s="644"/>
      <c r="Q5918" s="1383"/>
      <c r="R5918" s="644"/>
      <c r="S5918" s="48"/>
      <c r="T5918" s="1421"/>
      <c r="U5918" s="48"/>
      <c r="V5918" s="48"/>
    </row>
    <row r="5919" spans="7:22">
      <c r="G5919" s="48"/>
      <c r="H5919" s="48"/>
      <c r="I5919" s="1431" t="s">
        <v>5362</v>
      </c>
      <c r="J5919" s="1081">
        <v>45000000</v>
      </c>
      <c r="K5919" s="1509"/>
      <c r="L5919" s="1081"/>
      <c r="M5919" s="1498"/>
      <c r="N5919" s="49"/>
      <c r="O5919" s="644"/>
      <c r="P5919" s="644"/>
      <c r="Q5919" s="1290"/>
      <c r="R5919" s="644"/>
      <c r="S5919" s="48"/>
      <c r="T5919" s="1421"/>
      <c r="U5919" s="48"/>
      <c r="V5919" s="48"/>
    </row>
    <row r="5920" spans="7:22">
      <c r="G5920" s="48"/>
      <c r="H5920" s="48"/>
      <c r="I5920" s="1431" t="s">
        <v>5363</v>
      </c>
      <c r="J5920" s="1081">
        <v>46000000</v>
      </c>
      <c r="K5920" s="1509"/>
      <c r="L5920" s="1081"/>
      <c r="M5920" s="1498"/>
      <c r="N5920" s="49"/>
      <c r="O5920" s="644"/>
      <c r="P5920" s="644"/>
      <c r="Q5920" s="1290"/>
      <c r="R5920" s="644"/>
      <c r="S5920" s="48"/>
      <c r="T5920" s="1421"/>
      <c r="U5920" s="48"/>
      <c r="V5920" s="48"/>
    </row>
    <row r="5921" spans="7:22">
      <c r="G5921" s="48"/>
      <c r="H5921" s="48"/>
      <c r="I5921" s="1432" t="s">
        <v>5364</v>
      </c>
      <c r="J5921" s="49">
        <v>46000000</v>
      </c>
      <c r="K5921" s="1498"/>
      <c r="L5921" s="49"/>
      <c r="M5921" s="1498"/>
      <c r="N5921" s="49"/>
      <c r="O5921" s="644"/>
      <c r="P5921" s="644"/>
      <c r="Q5921" s="1290"/>
      <c r="R5921" s="644"/>
      <c r="S5921" s="48"/>
      <c r="T5921" s="1421"/>
      <c r="U5921" s="48"/>
      <c r="V5921" s="48"/>
    </row>
    <row r="5922" spans="7:22">
      <c r="G5922" s="48"/>
      <c r="H5922" s="48"/>
      <c r="I5922" s="1432" t="s">
        <v>5366</v>
      </c>
      <c r="J5922" s="49">
        <v>46500000</v>
      </c>
      <c r="K5922" s="1498"/>
      <c r="L5922" s="49"/>
      <c r="M5922" s="1498"/>
      <c r="N5922" s="49"/>
      <c r="O5922" s="644"/>
      <c r="P5922" s="644"/>
      <c r="Q5922" s="1290"/>
      <c r="R5922" s="644"/>
      <c r="S5922" s="48"/>
      <c r="T5922" s="1421"/>
      <c r="U5922" s="48"/>
      <c r="V5922" s="48"/>
    </row>
    <row r="5923" spans="7:22">
      <c r="G5923" s="48"/>
      <c r="H5923" s="48"/>
      <c r="I5923" s="1432" t="s">
        <v>5367</v>
      </c>
      <c r="J5923" s="49">
        <v>37200000</v>
      </c>
      <c r="K5923" s="1498"/>
      <c r="L5923" s="49"/>
      <c r="M5923" s="1498"/>
      <c r="N5923" s="49"/>
      <c r="O5923" s="644"/>
      <c r="P5923" s="644"/>
      <c r="Q5923" s="1290"/>
      <c r="R5923" s="644"/>
      <c r="S5923" s="48"/>
      <c r="T5923" s="1421"/>
      <c r="U5923" s="48"/>
      <c r="V5923" s="48"/>
    </row>
    <row r="5924" spans="7:22">
      <c r="G5924" s="48"/>
      <c r="H5924" s="48"/>
      <c r="I5924" s="48" t="s">
        <v>5368</v>
      </c>
      <c r="J5924" s="49">
        <v>30690000</v>
      </c>
      <c r="K5924" s="1498"/>
      <c r="L5924" s="49"/>
      <c r="M5924" s="1498"/>
      <c r="N5924" s="49"/>
      <c r="O5924" s="644"/>
      <c r="P5924" s="644"/>
      <c r="Q5924" s="1290"/>
      <c r="R5924" s="644"/>
      <c r="S5924" s="48"/>
      <c r="T5924" s="1421"/>
      <c r="U5924" s="48"/>
      <c r="V5924" s="48"/>
    </row>
    <row r="5925" spans="7:22">
      <c r="G5925" s="48"/>
      <c r="H5925" s="48"/>
      <c r="I5925" s="48" t="s">
        <v>5369</v>
      </c>
      <c r="J5925" s="49">
        <f>40000000*0.92</f>
        <v>36800000</v>
      </c>
      <c r="K5925" s="1498"/>
      <c r="L5925" s="49"/>
      <c r="M5925" s="1498"/>
      <c r="N5925" s="49"/>
      <c r="O5925" s="644"/>
      <c r="P5925" s="644"/>
      <c r="Q5925" s="1290"/>
      <c r="R5925" s="644"/>
      <c r="S5925" s="48"/>
      <c r="T5925" s="1421"/>
      <c r="U5925" s="48"/>
      <c r="V5925" s="48"/>
    </row>
    <row r="5926" spans="7:22">
      <c r="G5926" s="48"/>
      <c r="H5926" s="48"/>
      <c r="I5926" s="48" t="s">
        <v>5370</v>
      </c>
      <c r="J5926" s="49">
        <f>30000000*0.92</f>
        <v>27600000</v>
      </c>
      <c r="K5926" s="1498"/>
      <c r="L5926" s="49"/>
      <c r="M5926" s="1498"/>
      <c r="N5926" s="49"/>
      <c r="O5926" s="644"/>
      <c r="P5926" s="644"/>
      <c r="Q5926" s="1290"/>
      <c r="R5926" s="644"/>
      <c r="S5926" s="48"/>
      <c r="T5926" s="1421"/>
      <c r="U5926" s="48"/>
      <c r="V5926" s="48"/>
    </row>
    <row r="5927" spans="7:22">
      <c r="G5927" s="48"/>
      <c r="H5927" s="48"/>
      <c r="I5927" s="48" t="s">
        <v>5371</v>
      </c>
      <c r="J5927" s="49">
        <f>20000000*0.92</f>
        <v>18400000</v>
      </c>
      <c r="K5927" s="1498"/>
      <c r="L5927" s="49"/>
      <c r="M5927" s="1498"/>
      <c r="N5927" s="49"/>
      <c r="O5927" s="644"/>
      <c r="P5927" s="644"/>
      <c r="Q5927" s="1290"/>
      <c r="R5927" s="644"/>
      <c r="S5927" s="48"/>
      <c r="T5927" s="1421"/>
      <c r="U5927" s="48"/>
      <c r="V5927" s="48"/>
    </row>
    <row r="5928" spans="7:22">
      <c r="G5928" s="48"/>
      <c r="H5928" s="48"/>
      <c r="I5928" s="48" t="s">
        <v>5372</v>
      </c>
      <c r="J5928" s="49">
        <f>23000000*0.92</f>
        <v>21160000</v>
      </c>
      <c r="K5928" s="1498"/>
      <c r="L5928" s="49"/>
      <c r="M5928" s="1498"/>
      <c r="N5928" s="49"/>
      <c r="O5928" s="644"/>
      <c r="P5928" s="644"/>
      <c r="Q5928" s="1290"/>
      <c r="R5928" s="644"/>
      <c r="S5928" s="48"/>
      <c r="T5928" s="1421"/>
      <c r="U5928" s="48"/>
      <c r="V5928" s="48"/>
    </row>
    <row r="5929" spans="7:22">
      <c r="G5929" s="48"/>
      <c r="H5929" s="48"/>
      <c r="I5929" s="48" t="s">
        <v>5373</v>
      </c>
      <c r="J5929" s="49">
        <v>46000000</v>
      </c>
      <c r="K5929" s="1498"/>
      <c r="L5929" s="49"/>
      <c r="M5929" s="1498"/>
      <c r="N5929" s="49"/>
      <c r="O5929" s="644"/>
      <c r="P5929" s="644"/>
      <c r="Q5929" s="1290"/>
      <c r="R5929" s="644"/>
      <c r="S5929" s="48"/>
      <c r="T5929" s="1421"/>
      <c r="U5929" s="48"/>
      <c r="V5929" s="48"/>
    </row>
    <row r="5930" spans="7:22">
      <c r="G5930" s="48"/>
      <c r="H5930" s="48"/>
      <c r="I5930" s="48" t="s">
        <v>5374</v>
      </c>
      <c r="J5930" s="49">
        <f>50000000*0.91</f>
        <v>45500000</v>
      </c>
      <c r="K5930" s="1498"/>
      <c r="L5930" s="49"/>
      <c r="M5930" s="1498"/>
      <c r="N5930" s="49"/>
      <c r="O5930" s="644"/>
      <c r="P5930" s="644"/>
      <c r="Q5930" s="1290"/>
      <c r="R5930" s="644"/>
      <c r="S5930" s="48"/>
      <c r="T5930" s="1421"/>
      <c r="U5930" s="48"/>
      <c r="V5930" s="48"/>
    </row>
    <row r="5931" spans="7:22">
      <c r="G5931" s="48"/>
      <c r="H5931" s="48"/>
      <c r="I5931" s="48" t="s">
        <v>5375</v>
      </c>
      <c r="J5931" s="49">
        <f>40000000*0.91</f>
        <v>36400000</v>
      </c>
      <c r="K5931" s="1498"/>
      <c r="L5931" s="49"/>
      <c r="M5931" s="1498"/>
      <c r="N5931" s="49"/>
      <c r="O5931" s="644"/>
      <c r="P5931" s="644"/>
      <c r="Q5931" s="1290"/>
      <c r="R5931" s="644"/>
      <c r="S5931" s="48"/>
      <c r="T5931" s="1421"/>
      <c r="U5931" s="48"/>
      <c r="V5931" s="48"/>
    </row>
    <row r="5932" spans="7:22">
      <c r="G5932" s="48"/>
      <c r="H5932" s="48"/>
      <c r="I5932" s="48" t="s">
        <v>5376</v>
      </c>
      <c r="J5932" s="49">
        <f>24000000*0.91</f>
        <v>21840000</v>
      </c>
      <c r="K5932" s="1498"/>
      <c r="L5932" s="49"/>
      <c r="M5932" s="1498"/>
      <c r="N5932" s="49"/>
      <c r="O5932" s="644"/>
      <c r="P5932" s="644"/>
      <c r="Q5932" s="1290"/>
      <c r="R5932" s="644"/>
      <c r="S5932" s="48"/>
      <c r="T5932" s="1421"/>
      <c r="U5932" s="48"/>
      <c r="V5932" s="48"/>
    </row>
    <row r="5933" spans="7:22">
      <c r="G5933" s="48"/>
      <c r="H5933" s="48"/>
      <c r="I5933" s="48" t="s">
        <v>5377</v>
      </c>
      <c r="J5933" s="49">
        <f>18480000*0.91</f>
        <v>16816800</v>
      </c>
      <c r="K5933" s="1498"/>
      <c r="L5933" s="49"/>
      <c r="M5933" s="1498"/>
      <c r="N5933" s="49"/>
      <c r="O5933" s="644"/>
      <c r="P5933" s="644"/>
      <c r="Q5933" s="1290"/>
      <c r="R5933" s="644"/>
      <c r="S5933" s="48"/>
      <c r="T5933" s="1421"/>
      <c r="U5933" s="48"/>
      <c r="V5933" s="48"/>
    </row>
    <row r="5934" spans="7:22">
      <c r="G5934" s="48"/>
      <c r="H5934" s="48"/>
      <c r="I5934" s="48"/>
      <c r="J5934" s="49"/>
      <c r="K5934" s="49"/>
      <c r="L5934" s="49"/>
      <c r="M5934" s="1498"/>
      <c r="N5934" s="49"/>
      <c r="O5934" s="644"/>
      <c r="P5934" s="644"/>
      <c r="Q5934" s="1290"/>
      <c r="R5934" s="644"/>
      <c r="S5934" s="48"/>
      <c r="T5934" s="1421"/>
      <c r="U5934" s="48"/>
      <c r="V5934" s="48"/>
    </row>
    <row r="5935" spans="7:22">
      <c r="G5935" s="48"/>
      <c r="H5935" s="48"/>
      <c r="I5935" s="48"/>
      <c r="J5935" s="954">
        <f>SUM(J5908:J5934)</f>
        <v>872706800</v>
      </c>
      <c r="K5935" s="954"/>
      <c r="L5935" s="954">
        <f>SUM(L5908:L5934)</f>
        <v>8250000</v>
      </c>
      <c r="M5935" s="1498"/>
      <c r="N5935" s="954">
        <f>SUM(N5908:N5934)</f>
        <v>1076000000</v>
      </c>
      <c r="O5935" s="644"/>
      <c r="P5935" s="969">
        <f>SUM(P5908:P5915)</f>
        <v>500000</v>
      </c>
      <c r="Q5935" s="969"/>
      <c r="R5935" s="969">
        <f>SUM(R5908:R5934)</f>
        <v>0</v>
      </c>
      <c r="S5935" s="48"/>
      <c r="T5935" s="1178">
        <f>SUM(T5908:T5934)</f>
        <v>2600</v>
      </c>
      <c r="U5935" s="48"/>
      <c r="V5935" s="878">
        <f>SUM(V5908:V5934)</f>
        <v>0</v>
      </c>
    </row>
    <row r="5936" spans="7:22">
      <c r="T5936" s="1420"/>
    </row>
    <row r="5937" spans="7:22">
      <c r="T5937" s="1420"/>
    </row>
    <row r="5938" spans="7:22">
      <c r="R5938" s="661"/>
      <c r="T5938" s="1420"/>
    </row>
    <row r="5939" spans="7:22">
      <c r="T5939" s="1420"/>
    </row>
    <row r="5940" spans="7:22">
      <c r="K5940" s="3" t="s">
        <v>5310</v>
      </c>
      <c r="T5940" s="1420"/>
    </row>
    <row r="5941" spans="7:22">
      <c r="I5941" s="946"/>
      <c r="M5941" s="1533" t="s">
        <v>3699</v>
      </c>
      <c r="O5941" s="1535" t="s">
        <v>3741</v>
      </c>
      <c r="P5941" s="1512">
        <f>P5935-R5935</f>
        <v>500000</v>
      </c>
      <c r="S5941" s="906" t="s">
        <v>4049</v>
      </c>
      <c r="T5941" s="1107">
        <f>T5935-V5935</f>
        <v>2600</v>
      </c>
    </row>
    <row r="5942" spans="7:22">
      <c r="G5942" s="1574" t="s">
        <v>3530</v>
      </c>
      <c r="H5942" s="1574"/>
      <c r="I5942" s="1574"/>
      <c r="J5942" s="3">
        <f>J5935+L5935</f>
        <v>880956800</v>
      </c>
      <c r="K5942" s="1009"/>
      <c r="L5942" s="3"/>
      <c r="M5942" s="1533" t="s">
        <v>3664</v>
      </c>
      <c r="N5942" s="1527"/>
      <c r="O5942" s="1535" t="s">
        <v>4066</v>
      </c>
      <c r="P5942" s="1512"/>
      <c r="T5942" s="1420"/>
    </row>
    <row r="5943" spans="7:22">
      <c r="G5943" s="1574" t="s">
        <v>3512</v>
      </c>
      <c r="H5943" s="1574"/>
      <c r="I5943" s="1574"/>
      <c r="J5943" s="3">
        <f>N5935-J5942</f>
        <v>195043200</v>
      </c>
      <c r="K5943" s="1009"/>
      <c r="L5943" s="3"/>
      <c r="M5943" s="1528"/>
      <c r="O5943" s="1529"/>
      <c r="Q5943" s="661"/>
      <c r="T5943" s="1420"/>
    </row>
    <row r="5944" spans="7:22">
      <c r="G5944" s="1574" t="s">
        <v>3531</v>
      </c>
      <c r="H5944" s="1574"/>
      <c r="I5944" s="1574"/>
      <c r="J5944" s="3">
        <v>2600</v>
      </c>
      <c r="Q5944" s="3"/>
      <c r="T5944" s="1420"/>
    </row>
    <row r="5945" spans="7:22">
      <c r="G5945" s="1564" t="s">
        <v>4455</v>
      </c>
      <c r="H5945" s="1564"/>
      <c r="I5945" s="1564"/>
      <c r="J5945" s="3">
        <f>+P5941</f>
        <v>500000</v>
      </c>
      <c r="R5945" s="3"/>
      <c r="T5945" s="1420"/>
    </row>
    <row r="5946" spans="7:22">
      <c r="T5946" s="1420"/>
    </row>
    <row r="5948" spans="7:22">
      <c r="T5948" s="1420"/>
    </row>
    <row r="5949" spans="7:22">
      <c r="T5949" s="1420"/>
    </row>
    <row r="5950" spans="7:22">
      <c r="G5950" s="1008">
        <v>46130</v>
      </c>
      <c r="H5950" s="1169"/>
      <c r="I5950" s="1575" t="s">
        <v>3510</v>
      </c>
      <c r="J5950" s="1576"/>
      <c r="K5950" s="1575" t="s">
        <v>3509</v>
      </c>
      <c r="L5950" s="1576"/>
      <c r="M5950" s="1575" t="s">
        <v>3541</v>
      </c>
      <c r="N5950" s="1576"/>
      <c r="O5950" s="1577" t="s">
        <v>3598</v>
      </c>
      <c r="P5950" s="1578"/>
      <c r="Q5950" s="1579" t="s">
        <v>3599</v>
      </c>
      <c r="R5950" s="1580"/>
      <c r="S5950" s="1583" t="s">
        <v>3953</v>
      </c>
      <c r="T5950" s="1583"/>
      <c r="U5950" s="1583" t="s">
        <v>3954</v>
      </c>
      <c r="V5950" s="1583"/>
    </row>
    <row r="5951" spans="7:22">
      <c r="G5951" s="1097"/>
      <c r="H5951" s="1261"/>
      <c r="I5951" s="1430" t="s">
        <v>5379</v>
      </c>
      <c r="J5951" s="1081">
        <v>46500000</v>
      </c>
      <c r="K5951" s="1493" t="s">
        <v>5378</v>
      </c>
      <c r="L5951" s="1081">
        <v>2000000</v>
      </c>
      <c r="M5951" s="1495" t="s">
        <v>4613</v>
      </c>
      <c r="N5951" s="1495">
        <v>195000000</v>
      </c>
      <c r="O5951" s="1383"/>
      <c r="P5951" s="644"/>
      <c r="Q5951" s="1279"/>
      <c r="R5951" s="644"/>
      <c r="S5951" s="1223"/>
      <c r="T5951" s="1191"/>
      <c r="U5951" s="1232"/>
      <c r="V5951" s="48"/>
    </row>
    <row r="5952" spans="7:22">
      <c r="G5952" s="1098"/>
      <c r="H5952" s="1172"/>
      <c r="I5952" s="1430" t="s">
        <v>5383</v>
      </c>
      <c r="J5952" s="1081">
        <v>45500000</v>
      </c>
      <c r="K5952" s="1493" t="s">
        <v>597</v>
      </c>
      <c r="L5952" s="1081">
        <v>1200000</v>
      </c>
      <c r="M5952" s="1495" t="s">
        <v>4989</v>
      </c>
      <c r="N5952" s="49">
        <v>4000000</v>
      </c>
      <c r="O5952" s="1383" t="s">
        <v>5262</v>
      </c>
      <c r="P5952" s="644">
        <v>500000</v>
      </c>
      <c r="Q5952" s="1410"/>
      <c r="R5952" s="1290"/>
      <c r="S5952" s="1389" t="s">
        <v>4613</v>
      </c>
      <c r="T5952" s="1191">
        <v>2600</v>
      </c>
      <c r="U5952" s="48"/>
      <c r="V5952" s="49"/>
    </row>
    <row r="5953" spans="7:22">
      <c r="G5953" s="48"/>
      <c r="H5953" s="48"/>
      <c r="I5953" s="1431"/>
      <c r="J5953" s="1081"/>
      <c r="K5953" s="1493" t="s">
        <v>5380</v>
      </c>
      <c r="L5953" s="1081">
        <v>9000000</v>
      </c>
      <c r="M5953" s="1495" t="s">
        <v>4455</v>
      </c>
      <c r="N5953" s="49">
        <v>6150000</v>
      </c>
      <c r="O5953" s="1495"/>
      <c r="P5953" s="644"/>
      <c r="Q5953" s="1412"/>
      <c r="R5953" s="644"/>
      <c r="S5953" s="1429"/>
      <c r="T5953" s="1191"/>
      <c r="U5953" s="1417"/>
      <c r="V5953" s="1191"/>
    </row>
    <row r="5954" spans="7:22">
      <c r="G5954" s="48"/>
      <c r="H5954" s="48"/>
      <c r="I5954" s="1431"/>
      <c r="J5954" s="1393"/>
      <c r="K5954" s="1495" t="s">
        <v>4560</v>
      </c>
      <c r="L5954" s="1081">
        <v>44500000</v>
      </c>
      <c r="M5954" s="1495" t="s">
        <v>5381</v>
      </c>
      <c r="N5954" s="49">
        <v>50000000</v>
      </c>
      <c r="O5954" s="1383"/>
      <c r="P5954" s="644"/>
      <c r="Q5954" s="1422"/>
      <c r="R5954" s="644"/>
      <c r="S5954" s="1415"/>
      <c r="T5954" s="1421"/>
      <c r="U5954" s="1424"/>
      <c r="V5954" s="1421"/>
    </row>
    <row r="5955" spans="7:22">
      <c r="G5955" s="48"/>
      <c r="H5955" s="48"/>
      <c r="I5955" s="1430"/>
      <c r="J5955" s="1081"/>
      <c r="K5955" s="1495" t="s">
        <v>4817</v>
      </c>
      <c r="L5955" s="1081">
        <v>4600000</v>
      </c>
      <c r="M5955" s="1495" t="s">
        <v>5382</v>
      </c>
      <c r="N5955" s="49">
        <v>30000000</v>
      </c>
      <c r="O5955" s="1383"/>
      <c r="P5955" s="644"/>
      <c r="Q5955" s="1422"/>
      <c r="R5955" s="644"/>
      <c r="S5955" s="1408"/>
      <c r="T5955" s="1421"/>
      <c r="U5955" s="1408"/>
      <c r="V5955" s="49"/>
    </row>
    <row r="5956" spans="7:22">
      <c r="G5956" s="48"/>
      <c r="H5956" s="48"/>
      <c r="I5956" s="1431"/>
      <c r="J5956" s="1081"/>
      <c r="K5956" s="1495"/>
      <c r="L5956" s="1081"/>
      <c r="M5956" s="1495"/>
      <c r="N5956" s="49"/>
      <c r="O5956" s="1383"/>
      <c r="P5956" s="644"/>
      <c r="Q5956" s="1382"/>
      <c r="R5956" s="644"/>
      <c r="S5956" s="1358"/>
      <c r="T5956" s="1421"/>
      <c r="U5956" s="1416"/>
      <c r="V5956" s="49"/>
    </row>
    <row r="5957" spans="7:22">
      <c r="G5957" s="48"/>
      <c r="H5957" s="48"/>
      <c r="I5957" s="1431"/>
      <c r="J5957" s="1081"/>
      <c r="K5957" s="1493"/>
      <c r="L5957" s="1081"/>
      <c r="M5957" s="1493"/>
      <c r="N5957" s="49"/>
      <c r="O5957" s="1383"/>
      <c r="P5957" s="644"/>
      <c r="Q5957" s="1383"/>
      <c r="R5957" s="644"/>
      <c r="S5957" s="48"/>
      <c r="T5957" s="1421"/>
      <c r="U5957" s="1416"/>
      <c r="V5957" s="49"/>
    </row>
    <row r="5958" spans="7:22">
      <c r="G5958" s="48"/>
      <c r="H5958" s="48"/>
      <c r="I5958" s="1431"/>
      <c r="J5958" s="1081"/>
      <c r="K5958" s="1495"/>
      <c r="L5958" s="49"/>
      <c r="M5958" s="1495"/>
      <c r="N5958" s="49"/>
      <c r="O5958" s="1383"/>
      <c r="P5958" s="644"/>
      <c r="Q5958" s="1385"/>
      <c r="R5958" s="644"/>
      <c r="S5958" s="48"/>
      <c r="T5958" s="1421"/>
      <c r="U5958" s="1416"/>
      <c r="V5958" s="49"/>
    </row>
    <row r="5959" spans="7:22">
      <c r="G5959" s="48"/>
      <c r="H5959" s="48"/>
      <c r="I5959" s="1431"/>
      <c r="J5959" s="1081"/>
      <c r="K5959" s="1493"/>
      <c r="L5959" s="1081"/>
      <c r="M5959" s="1495"/>
      <c r="N5959" s="49"/>
      <c r="O5959" s="644"/>
      <c r="P5959" s="644"/>
      <c r="Q5959" s="1383"/>
      <c r="R5959" s="644"/>
      <c r="S5959" s="48"/>
      <c r="T5959" s="1421"/>
      <c r="U5959" s="1408"/>
      <c r="V5959" s="49"/>
    </row>
    <row r="5960" spans="7:22">
      <c r="G5960" s="48"/>
      <c r="H5960" s="48"/>
      <c r="I5960" s="1431"/>
      <c r="J5960" s="1081"/>
      <c r="K5960" s="1509"/>
      <c r="L5960" s="1081"/>
      <c r="M5960" s="1498"/>
      <c r="N5960" s="49"/>
      <c r="O5960" s="644"/>
      <c r="P5960" s="644"/>
      <c r="Q5960" s="1290"/>
      <c r="R5960" s="644"/>
      <c r="S5960" s="48"/>
      <c r="T5960" s="1421"/>
      <c r="U5960" s="1408"/>
      <c r="V5960" s="49"/>
    </row>
    <row r="5961" spans="7:22">
      <c r="G5961" s="48"/>
      <c r="H5961" s="48"/>
      <c r="I5961" s="1431"/>
      <c r="J5961" s="1081"/>
      <c r="K5961" s="1493"/>
      <c r="L5961" s="1081"/>
      <c r="M5961" s="1498"/>
      <c r="N5961" s="49"/>
      <c r="O5961" s="644"/>
      <c r="P5961" s="644"/>
      <c r="Q5961" s="1383"/>
      <c r="R5961" s="644"/>
      <c r="S5961" s="48"/>
      <c r="T5961" s="1421"/>
      <c r="U5961" s="48"/>
      <c r="V5961" s="48"/>
    </row>
    <row r="5962" spans="7:22">
      <c r="G5962" s="48"/>
      <c r="H5962" s="48"/>
      <c r="I5962" s="1431"/>
      <c r="J5962" s="1081"/>
      <c r="K5962" s="1509"/>
      <c r="L5962" s="1081"/>
      <c r="M5962" s="1498"/>
      <c r="N5962" s="49"/>
      <c r="O5962" s="644"/>
      <c r="P5962" s="644"/>
      <c r="Q5962" s="1290"/>
      <c r="R5962" s="644"/>
      <c r="S5962" s="48"/>
      <c r="T5962" s="1421"/>
      <c r="U5962" s="48"/>
      <c r="V5962" s="48"/>
    </row>
    <row r="5963" spans="7:22">
      <c r="G5963" s="48"/>
      <c r="H5963" s="48"/>
      <c r="I5963" s="1431"/>
      <c r="J5963" s="1081"/>
      <c r="K5963" s="1509"/>
      <c r="L5963" s="1081"/>
      <c r="M5963" s="1498"/>
      <c r="N5963" s="49"/>
      <c r="O5963" s="644"/>
      <c r="P5963" s="644"/>
      <c r="Q5963" s="1290"/>
      <c r="R5963" s="644"/>
      <c r="S5963" s="48"/>
      <c r="T5963" s="1421"/>
      <c r="U5963" s="48"/>
      <c r="V5963" s="48"/>
    </row>
    <row r="5964" spans="7:22">
      <c r="G5964" s="48"/>
      <c r="H5964" s="48"/>
      <c r="I5964" s="1432"/>
      <c r="J5964" s="49"/>
      <c r="K5964" s="1498"/>
      <c r="L5964" s="49"/>
      <c r="M5964" s="1498"/>
      <c r="N5964" s="49"/>
      <c r="O5964" s="644"/>
      <c r="P5964" s="644"/>
      <c r="Q5964" s="1290"/>
      <c r="R5964" s="644"/>
      <c r="S5964" s="48"/>
      <c r="T5964" s="1421"/>
      <c r="U5964" s="48"/>
      <c r="V5964" s="48"/>
    </row>
    <row r="5965" spans="7:22">
      <c r="G5965" s="48"/>
      <c r="H5965" s="48"/>
      <c r="I5965" s="1432"/>
      <c r="J5965" s="49"/>
      <c r="K5965" s="1498"/>
      <c r="L5965" s="49"/>
      <c r="M5965" s="1498"/>
      <c r="N5965" s="49"/>
      <c r="O5965" s="644"/>
      <c r="P5965" s="644"/>
      <c r="Q5965" s="1290"/>
      <c r="R5965" s="644"/>
      <c r="S5965" s="48"/>
      <c r="T5965" s="1421"/>
      <c r="U5965" s="48"/>
      <c r="V5965" s="48"/>
    </row>
    <row r="5966" spans="7:22">
      <c r="G5966" s="48"/>
      <c r="H5966" s="48"/>
      <c r="I5966" s="1432"/>
      <c r="J5966" s="49"/>
      <c r="K5966" s="1498"/>
      <c r="L5966" s="49"/>
      <c r="M5966" s="1498"/>
      <c r="N5966" s="49"/>
      <c r="O5966" s="644"/>
      <c r="P5966" s="644"/>
      <c r="Q5966" s="1290"/>
      <c r="R5966" s="644"/>
      <c r="S5966" s="48"/>
      <c r="T5966" s="1421"/>
      <c r="U5966" s="48"/>
      <c r="V5966" s="48"/>
    </row>
    <row r="5967" spans="7:22">
      <c r="G5967" s="48"/>
      <c r="H5967" s="48"/>
      <c r="I5967" s="48"/>
      <c r="J5967" s="49"/>
      <c r="K5967" s="1498"/>
      <c r="L5967" s="49"/>
      <c r="M5967" s="1498"/>
      <c r="N5967" s="49"/>
      <c r="O5967" s="644"/>
      <c r="P5967" s="644"/>
      <c r="Q5967" s="1290"/>
      <c r="R5967" s="644"/>
      <c r="S5967" s="48"/>
      <c r="T5967" s="1421"/>
      <c r="U5967" s="48"/>
      <c r="V5967" s="48"/>
    </row>
    <row r="5968" spans="7:22">
      <c r="G5968" s="48"/>
      <c r="H5968" s="48"/>
      <c r="I5968" s="48"/>
      <c r="J5968" s="49"/>
      <c r="K5968" s="1498"/>
      <c r="L5968" s="49"/>
      <c r="M5968" s="1498"/>
      <c r="N5968" s="49"/>
      <c r="O5968" s="644"/>
      <c r="P5968" s="644"/>
      <c r="Q5968" s="1290"/>
      <c r="R5968" s="644"/>
      <c r="S5968" s="48"/>
      <c r="T5968" s="1421"/>
      <c r="U5968" s="48"/>
      <c r="V5968" s="48"/>
    </row>
    <row r="5969" spans="7:22">
      <c r="G5969" s="48"/>
      <c r="H5969" s="48"/>
      <c r="I5969" s="48"/>
      <c r="J5969" s="49"/>
      <c r="K5969" s="1498"/>
      <c r="L5969" s="49"/>
      <c r="M5969" s="1498"/>
      <c r="N5969" s="49"/>
      <c r="O5969" s="644"/>
      <c r="P5969" s="644"/>
      <c r="Q5969" s="1290"/>
      <c r="R5969" s="644"/>
      <c r="S5969" s="48"/>
      <c r="T5969" s="1421"/>
      <c r="U5969" s="48"/>
      <c r="V5969" s="48"/>
    </row>
    <row r="5970" spans="7:22">
      <c r="G5970" s="48"/>
      <c r="H5970" s="48"/>
      <c r="I5970" s="48"/>
      <c r="J5970" s="49"/>
      <c r="K5970" s="1498"/>
      <c r="L5970" s="49"/>
      <c r="M5970" s="1498"/>
      <c r="N5970" s="49"/>
      <c r="O5970" s="644"/>
      <c r="P5970" s="644"/>
      <c r="Q5970" s="1290"/>
      <c r="R5970" s="644"/>
      <c r="S5970" s="48"/>
      <c r="T5970" s="1421"/>
      <c r="U5970" s="48"/>
      <c r="V5970" s="48"/>
    </row>
    <row r="5971" spans="7:22">
      <c r="G5971" s="48"/>
      <c r="H5971" s="48"/>
      <c r="I5971" s="48"/>
      <c r="J5971" s="954">
        <f>SUM(J5951:J5970)</f>
        <v>92000000</v>
      </c>
      <c r="K5971" s="954"/>
      <c r="L5971" s="954">
        <f>SUM(L5951:L5970)</f>
        <v>61300000</v>
      </c>
      <c r="M5971" s="1498"/>
      <c r="N5971" s="954">
        <f>SUM(N5951:N5970)</f>
        <v>285150000</v>
      </c>
      <c r="O5971" s="644"/>
      <c r="P5971" s="969">
        <f>SUM(P5951:P5958)</f>
        <v>500000</v>
      </c>
      <c r="Q5971" s="969"/>
      <c r="R5971" s="969">
        <f>SUM(R5951:R5970)</f>
        <v>0</v>
      </c>
      <c r="S5971" s="48"/>
      <c r="T5971" s="1178">
        <f>SUM(T5951:T5970)</f>
        <v>2600</v>
      </c>
      <c r="U5971" s="48"/>
      <c r="V5971" s="878">
        <f>SUM(V5951:V5970)</f>
        <v>0</v>
      </c>
    </row>
    <row r="5972" spans="7:22">
      <c r="T5972" s="1420"/>
    </row>
    <row r="5973" spans="7:22">
      <c r="T5973" s="1420"/>
    </row>
    <row r="5974" spans="7:22">
      <c r="R5974" s="661"/>
      <c r="T5974" s="1420"/>
    </row>
    <row r="5975" spans="7:22">
      <c r="T5975" s="1420"/>
    </row>
    <row r="5976" spans="7:22">
      <c r="K5976" s="3" t="s">
        <v>5310</v>
      </c>
      <c r="T5976" s="1420"/>
    </row>
    <row r="5977" spans="7:22">
      <c r="I5977" s="946"/>
      <c r="M5977" s="1533" t="s">
        <v>3699</v>
      </c>
      <c r="O5977" s="1535" t="s">
        <v>3741</v>
      </c>
      <c r="P5977" s="1512">
        <f>P5971-R5971</f>
        <v>500000</v>
      </c>
      <c r="S5977" s="906" t="s">
        <v>4049</v>
      </c>
      <c r="T5977" s="1107">
        <f>T5971-V5971</f>
        <v>2600</v>
      </c>
    </row>
    <row r="5978" spans="7:22">
      <c r="G5978" s="1574" t="s">
        <v>3530</v>
      </c>
      <c r="H5978" s="1574"/>
      <c r="I5978" s="1574"/>
      <c r="J5978" s="3">
        <f>J5971+L5971</f>
        <v>153300000</v>
      </c>
      <c r="K5978" s="1009"/>
      <c r="L5978" s="3"/>
      <c r="M5978" s="1533" t="s">
        <v>3664</v>
      </c>
      <c r="N5978" s="1527"/>
      <c r="O5978" s="1535" t="s">
        <v>4066</v>
      </c>
      <c r="P5978" s="1512"/>
      <c r="T5978" s="1420"/>
    </row>
    <row r="5979" spans="7:22">
      <c r="G5979" s="1574" t="s">
        <v>3512</v>
      </c>
      <c r="H5979" s="1574"/>
      <c r="I5979" s="1574"/>
      <c r="J5979" s="3">
        <f>N5971-J5978</f>
        <v>131850000</v>
      </c>
      <c r="K5979" s="1009"/>
      <c r="L5979" s="3"/>
      <c r="M5979" s="1528"/>
      <c r="O5979" s="1529"/>
      <c r="Q5979" s="661"/>
      <c r="T5979" s="1420"/>
    </row>
    <row r="5980" spans="7:22">
      <c r="G5980" s="1574" t="s">
        <v>3531</v>
      </c>
      <c r="H5980" s="1574"/>
      <c r="I5980" s="1574"/>
      <c r="J5980" s="3">
        <v>2600</v>
      </c>
      <c r="Q5980" s="3"/>
      <c r="T5980" s="1420"/>
    </row>
    <row r="5981" spans="7:22">
      <c r="G5981" s="1564" t="s">
        <v>4455</v>
      </c>
      <c r="H5981" s="1564"/>
      <c r="I5981" s="1564"/>
      <c r="J5981" s="3">
        <f>+P5977</f>
        <v>500000</v>
      </c>
      <c r="R5981" s="3"/>
      <c r="T5981" s="1420"/>
    </row>
    <row r="5982" spans="7:22">
      <c r="T5982" s="1420"/>
    </row>
    <row r="5984" spans="7:22">
      <c r="T5984" s="1427"/>
    </row>
    <row r="5985" spans="7:22">
      <c r="T5985" s="1427"/>
    </row>
    <row r="5986" spans="7:22">
      <c r="G5986" s="1008">
        <v>46132</v>
      </c>
      <c r="H5986" s="1169"/>
      <c r="I5986" s="1575" t="s">
        <v>3510</v>
      </c>
      <c r="J5986" s="1576"/>
      <c r="K5986" s="1575" t="s">
        <v>3509</v>
      </c>
      <c r="L5986" s="1576"/>
      <c r="M5986" s="1575" t="s">
        <v>3541</v>
      </c>
      <c r="N5986" s="1576"/>
      <c r="O5986" s="1577" t="s">
        <v>3598</v>
      </c>
      <c r="P5986" s="1578"/>
      <c r="Q5986" s="1579" t="s">
        <v>3599</v>
      </c>
      <c r="R5986" s="1580"/>
      <c r="S5986" s="1583" t="s">
        <v>3953</v>
      </c>
      <c r="T5986" s="1583"/>
      <c r="U5986" s="1583" t="s">
        <v>3954</v>
      </c>
      <c r="V5986" s="1583"/>
    </row>
    <row r="5987" spans="7:22">
      <c r="G5987" s="1097"/>
      <c r="H5987" s="1261"/>
      <c r="I5987" s="1435" t="s">
        <v>5388</v>
      </c>
      <c r="J5987" s="1081">
        <v>29160000</v>
      </c>
      <c r="K5987" s="1493" t="s">
        <v>4541</v>
      </c>
      <c r="L5987" s="1081">
        <v>100000</v>
      </c>
      <c r="M5987" s="1495" t="s">
        <v>4613</v>
      </c>
      <c r="N5987" s="1495">
        <v>134600000</v>
      </c>
      <c r="O5987" s="1383"/>
      <c r="P5987" s="644"/>
      <c r="Q5987" s="1279"/>
      <c r="R5987" s="644"/>
      <c r="S5987" s="1223"/>
      <c r="T5987" s="1191"/>
      <c r="U5987" s="1232"/>
      <c r="V5987" s="48"/>
    </row>
    <row r="5988" spans="7:22">
      <c r="G5988" s="1098"/>
      <c r="H5988" s="1172"/>
      <c r="I5988" s="1435" t="s">
        <v>5393</v>
      </c>
      <c r="J5988" s="1081">
        <v>25000000</v>
      </c>
      <c r="K5988" s="1493" t="s">
        <v>4541</v>
      </c>
      <c r="L5988" s="1081">
        <v>800000</v>
      </c>
      <c r="M5988" s="1495" t="s">
        <v>5384</v>
      </c>
      <c r="N5988" s="49">
        <v>6500000</v>
      </c>
      <c r="O5988" s="1383" t="s">
        <v>5262</v>
      </c>
      <c r="P5988" s="644">
        <v>23000000</v>
      </c>
      <c r="Q5988" s="1410"/>
      <c r="R5988" s="1290"/>
      <c r="S5988" s="1389" t="s">
        <v>4613</v>
      </c>
      <c r="T5988" s="1191">
        <v>3100</v>
      </c>
      <c r="U5988" s="48"/>
      <c r="V5988" s="49"/>
    </row>
    <row r="5989" spans="7:22">
      <c r="G5989" s="48"/>
      <c r="H5989" s="48"/>
      <c r="I5989" s="1438" t="s">
        <v>5395</v>
      </c>
      <c r="J5989" s="1081">
        <v>18400000</v>
      </c>
      <c r="K5989" s="1493" t="s">
        <v>4619</v>
      </c>
      <c r="L5989" s="1081">
        <v>1500000</v>
      </c>
      <c r="M5989" s="1495" t="s">
        <v>5385</v>
      </c>
      <c r="N5989" s="49">
        <v>29500000</v>
      </c>
      <c r="O5989" s="1495"/>
      <c r="P5989" s="644"/>
      <c r="Q5989" s="1412"/>
      <c r="R5989" s="644"/>
      <c r="S5989" s="1429"/>
      <c r="T5989" s="1191"/>
      <c r="U5989" s="1436" t="s">
        <v>5398</v>
      </c>
      <c r="V5989" s="1191">
        <v>1600</v>
      </c>
    </row>
    <row r="5990" spans="7:22">
      <c r="G5990" s="48"/>
      <c r="H5990" s="48"/>
      <c r="I5990" s="1438" t="s">
        <v>5396</v>
      </c>
      <c r="J5990" s="1393">
        <v>92000000</v>
      </c>
      <c r="K5990" s="1495" t="s">
        <v>4965</v>
      </c>
      <c r="L5990" s="1081">
        <v>4000000</v>
      </c>
      <c r="M5990" s="1495" t="s">
        <v>5386</v>
      </c>
      <c r="N5990" s="49">
        <v>2000000</v>
      </c>
      <c r="O5990" s="1383"/>
      <c r="P5990" s="644"/>
      <c r="Q5990" s="1422"/>
      <c r="R5990" s="644"/>
      <c r="S5990" s="1415"/>
      <c r="T5990" s="1428"/>
      <c r="U5990" s="1424"/>
      <c r="V5990" s="1428"/>
    </row>
    <row r="5991" spans="7:22">
      <c r="G5991" s="48"/>
      <c r="H5991" s="48"/>
      <c r="I5991" s="1435" t="s">
        <v>5399</v>
      </c>
      <c r="J5991" s="1081">
        <v>26390000</v>
      </c>
      <c r="K5991" s="1495" t="s">
        <v>4647</v>
      </c>
      <c r="L5991" s="1081">
        <v>2000000</v>
      </c>
      <c r="M5991" s="1495" t="s">
        <v>5387</v>
      </c>
      <c r="N5991" s="49">
        <v>20000000</v>
      </c>
      <c r="O5991" s="1383"/>
      <c r="P5991" s="644"/>
      <c r="Q5991" s="1422"/>
      <c r="R5991" s="644"/>
      <c r="S5991" s="1408"/>
      <c r="T5991" s="1428"/>
      <c r="U5991" s="1408"/>
      <c r="V5991" s="49"/>
    </row>
    <row r="5992" spans="7:22">
      <c r="G5992" s="48"/>
      <c r="H5992" s="48"/>
      <c r="I5992" s="1438" t="s">
        <v>5400</v>
      </c>
      <c r="J5992" s="1081">
        <v>36400000</v>
      </c>
      <c r="K5992" s="1495" t="s">
        <v>5390</v>
      </c>
      <c r="L5992" s="1081">
        <v>150000</v>
      </c>
      <c r="M5992" s="1495" t="s">
        <v>5101</v>
      </c>
      <c r="N5992" s="49">
        <v>1100000000</v>
      </c>
      <c r="O5992" s="1383"/>
      <c r="P5992" s="644"/>
      <c r="Q5992" s="1382"/>
      <c r="R5992" s="644"/>
      <c r="S5992" s="1358"/>
      <c r="T5992" s="1428"/>
      <c r="U5992" s="1416"/>
      <c r="V5992" s="49"/>
    </row>
    <row r="5993" spans="7:22">
      <c r="G5993" s="48"/>
      <c r="H5993" s="48"/>
      <c r="I5993" s="1438" t="s">
        <v>5401</v>
      </c>
      <c r="J5993" s="1081">
        <v>36400000</v>
      </c>
      <c r="K5993" s="1493" t="s">
        <v>5391</v>
      </c>
      <c r="L5993" s="1081">
        <v>179600000</v>
      </c>
      <c r="M5993" s="1493" t="s">
        <v>5394</v>
      </c>
      <c r="N5993" s="49">
        <v>1700000</v>
      </c>
      <c r="O5993" s="1383"/>
      <c r="P5993" s="644"/>
      <c r="Q5993" s="1383"/>
      <c r="R5993" s="644"/>
      <c r="S5993" s="48"/>
      <c r="T5993" s="1428"/>
      <c r="U5993" s="1416"/>
      <c r="V5993" s="49"/>
    </row>
    <row r="5994" spans="7:22">
      <c r="G5994" s="48"/>
      <c r="H5994" s="48"/>
      <c r="I5994" s="1438" t="s">
        <v>5402</v>
      </c>
      <c r="J5994" s="1081">
        <v>80000000</v>
      </c>
      <c r="K5994" s="1495" t="s">
        <v>5284</v>
      </c>
      <c r="L5994" s="49">
        <v>308356000</v>
      </c>
      <c r="M5994" s="1495" t="s">
        <v>5397</v>
      </c>
      <c r="N5994" s="49">
        <v>19700000</v>
      </c>
      <c r="O5994" s="1383"/>
      <c r="P5994" s="644"/>
      <c r="Q5994" s="1385"/>
      <c r="R5994" s="644"/>
      <c r="S5994" s="48"/>
      <c r="T5994" s="1428"/>
      <c r="U5994" s="1416"/>
      <c r="V5994" s="49"/>
    </row>
    <row r="5995" spans="7:22">
      <c r="G5995" s="48"/>
      <c r="H5995" s="48"/>
      <c r="I5995" s="1431"/>
      <c r="J5995" s="1081"/>
      <c r="K5995" s="1493" t="s">
        <v>5392</v>
      </c>
      <c r="L5995" s="1081">
        <v>900000</v>
      </c>
      <c r="M5995" s="1495"/>
      <c r="N5995" s="49"/>
      <c r="O5995" s="644"/>
      <c r="P5995" s="644"/>
      <c r="Q5995" s="1383"/>
      <c r="R5995" s="644"/>
      <c r="S5995" s="48"/>
      <c r="T5995" s="1428"/>
      <c r="U5995" s="1408"/>
      <c r="V5995" s="49"/>
    </row>
    <row r="5996" spans="7:22">
      <c r="G5996" s="48"/>
      <c r="H5996" s="48"/>
      <c r="I5996" s="1431"/>
      <c r="J5996" s="1081"/>
      <c r="K5996" s="1509" t="s">
        <v>4833</v>
      </c>
      <c r="L5996" s="1081">
        <v>300000</v>
      </c>
      <c r="M5996" s="1498"/>
      <c r="N5996" s="49"/>
      <c r="O5996" s="644"/>
      <c r="P5996" s="644"/>
      <c r="Q5996" s="1290"/>
      <c r="R5996" s="644"/>
      <c r="S5996" s="48"/>
      <c r="T5996" s="1428"/>
      <c r="U5996" s="1408"/>
      <c r="V5996" s="49"/>
    </row>
    <row r="5997" spans="7:22">
      <c r="G5997" s="48"/>
      <c r="H5997" s="48"/>
      <c r="I5997" s="1431"/>
      <c r="J5997" s="1081"/>
      <c r="K5997" s="1493" t="s">
        <v>4822</v>
      </c>
      <c r="L5997" s="1081">
        <v>5000000</v>
      </c>
      <c r="M5997" s="1498"/>
      <c r="N5997" s="49"/>
      <c r="O5997" s="644"/>
      <c r="P5997" s="644"/>
      <c r="Q5997" s="1383"/>
      <c r="R5997" s="644"/>
      <c r="S5997" s="48"/>
      <c r="T5997" s="1428"/>
      <c r="U5997" s="48"/>
      <c r="V5997" s="48"/>
    </row>
    <row r="5998" spans="7:22">
      <c r="G5998" s="48"/>
      <c r="H5998" s="48"/>
      <c r="I5998" s="1431"/>
      <c r="J5998" s="1081"/>
      <c r="K5998" s="1509" t="s">
        <v>4439</v>
      </c>
      <c r="L5998" s="1081">
        <v>1500000</v>
      </c>
      <c r="M5998" s="1498"/>
      <c r="N5998" s="49"/>
      <c r="O5998" s="644"/>
      <c r="P5998" s="644"/>
      <c r="Q5998" s="1290"/>
      <c r="R5998" s="644"/>
      <c r="S5998" s="48"/>
      <c r="T5998" s="1428"/>
      <c r="U5998" s="48"/>
      <c r="V5998" s="48"/>
    </row>
    <row r="5999" spans="7:22">
      <c r="G5999" s="48"/>
      <c r="H5999" s="48"/>
      <c r="I5999" s="1431"/>
      <c r="J5999" s="1081"/>
      <c r="K5999" s="1509"/>
      <c r="L5999" s="1081"/>
      <c r="M5999" s="1498"/>
      <c r="N5999" s="49"/>
      <c r="O5999" s="644"/>
      <c r="P5999" s="644"/>
      <c r="Q5999" s="1290"/>
      <c r="R5999" s="644"/>
      <c r="S5999" s="48"/>
      <c r="T5999" s="1428"/>
      <c r="U5999" s="48"/>
      <c r="V5999" s="48"/>
    </row>
    <row r="6000" spans="7:22">
      <c r="G6000" s="48"/>
      <c r="H6000" s="48"/>
      <c r="I6000" s="1432"/>
      <c r="J6000" s="49"/>
      <c r="K6000" s="1498"/>
      <c r="L6000" s="49"/>
      <c r="M6000" s="1498"/>
      <c r="N6000" s="49"/>
      <c r="O6000" s="644"/>
      <c r="P6000" s="644"/>
      <c r="Q6000" s="1290"/>
      <c r="R6000" s="644"/>
      <c r="S6000" s="48"/>
      <c r="T6000" s="1428"/>
      <c r="U6000" s="48"/>
      <c r="V6000" s="48"/>
    </row>
    <row r="6001" spans="7:22">
      <c r="G6001" s="48"/>
      <c r="H6001" s="48"/>
      <c r="I6001" s="1432"/>
      <c r="J6001" s="49"/>
      <c r="K6001" s="1498"/>
      <c r="L6001" s="49"/>
      <c r="M6001" s="1498"/>
      <c r="N6001" s="49"/>
      <c r="O6001" s="644"/>
      <c r="P6001" s="644"/>
      <c r="Q6001" s="1290"/>
      <c r="R6001" s="644"/>
      <c r="S6001" s="48"/>
      <c r="T6001" s="1428"/>
      <c r="U6001" s="48"/>
      <c r="V6001" s="48"/>
    </row>
    <row r="6002" spans="7:22">
      <c r="G6002" s="48"/>
      <c r="H6002" s="48"/>
      <c r="I6002" s="1432"/>
      <c r="J6002" s="49"/>
      <c r="K6002" s="1498"/>
      <c r="L6002" s="49"/>
      <c r="M6002" s="1498"/>
      <c r="N6002" s="49"/>
      <c r="O6002" s="644"/>
      <c r="P6002" s="644"/>
      <c r="Q6002" s="1290"/>
      <c r="R6002" s="644"/>
      <c r="S6002" s="48"/>
      <c r="T6002" s="1428"/>
      <c r="U6002" s="48"/>
      <c r="V6002" s="48"/>
    </row>
    <row r="6003" spans="7:22">
      <c r="G6003" s="48"/>
      <c r="H6003" s="48"/>
      <c r="I6003" s="48"/>
      <c r="J6003" s="49"/>
      <c r="K6003" s="1498"/>
      <c r="L6003" s="49"/>
      <c r="M6003" s="1498"/>
      <c r="N6003" s="49"/>
      <c r="O6003" s="644"/>
      <c r="P6003" s="644"/>
      <c r="Q6003" s="1290"/>
      <c r="R6003" s="644"/>
      <c r="S6003" s="48"/>
      <c r="T6003" s="1428"/>
      <c r="U6003" s="48"/>
      <c r="V6003" s="48"/>
    </row>
    <row r="6004" spans="7:22">
      <c r="G6004" s="48"/>
      <c r="H6004" s="48"/>
      <c r="I6004" s="48"/>
      <c r="J6004" s="49"/>
      <c r="K6004" s="1498"/>
      <c r="L6004" s="49"/>
      <c r="M6004" s="1498"/>
      <c r="N6004" s="49"/>
      <c r="O6004" s="644"/>
      <c r="P6004" s="644"/>
      <c r="Q6004" s="1290"/>
      <c r="R6004" s="644"/>
      <c r="S6004" s="48"/>
      <c r="T6004" s="1428"/>
      <c r="U6004" s="48"/>
      <c r="V6004" s="48"/>
    </row>
    <row r="6005" spans="7:22">
      <c r="G6005" s="48"/>
      <c r="H6005" s="48"/>
      <c r="I6005" s="48"/>
      <c r="J6005" s="49"/>
      <c r="K6005" s="1498"/>
      <c r="L6005" s="49"/>
      <c r="M6005" s="1498"/>
      <c r="N6005" s="49"/>
      <c r="O6005" s="644"/>
      <c r="P6005" s="644"/>
      <c r="Q6005" s="1290"/>
      <c r="R6005" s="644"/>
      <c r="S6005" s="48"/>
      <c r="T6005" s="1428"/>
      <c r="U6005" s="48"/>
      <c r="V6005" s="48"/>
    </row>
    <row r="6006" spans="7:22">
      <c r="G6006" s="48"/>
      <c r="H6006" s="48"/>
      <c r="I6006" s="48"/>
      <c r="J6006" s="49"/>
      <c r="K6006" s="1498"/>
      <c r="L6006" s="49"/>
      <c r="M6006" s="1498"/>
      <c r="N6006" s="49"/>
      <c r="O6006" s="644"/>
      <c r="P6006" s="644"/>
      <c r="Q6006" s="1290"/>
      <c r="R6006" s="644"/>
      <c r="S6006" s="48"/>
      <c r="T6006" s="1428"/>
      <c r="U6006" s="48"/>
      <c r="V6006" s="48"/>
    </row>
    <row r="6007" spans="7:22">
      <c r="G6007" s="48"/>
      <c r="H6007" s="48"/>
      <c r="I6007" s="48"/>
      <c r="J6007" s="954">
        <f>SUM(J5987:J6006)</f>
        <v>343750000</v>
      </c>
      <c r="K6007" s="954"/>
      <c r="L6007" s="954">
        <f>SUM(L5987:L6006)</f>
        <v>504206000</v>
      </c>
      <c r="M6007" s="1498"/>
      <c r="N6007" s="954">
        <f>SUM(N5987:N6006)</f>
        <v>1314000000</v>
      </c>
      <c r="O6007" s="644"/>
      <c r="P6007" s="969">
        <f>SUM(P5987:P5994)</f>
        <v>23000000</v>
      </c>
      <c r="Q6007" s="969"/>
      <c r="R6007" s="969">
        <f>SUM(R5987:R6006)</f>
        <v>0</v>
      </c>
      <c r="S6007" s="48"/>
      <c r="T6007" s="1178">
        <f>SUM(T5987:T6006)</f>
        <v>3100</v>
      </c>
      <c r="U6007" s="48"/>
      <c r="V6007" s="878">
        <f>SUM(V5987:V6006)</f>
        <v>1600</v>
      </c>
    </row>
    <row r="6008" spans="7:22">
      <c r="T6008" s="1427"/>
    </row>
    <row r="6009" spans="7:22">
      <c r="T6009" s="1427"/>
    </row>
    <row r="6010" spans="7:22">
      <c r="R6010" s="661"/>
      <c r="T6010" s="1427"/>
    </row>
    <row r="6011" spans="7:22">
      <c r="T6011" s="1427"/>
    </row>
    <row r="6012" spans="7:22">
      <c r="K6012" s="3" t="s">
        <v>5310</v>
      </c>
      <c r="T6012" s="1427"/>
    </row>
    <row r="6013" spans="7:22">
      <c r="I6013" s="946"/>
      <c r="M6013" s="1533" t="s">
        <v>3699</v>
      </c>
      <c r="O6013" s="1535" t="s">
        <v>3741</v>
      </c>
      <c r="P6013" s="1512">
        <f>P6007-R6007</f>
        <v>23000000</v>
      </c>
      <c r="S6013" s="906" t="s">
        <v>4049</v>
      </c>
      <c r="T6013" s="1107">
        <f>T6007-V6007</f>
        <v>1500</v>
      </c>
    </row>
    <row r="6014" spans="7:22">
      <c r="G6014" s="1574" t="s">
        <v>3530</v>
      </c>
      <c r="H6014" s="1574"/>
      <c r="I6014" s="1574"/>
      <c r="J6014" s="3">
        <f>J6007+L6007</f>
        <v>847956000</v>
      </c>
      <c r="K6014" s="1009"/>
      <c r="L6014" s="3"/>
      <c r="M6014" s="1533" t="s">
        <v>3664</v>
      </c>
      <c r="N6014" s="1527"/>
      <c r="O6014" s="1535" t="s">
        <v>4066</v>
      </c>
      <c r="P6014" s="1512"/>
      <c r="T6014" s="1427"/>
    </row>
    <row r="6015" spans="7:22">
      <c r="G6015" s="1574" t="s">
        <v>3512</v>
      </c>
      <c r="H6015" s="1574"/>
      <c r="I6015" s="1574"/>
      <c r="J6015" s="3">
        <f>N6007-J6014</f>
        <v>466044000</v>
      </c>
      <c r="K6015" s="1009"/>
      <c r="L6015" s="3"/>
      <c r="M6015" s="1528"/>
      <c r="O6015" s="1529"/>
      <c r="Q6015" s="661"/>
      <c r="T6015" s="1427"/>
    </row>
    <row r="6016" spans="7:22">
      <c r="G6016" s="1574" t="s">
        <v>3531</v>
      </c>
      <c r="H6016" s="1574"/>
      <c r="I6016" s="1574"/>
      <c r="J6016" s="3">
        <f>+T6013</f>
        <v>1500</v>
      </c>
      <c r="Q6016" s="3"/>
      <c r="T6016" s="1427"/>
    </row>
    <row r="6017" spans="7:22">
      <c r="G6017" s="1564" t="s">
        <v>4455</v>
      </c>
      <c r="H6017" s="1564"/>
      <c r="I6017" s="1564"/>
      <c r="J6017" s="3">
        <f>+P6013</f>
        <v>23000000</v>
      </c>
      <c r="R6017" s="3"/>
      <c r="T6017" s="1427"/>
    </row>
    <row r="6018" spans="7:22">
      <c r="T6018" s="1427"/>
    </row>
    <row r="6019" spans="7:22">
      <c r="T6019" s="1427"/>
    </row>
    <row r="6020" spans="7:22">
      <c r="T6020" s="1427"/>
    </row>
    <row r="6021" spans="7:22">
      <c r="G6021" s="1008">
        <v>46133</v>
      </c>
      <c r="H6021" s="1169"/>
      <c r="I6021" s="1575" t="s">
        <v>3510</v>
      </c>
      <c r="J6021" s="1576"/>
      <c r="K6021" s="1575" t="s">
        <v>3509</v>
      </c>
      <c r="L6021" s="1576"/>
      <c r="M6021" s="1575" t="s">
        <v>3541</v>
      </c>
      <c r="N6021" s="1576"/>
      <c r="O6021" s="1577" t="s">
        <v>3598</v>
      </c>
      <c r="P6021" s="1578"/>
      <c r="Q6021" s="1579" t="s">
        <v>3599</v>
      </c>
      <c r="R6021" s="1580"/>
      <c r="S6021" s="1583" t="s">
        <v>3953</v>
      </c>
      <c r="T6021" s="1583"/>
      <c r="U6021" s="1583" t="s">
        <v>3954</v>
      </c>
      <c r="V6021" s="1583"/>
    </row>
    <row r="6022" spans="7:22">
      <c r="G6022" s="1097"/>
      <c r="H6022" s="1261"/>
      <c r="I6022" s="1435" t="s">
        <v>5404</v>
      </c>
      <c r="J6022" s="1081">
        <v>36800000</v>
      </c>
      <c r="K6022" s="1493" t="s">
        <v>5408</v>
      </c>
      <c r="L6022" s="1081">
        <v>700000</v>
      </c>
      <c r="M6022" s="1495" t="s">
        <v>4613</v>
      </c>
      <c r="N6022" s="1495">
        <v>464700000</v>
      </c>
      <c r="O6022" s="1383"/>
      <c r="P6022" s="644"/>
      <c r="Q6022" s="1279"/>
      <c r="R6022" s="644"/>
      <c r="S6022" s="1223"/>
      <c r="T6022" s="1191"/>
      <c r="U6022" s="1232"/>
      <c r="V6022" s="48"/>
    </row>
    <row r="6023" spans="7:22">
      <c r="G6023" s="1098"/>
      <c r="H6023" s="1172"/>
      <c r="I6023" s="1435" t="s">
        <v>5405</v>
      </c>
      <c r="J6023" s="1081">
        <v>36400000</v>
      </c>
      <c r="K6023" s="1493" t="s">
        <v>5409</v>
      </c>
      <c r="L6023" s="1081">
        <v>2000000</v>
      </c>
      <c r="M6023" s="1495" t="s">
        <v>5415</v>
      </c>
      <c r="N6023" s="49">
        <v>17600000</v>
      </c>
      <c r="O6023" s="1383" t="s">
        <v>5262</v>
      </c>
      <c r="P6023" s="644">
        <v>38600000</v>
      </c>
      <c r="Q6023" s="1410"/>
      <c r="R6023" s="1290"/>
      <c r="S6023" s="1389" t="s">
        <v>4613</v>
      </c>
      <c r="T6023" s="1191">
        <v>1500</v>
      </c>
      <c r="U6023" s="48"/>
      <c r="V6023" s="49"/>
    </row>
    <row r="6024" spans="7:22">
      <c r="G6024" s="48"/>
      <c r="H6024" s="48"/>
      <c r="I6024" s="1438" t="s">
        <v>5406</v>
      </c>
      <c r="J6024" s="1081">
        <v>45500000</v>
      </c>
      <c r="K6024" s="1493" t="s">
        <v>4635</v>
      </c>
      <c r="L6024" s="1081">
        <v>5000000</v>
      </c>
      <c r="M6024" s="1495"/>
      <c r="N6024" s="49"/>
      <c r="O6024" s="1495"/>
      <c r="P6024" s="644"/>
      <c r="Q6024" s="1412"/>
      <c r="R6024" s="644"/>
      <c r="S6024" s="1437" t="s">
        <v>5411</v>
      </c>
      <c r="T6024" s="1191">
        <v>1700</v>
      </c>
      <c r="U6024" s="1436"/>
      <c r="V6024" s="1191"/>
    </row>
    <row r="6025" spans="7:22">
      <c r="G6025" s="48"/>
      <c r="H6025" s="48"/>
      <c r="I6025" s="1438" t="s">
        <v>5407</v>
      </c>
      <c r="J6025" s="1393">
        <v>36400000</v>
      </c>
      <c r="K6025" s="1495"/>
      <c r="L6025" s="1081"/>
      <c r="M6025" s="1495"/>
      <c r="N6025" s="49"/>
      <c r="O6025" s="1383"/>
      <c r="P6025" s="644"/>
      <c r="Q6025" s="1422"/>
      <c r="R6025" s="644"/>
      <c r="S6025" s="1437" t="s">
        <v>5415</v>
      </c>
      <c r="T6025" s="1428">
        <v>1100</v>
      </c>
      <c r="U6025" s="1424"/>
      <c r="V6025" s="1428"/>
    </row>
    <row r="6026" spans="7:22">
      <c r="G6026" s="48"/>
      <c r="H6026" s="48"/>
      <c r="I6026" s="1435" t="s">
        <v>5410</v>
      </c>
      <c r="J6026" s="1081">
        <v>37720000</v>
      </c>
      <c r="K6026" s="1495"/>
      <c r="L6026" s="1081"/>
      <c r="M6026" s="1495"/>
      <c r="N6026" s="49"/>
      <c r="O6026" s="1383"/>
      <c r="P6026" s="644"/>
      <c r="Q6026" s="1422"/>
      <c r="R6026" s="644"/>
      <c r="S6026" s="1408"/>
      <c r="T6026" s="1428"/>
      <c r="U6026" s="1408" t="s">
        <v>5419</v>
      </c>
      <c r="V6026" s="49"/>
    </row>
    <row r="6027" spans="7:22">
      <c r="G6027" s="48"/>
      <c r="H6027" s="48"/>
      <c r="I6027" s="1438" t="s">
        <v>5412</v>
      </c>
      <c r="J6027" s="1081">
        <v>36400000</v>
      </c>
      <c r="K6027" s="1495"/>
      <c r="L6027" s="1081"/>
      <c r="M6027" s="1495"/>
      <c r="N6027" s="49"/>
      <c r="O6027" s="1383"/>
      <c r="P6027" s="644"/>
      <c r="Q6027" s="1382"/>
      <c r="R6027" s="644"/>
      <c r="S6027" s="1358"/>
      <c r="T6027" s="1428"/>
      <c r="U6027" s="1416"/>
      <c r="V6027" s="49"/>
    </row>
    <row r="6028" spans="7:22">
      <c r="G6028" s="48"/>
      <c r="H6028" s="48"/>
      <c r="I6028" s="1438" t="s">
        <v>5413</v>
      </c>
      <c r="J6028" s="1081">
        <v>45500000</v>
      </c>
      <c r="K6028" s="1493"/>
      <c r="L6028" s="1081"/>
      <c r="M6028" s="1493"/>
      <c r="N6028" s="49"/>
      <c r="O6028" s="1383"/>
      <c r="P6028" s="644"/>
      <c r="Q6028" s="1383"/>
      <c r="R6028" s="644"/>
      <c r="S6028" s="48"/>
      <c r="T6028" s="1428"/>
      <c r="U6028" s="1438" t="s">
        <v>5420</v>
      </c>
      <c r="V6028" s="49">
        <v>4300</v>
      </c>
    </row>
    <row r="6029" spans="7:22">
      <c r="G6029" s="48"/>
      <c r="H6029" s="48"/>
      <c r="I6029" s="1438" t="s">
        <v>5414</v>
      </c>
      <c r="J6029" s="1081">
        <v>45500000</v>
      </c>
      <c r="K6029" s="1495"/>
      <c r="L6029" s="49"/>
      <c r="M6029" s="1495"/>
      <c r="N6029" s="49"/>
      <c r="O6029" s="1383"/>
      <c r="P6029" s="644"/>
      <c r="Q6029" s="1385"/>
      <c r="R6029" s="644"/>
      <c r="S6029" s="48"/>
      <c r="T6029" s="1428"/>
      <c r="U6029" s="1416"/>
      <c r="V6029" s="49"/>
    </row>
    <row r="6030" spans="7:22">
      <c r="G6030" s="48"/>
      <c r="H6030" s="48"/>
      <c r="I6030" s="1438" t="s">
        <v>5416</v>
      </c>
      <c r="J6030" s="1081">
        <v>46000000</v>
      </c>
      <c r="K6030" s="1493"/>
      <c r="L6030" s="1081"/>
      <c r="M6030" s="1495"/>
      <c r="N6030" s="49"/>
      <c r="O6030" s="644"/>
      <c r="P6030" s="644"/>
      <c r="Q6030" s="1383"/>
      <c r="R6030" s="644"/>
      <c r="S6030" s="48"/>
      <c r="T6030" s="1428"/>
      <c r="U6030" s="1408"/>
      <c r="V6030" s="49"/>
    </row>
    <row r="6031" spans="7:22">
      <c r="G6031" s="48"/>
      <c r="H6031" s="48"/>
      <c r="I6031" s="1438" t="s">
        <v>5417</v>
      </c>
      <c r="J6031" s="1081">
        <v>21160000</v>
      </c>
      <c r="K6031" s="1509"/>
      <c r="L6031" s="1081"/>
      <c r="M6031" s="1498"/>
      <c r="N6031" s="49"/>
      <c r="O6031" s="644"/>
      <c r="P6031" s="644"/>
      <c r="Q6031" s="1290"/>
      <c r="R6031" s="644"/>
      <c r="S6031" s="48"/>
      <c r="T6031" s="1428"/>
      <c r="U6031" s="1408"/>
      <c r="V6031" s="49"/>
    </row>
    <row r="6032" spans="7:22">
      <c r="G6032" s="48"/>
      <c r="H6032" s="48"/>
      <c r="I6032" s="1438" t="s">
        <v>5418</v>
      </c>
      <c r="J6032" s="1081">
        <v>30360000</v>
      </c>
      <c r="K6032" s="1493"/>
      <c r="L6032" s="1081"/>
      <c r="M6032" s="1498"/>
      <c r="N6032" s="49"/>
      <c r="O6032" s="644"/>
      <c r="P6032" s="644"/>
      <c r="Q6032" s="1383"/>
      <c r="R6032" s="644"/>
      <c r="S6032" s="48"/>
      <c r="T6032" s="1428"/>
      <c r="U6032" s="48"/>
      <c r="V6032" s="48"/>
    </row>
    <row r="6033" spans="7:22">
      <c r="G6033" s="48"/>
      <c r="H6033" s="48"/>
      <c r="I6033" s="1438" t="s">
        <v>5419</v>
      </c>
      <c r="J6033" s="1081">
        <v>41080000</v>
      </c>
      <c r="K6033" s="1509"/>
      <c r="L6033" s="1081"/>
      <c r="M6033" s="1498"/>
      <c r="N6033" s="49"/>
      <c r="O6033" s="644"/>
      <c r="P6033" s="644"/>
      <c r="Q6033" s="1290"/>
      <c r="R6033" s="644"/>
      <c r="S6033" s="48"/>
      <c r="T6033" s="1428"/>
      <c r="U6033" s="48"/>
      <c r="V6033" s="48"/>
    </row>
    <row r="6034" spans="7:22">
      <c r="G6034" s="48"/>
      <c r="H6034" s="48"/>
      <c r="I6034" s="1438"/>
      <c r="J6034" s="1081"/>
      <c r="K6034" s="1509"/>
      <c r="L6034" s="1081"/>
      <c r="M6034" s="1498"/>
      <c r="N6034" s="49"/>
      <c r="O6034" s="644"/>
      <c r="P6034" s="644"/>
      <c r="Q6034" s="1290"/>
      <c r="R6034" s="644"/>
      <c r="S6034" s="48"/>
      <c r="T6034" s="1428"/>
      <c r="U6034" s="48"/>
      <c r="V6034" s="48"/>
    </row>
    <row r="6035" spans="7:22">
      <c r="G6035" s="48"/>
      <c r="H6035" s="48"/>
      <c r="I6035" s="1432"/>
      <c r="J6035" s="49"/>
      <c r="K6035" s="1498"/>
      <c r="L6035" s="49"/>
      <c r="M6035" s="1498"/>
      <c r="N6035" s="49"/>
      <c r="O6035" s="644"/>
      <c r="P6035" s="644"/>
      <c r="Q6035" s="1290"/>
      <c r="R6035" s="644"/>
      <c r="S6035" s="48"/>
      <c r="T6035" s="1428"/>
      <c r="U6035" s="48"/>
      <c r="V6035" s="48"/>
    </row>
    <row r="6036" spans="7:22">
      <c r="G6036" s="48"/>
      <c r="H6036" s="48"/>
      <c r="I6036" s="1432"/>
      <c r="J6036" s="49"/>
      <c r="K6036" s="1498"/>
      <c r="L6036" s="49"/>
      <c r="M6036" s="1498"/>
      <c r="N6036" s="49"/>
      <c r="O6036" s="644"/>
      <c r="P6036" s="644"/>
      <c r="Q6036" s="1290"/>
      <c r="R6036" s="644"/>
      <c r="S6036" s="48"/>
      <c r="T6036" s="1428"/>
      <c r="U6036" s="48"/>
      <c r="V6036" s="48"/>
    </row>
    <row r="6037" spans="7:22">
      <c r="G6037" s="48"/>
      <c r="H6037" s="48"/>
      <c r="I6037" s="1432"/>
      <c r="J6037" s="49"/>
      <c r="K6037" s="1498"/>
      <c r="L6037" s="49"/>
      <c r="M6037" s="1498"/>
      <c r="N6037" s="49"/>
      <c r="O6037" s="644"/>
      <c r="P6037" s="644"/>
      <c r="Q6037" s="1290"/>
      <c r="R6037" s="644"/>
      <c r="S6037" s="48"/>
      <c r="T6037" s="1428"/>
      <c r="U6037" s="48"/>
      <c r="V6037" s="48"/>
    </row>
    <row r="6038" spans="7:22">
      <c r="G6038" s="48"/>
      <c r="H6038" s="48"/>
      <c r="I6038" s="48"/>
      <c r="J6038" s="49"/>
      <c r="K6038" s="1498"/>
      <c r="L6038" s="49"/>
      <c r="M6038" s="1498"/>
      <c r="N6038" s="49"/>
      <c r="O6038" s="644"/>
      <c r="P6038" s="644"/>
      <c r="Q6038" s="1290"/>
      <c r="R6038" s="644"/>
      <c r="S6038" s="48"/>
      <c r="T6038" s="1428"/>
      <c r="U6038" s="48"/>
      <c r="V6038" s="48"/>
    </row>
    <row r="6039" spans="7:22">
      <c r="G6039" s="48"/>
      <c r="H6039" s="48"/>
      <c r="I6039" s="48"/>
      <c r="J6039" s="49"/>
      <c r="K6039" s="1498"/>
      <c r="L6039" s="49"/>
      <c r="M6039" s="1498"/>
      <c r="N6039" s="49"/>
      <c r="O6039" s="644"/>
      <c r="P6039" s="644"/>
      <c r="Q6039" s="1290"/>
      <c r="R6039" s="644"/>
      <c r="S6039" s="48"/>
      <c r="T6039" s="1428"/>
      <c r="U6039" s="48"/>
      <c r="V6039" s="48"/>
    </row>
    <row r="6040" spans="7:22">
      <c r="G6040" s="48"/>
      <c r="H6040" s="48"/>
      <c r="I6040" s="48"/>
      <c r="J6040" s="49"/>
      <c r="K6040" s="1498"/>
      <c r="L6040" s="49"/>
      <c r="M6040" s="1498"/>
      <c r="N6040" s="49"/>
      <c r="O6040" s="644"/>
      <c r="P6040" s="644"/>
      <c r="Q6040" s="1290"/>
      <c r="R6040" s="644"/>
      <c r="S6040" s="48"/>
      <c r="T6040" s="1428"/>
      <c r="U6040" s="48"/>
      <c r="V6040" s="48"/>
    </row>
    <row r="6041" spans="7:22">
      <c r="G6041" s="48"/>
      <c r="H6041" s="48"/>
      <c r="I6041" s="48"/>
      <c r="J6041" s="49"/>
      <c r="K6041" s="1498"/>
      <c r="L6041" s="49"/>
      <c r="M6041" s="1498"/>
      <c r="N6041" s="49"/>
      <c r="O6041" s="644"/>
      <c r="P6041" s="644"/>
      <c r="Q6041" s="1290"/>
      <c r="R6041" s="644"/>
      <c r="S6041" s="48"/>
      <c r="T6041" s="1428"/>
      <c r="U6041" s="48"/>
      <c r="V6041" s="48"/>
    </row>
    <row r="6042" spans="7:22">
      <c r="G6042" s="48"/>
      <c r="H6042" s="48"/>
      <c r="I6042" s="48"/>
      <c r="J6042" s="954">
        <f>SUM(J6022:J6041)</f>
        <v>458820000</v>
      </c>
      <c r="K6042" s="954"/>
      <c r="L6042" s="954">
        <f>SUM(L6022:L6041)</f>
        <v>7700000</v>
      </c>
      <c r="M6042" s="1498"/>
      <c r="N6042" s="954">
        <f>SUM(N6022:N6041)</f>
        <v>482300000</v>
      </c>
      <c r="O6042" s="644"/>
      <c r="P6042" s="969">
        <f>SUM(P6022:P6029)</f>
        <v>38600000</v>
      </c>
      <c r="Q6042" s="969"/>
      <c r="R6042" s="969">
        <f>SUM(R6022:R6041)</f>
        <v>0</v>
      </c>
      <c r="S6042" s="48"/>
      <c r="T6042" s="1178">
        <f>SUM(T6022:T6041)</f>
        <v>4300</v>
      </c>
      <c r="U6042" s="48"/>
      <c r="V6042" s="878">
        <f>SUM(V6022:V6041)</f>
        <v>4300</v>
      </c>
    </row>
    <row r="6043" spans="7:22">
      <c r="T6043" s="1427"/>
    </row>
    <row r="6044" spans="7:22">
      <c r="T6044" s="1427"/>
    </row>
    <row r="6045" spans="7:22">
      <c r="R6045" s="661"/>
      <c r="T6045" s="1427"/>
    </row>
    <row r="6046" spans="7:22">
      <c r="T6046" s="1427"/>
    </row>
    <row r="6047" spans="7:22">
      <c r="K6047" s="3" t="s">
        <v>5310</v>
      </c>
      <c r="T6047" s="1427"/>
    </row>
    <row r="6048" spans="7:22">
      <c r="I6048" s="946"/>
      <c r="M6048" s="1533" t="s">
        <v>3699</v>
      </c>
      <c r="O6048" s="1535" t="s">
        <v>3741</v>
      </c>
      <c r="P6048" s="1512">
        <f>P6042-R6042</f>
        <v>38600000</v>
      </c>
      <c r="S6048" s="906" t="s">
        <v>4049</v>
      </c>
      <c r="T6048" s="1107">
        <f>T6042-V6042</f>
        <v>0</v>
      </c>
    </row>
    <row r="6049" spans="7:22">
      <c r="G6049" s="1574" t="s">
        <v>3530</v>
      </c>
      <c r="H6049" s="1574"/>
      <c r="I6049" s="1574"/>
      <c r="J6049" s="3">
        <f>J6042+L6042</f>
        <v>466520000</v>
      </c>
      <c r="K6049" s="1009"/>
      <c r="L6049" s="3"/>
      <c r="M6049" s="1533" t="s">
        <v>3664</v>
      </c>
      <c r="N6049" s="1527"/>
      <c r="O6049" s="1535" t="s">
        <v>4066</v>
      </c>
      <c r="P6049" s="1512"/>
      <c r="T6049" s="1427"/>
    </row>
    <row r="6050" spans="7:22">
      <c r="G6050" s="1574" t="s">
        <v>3512</v>
      </c>
      <c r="H6050" s="1574"/>
      <c r="I6050" s="1574"/>
      <c r="J6050" s="3">
        <f>N6042-J6049</f>
        <v>15780000</v>
      </c>
      <c r="K6050" s="1009"/>
      <c r="L6050" s="3"/>
      <c r="M6050" s="1528"/>
      <c r="O6050" s="1529"/>
      <c r="Q6050" s="661"/>
      <c r="T6050" s="1427"/>
    </row>
    <row r="6051" spans="7:22">
      <c r="G6051" s="1574" t="s">
        <v>3531</v>
      </c>
      <c r="H6051" s="1574"/>
      <c r="I6051" s="1574"/>
      <c r="J6051" s="3">
        <v>2600</v>
      </c>
      <c r="Q6051" s="3"/>
      <c r="T6051" s="1427"/>
    </row>
    <row r="6052" spans="7:22">
      <c r="G6052" s="1564" t="s">
        <v>4455</v>
      </c>
      <c r="H6052" s="1564"/>
      <c r="I6052" s="1564"/>
      <c r="J6052" s="3">
        <f>+P6048</f>
        <v>38600000</v>
      </c>
      <c r="R6052" s="3"/>
      <c r="T6052" s="1427"/>
    </row>
    <row r="6053" spans="7:22">
      <c r="T6053" s="1427"/>
    </row>
    <row r="6055" spans="7:22">
      <c r="T6055" s="1433"/>
    </row>
    <row r="6056" spans="7:22">
      <c r="T6056" s="1433"/>
    </row>
    <row r="6057" spans="7:22">
      <c r="G6057" s="1008">
        <v>46134</v>
      </c>
      <c r="H6057" s="1169"/>
      <c r="I6057" s="1575" t="s">
        <v>3510</v>
      </c>
      <c r="J6057" s="1576"/>
      <c r="K6057" s="1575" t="s">
        <v>3509</v>
      </c>
      <c r="L6057" s="1576"/>
      <c r="M6057" s="1575" t="s">
        <v>3541</v>
      </c>
      <c r="N6057" s="1576"/>
      <c r="O6057" s="1577" t="s">
        <v>3598</v>
      </c>
      <c r="P6057" s="1578"/>
      <c r="Q6057" s="1579" t="s">
        <v>3599</v>
      </c>
      <c r="R6057" s="1580"/>
      <c r="S6057" s="1583" t="s">
        <v>3953</v>
      </c>
      <c r="T6057" s="1583"/>
      <c r="U6057" s="1583" t="s">
        <v>3954</v>
      </c>
      <c r="V6057" s="1583"/>
    </row>
    <row r="6058" spans="7:22">
      <c r="G6058" s="1097"/>
      <c r="H6058" s="1261"/>
      <c r="I6058" s="1441" t="s">
        <v>5427</v>
      </c>
      <c r="J6058" s="1081">
        <v>46500000</v>
      </c>
      <c r="K6058" s="1493" t="s">
        <v>4541</v>
      </c>
      <c r="L6058" s="1081">
        <v>300000</v>
      </c>
      <c r="M6058" s="1495" t="s">
        <v>4613</v>
      </c>
      <c r="N6058" s="1495">
        <v>15650000</v>
      </c>
      <c r="O6058" s="1383"/>
      <c r="P6058" s="644"/>
      <c r="Q6058" s="1279"/>
      <c r="R6058" s="644"/>
      <c r="S6058" s="1223"/>
      <c r="T6058" s="1191"/>
      <c r="U6058" s="1232"/>
      <c r="V6058" s="48"/>
    </row>
    <row r="6059" spans="7:22">
      <c r="G6059" s="1098"/>
      <c r="H6059" s="1172"/>
      <c r="I6059" s="1441" t="s">
        <v>5428</v>
      </c>
      <c r="J6059" s="1081">
        <f>33000000*0.93</f>
        <v>30690000</v>
      </c>
      <c r="K6059" s="1493" t="s">
        <v>5422</v>
      </c>
      <c r="L6059" s="1081">
        <v>4000000</v>
      </c>
      <c r="M6059" s="1495" t="s">
        <v>5101</v>
      </c>
      <c r="N6059" s="49">
        <v>890000000</v>
      </c>
      <c r="O6059" s="1383" t="s">
        <v>5262</v>
      </c>
      <c r="P6059" s="644">
        <v>38600000</v>
      </c>
      <c r="Q6059" s="1410"/>
      <c r="R6059" s="1290"/>
      <c r="S6059" s="1389" t="s">
        <v>4613</v>
      </c>
      <c r="T6059" s="1191">
        <v>0</v>
      </c>
      <c r="U6059" s="48"/>
      <c r="V6059" s="49"/>
    </row>
    <row r="6060" spans="7:22">
      <c r="G6060" s="48"/>
      <c r="H6060" s="48"/>
      <c r="I6060" s="1444" t="s">
        <v>5429</v>
      </c>
      <c r="J6060" s="1081">
        <v>46500000</v>
      </c>
      <c r="K6060" s="1493" t="s">
        <v>5426</v>
      </c>
      <c r="L6060" s="1081">
        <v>700000</v>
      </c>
      <c r="M6060" s="1495"/>
      <c r="N6060" s="49"/>
      <c r="O6060" s="1495"/>
      <c r="P6060" s="644"/>
      <c r="Q6060" s="1412"/>
      <c r="R6060" s="644"/>
      <c r="S6060" s="1442" t="s">
        <v>5423</v>
      </c>
      <c r="T6060" s="1191">
        <v>400</v>
      </c>
      <c r="U6060" s="1436"/>
      <c r="V6060" s="1191"/>
    </row>
    <row r="6061" spans="7:22">
      <c r="G6061" s="48"/>
      <c r="H6061" s="48"/>
      <c r="I6061" s="1444" t="s">
        <v>5430</v>
      </c>
      <c r="J6061" s="1393">
        <f>40000000*0.93</f>
        <v>37200000</v>
      </c>
      <c r="K6061" s="1495" t="s">
        <v>4541</v>
      </c>
      <c r="L6061" s="1081">
        <v>250000</v>
      </c>
      <c r="M6061" s="1495"/>
      <c r="N6061" s="49"/>
      <c r="O6061" s="1383"/>
      <c r="P6061" s="644"/>
      <c r="Q6061" s="1422"/>
      <c r="R6061" s="644"/>
      <c r="S6061" s="1442" t="s">
        <v>5424</v>
      </c>
      <c r="T6061" s="1434">
        <v>3600</v>
      </c>
      <c r="U6061" s="1424"/>
      <c r="V6061" s="1434"/>
    </row>
    <row r="6062" spans="7:22">
      <c r="G6062" s="48"/>
      <c r="H6062" s="48"/>
      <c r="I6062" s="1441" t="s">
        <v>5431</v>
      </c>
      <c r="J6062" s="1081">
        <f>40000000*0.93</f>
        <v>37200000</v>
      </c>
      <c r="K6062" s="1495" t="s">
        <v>4447</v>
      </c>
      <c r="L6062" s="1081">
        <v>16300000</v>
      </c>
      <c r="M6062" s="1495"/>
      <c r="N6062" s="49"/>
      <c r="O6062" s="1383"/>
      <c r="P6062" s="644"/>
      <c r="Q6062" s="1422"/>
      <c r="R6062" s="644"/>
      <c r="S6062" s="1443" t="s">
        <v>5425</v>
      </c>
      <c r="T6062" s="1434">
        <v>1300</v>
      </c>
      <c r="U6062" s="1408"/>
      <c r="V6062" s="49"/>
    </row>
    <row r="6063" spans="7:22">
      <c r="G6063" s="48"/>
      <c r="H6063" s="48"/>
      <c r="I6063" s="1444" t="s">
        <v>5432</v>
      </c>
      <c r="J6063" s="1081">
        <v>46500000</v>
      </c>
      <c r="K6063" s="1495" t="s">
        <v>4630</v>
      </c>
      <c r="L6063" s="1081">
        <v>1050000</v>
      </c>
      <c r="M6063" s="1495"/>
      <c r="N6063" s="49"/>
      <c r="O6063" s="1383"/>
      <c r="P6063" s="644"/>
      <c r="Q6063" s="1382"/>
      <c r="R6063" s="644"/>
      <c r="S6063" s="1358"/>
      <c r="T6063" s="1434"/>
      <c r="U6063" s="1416"/>
      <c r="V6063" s="49"/>
    </row>
    <row r="6064" spans="7:22">
      <c r="G6064" s="48"/>
      <c r="H6064" s="48"/>
      <c r="I6064" s="1444" t="s">
        <v>5433</v>
      </c>
      <c r="J6064" s="1081">
        <v>46500000</v>
      </c>
      <c r="K6064" s="1493" t="s">
        <v>3058</v>
      </c>
      <c r="L6064" s="1081">
        <v>6000000</v>
      </c>
      <c r="M6064" s="1493"/>
      <c r="N6064" s="49"/>
      <c r="O6064" s="1383"/>
      <c r="P6064" s="644"/>
      <c r="Q6064" s="1383"/>
      <c r="R6064" s="644"/>
      <c r="S6064" s="48"/>
      <c r="T6064" s="1434"/>
      <c r="U6064" s="1438"/>
      <c r="V6064" s="49"/>
    </row>
    <row r="6065" spans="7:22">
      <c r="G6065" s="48"/>
      <c r="H6065" s="48"/>
      <c r="I6065" s="1444" t="s">
        <v>5434</v>
      </c>
      <c r="J6065" s="1081">
        <v>46500000</v>
      </c>
      <c r="K6065" s="1495" t="s">
        <v>5440</v>
      </c>
      <c r="L6065" s="49">
        <v>3500000</v>
      </c>
      <c r="M6065" s="1495"/>
      <c r="N6065" s="49"/>
      <c r="O6065" s="1383"/>
      <c r="P6065" s="644"/>
      <c r="Q6065" s="1385"/>
      <c r="R6065" s="644"/>
      <c r="S6065" s="48"/>
      <c r="T6065" s="1434"/>
      <c r="U6065" s="1416"/>
      <c r="V6065" s="49"/>
    </row>
    <row r="6066" spans="7:22">
      <c r="G6066" s="48"/>
      <c r="H6066" s="48"/>
      <c r="I6066" s="1444" t="s">
        <v>5435</v>
      </c>
      <c r="J6066" s="1081">
        <v>25800000</v>
      </c>
      <c r="K6066" s="1493" t="s">
        <v>5441</v>
      </c>
      <c r="L6066" s="1081">
        <v>300000</v>
      </c>
      <c r="M6066" s="1495"/>
      <c r="N6066" s="49"/>
      <c r="O6066" s="644"/>
      <c r="P6066" s="644"/>
      <c r="Q6066" s="1383"/>
      <c r="R6066" s="644"/>
      <c r="S6066" s="48"/>
      <c r="T6066" s="1434"/>
      <c r="U6066" s="1408"/>
      <c r="V6066" s="49"/>
    </row>
    <row r="6067" spans="7:22">
      <c r="G6067" s="48"/>
      <c r="H6067" s="48"/>
      <c r="I6067" s="1444" t="s">
        <v>5436</v>
      </c>
      <c r="J6067" s="1081">
        <v>27700000</v>
      </c>
      <c r="K6067" s="1509"/>
      <c r="L6067" s="1081"/>
      <c r="M6067" s="1498"/>
      <c r="N6067" s="49"/>
      <c r="O6067" s="644"/>
      <c r="P6067" s="644"/>
      <c r="Q6067" s="1290"/>
      <c r="R6067" s="644"/>
      <c r="S6067" s="48"/>
      <c r="T6067" s="1434"/>
      <c r="U6067" s="1408"/>
      <c r="V6067" s="49"/>
    </row>
    <row r="6068" spans="7:22">
      <c r="G6068" s="48"/>
      <c r="H6068" s="48"/>
      <c r="I6068" s="1444" t="s">
        <v>5437</v>
      </c>
      <c r="J6068" s="1081">
        <v>41050000</v>
      </c>
      <c r="K6068" s="1493"/>
      <c r="L6068" s="1081"/>
      <c r="M6068" s="1498"/>
      <c r="N6068" s="49"/>
      <c r="O6068" s="644"/>
      <c r="P6068" s="644"/>
      <c r="Q6068" s="1383"/>
      <c r="R6068" s="644"/>
      <c r="S6068" s="48"/>
      <c r="T6068" s="1434"/>
      <c r="U6068" s="48"/>
      <c r="V6068" s="48"/>
    </row>
    <row r="6069" spans="7:22">
      <c r="G6069" s="48"/>
      <c r="H6069" s="48"/>
      <c r="I6069" s="1444" t="s">
        <v>5438</v>
      </c>
      <c r="J6069" s="1081">
        <v>32200000</v>
      </c>
      <c r="K6069" s="1509"/>
      <c r="L6069" s="1081"/>
      <c r="M6069" s="1498"/>
      <c r="N6069" s="49"/>
      <c r="O6069" s="644"/>
      <c r="P6069" s="644"/>
      <c r="Q6069" s="1290"/>
      <c r="R6069" s="644"/>
      <c r="S6069" s="48"/>
      <c r="T6069" s="1434"/>
      <c r="U6069" s="48"/>
      <c r="V6069" s="48"/>
    </row>
    <row r="6070" spans="7:22">
      <c r="G6070" s="48"/>
      <c r="H6070" s="48"/>
      <c r="I6070" s="1444" t="s">
        <v>5439</v>
      </c>
      <c r="J6070" s="1081">
        <v>46000000</v>
      </c>
      <c r="K6070" s="1509"/>
      <c r="L6070" s="1081"/>
      <c r="M6070" s="1498"/>
      <c r="N6070" s="49"/>
      <c r="O6070" s="644"/>
      <c r="P6070" s="644"/>
      <c r="Q6070" s="1290"/>
      <c r="R6070" s="644"/>
      <c r="S6070" s="48"/>
      <c r="T6070" s="1434"/>
      <c r="U6070" s="48"/>
      <c r="V6070" s="48"/>
    </row>
    <row r="6071" spans="7:22">
      <c r="G6071" s="48"/>
      <c r="H6071" s="48"/>
      <c r="I6071" s="1432"/>
      <c r="J6071" s="49"/>
      <c r="K6071" s="1498"/>
      <c r="L6071" s="49"/>
      <c r="M6071" s="1498"/>
      <c r="N6071" s="49"/>
      <c r="O6071" s="644"/>
      <c r="P6071" s="644"/>
      <c r="Q6071" s="1290"/>
      <c r="R6071" s="644"/>
      <c r="S6071" s="48"/>
      <c r="T6071" s="1434"/>
      <c r="U6071" s="48"/>
      <c r="V6071" s="48"/>
    </row>
    <row r="6072" spans="7:22">
      <c r="G6072" s="48"/>
      <c r="H6072" s="48"/>
      <c r="I6072" s="1432"/>
      <c r="J6072" s="49"/>
      <c r="K6072" s="1498"/>
      <c r="L6072" s="49"/>
      <c r="M6072" s="1498"/>
      <c r="N6072" s="49"/>
      <c r="O6072" s="644"/>
      <c r="P6072" s="644"/>
      <c r="Q6072" s="1290"/>
      <c r="R6072" s="644"/>
      <c r="S6072" s="48"/>
      <c r="T6072" s="1434"/>
      <c r="U6072" s="48"/>
      <c r="V6072" s="48"/>
    </row>
    <row r="6073" spans="7:22">
      <c r="G6073" s="48"/>
      <c r="H6073" s="48"/>
      <c r="I6073" s="1432"/>
      <c r="J6073" s="49"/>
      <c r="K6073" s="1498"/>
      <c r="L6073" s="49"/>
      <c r="M6073" s="1498"/>
      <c r="N6073" s="49"/>
      <c r="O6073" s="644"/>
      <c r="P6073" s="644"/>
      <c r="Q6073" s="1290"/>
      <c r="R6073" s="644"/>
      <c r="S6073" s="48"/>
      <c r="T6073" s="1434"/>
      <c r="U6073" s="48"/>
      <c r="V6073" s="48"/>
    </row>
    <row r="6074" spans="7:22">
      <c r="G6074" s="48"/>
      <c r="H6074" s="48"/>
      <c r="I6074" s="48"/>
      <c r="J6074" s="49"/>
      <c r="K6074" s="1498"/>
      <c r="L6074" s="49"/>
      <c r="M6074" s="1498"/>
      <c r="N6074" s="49"/>
      <c r="O6074" s="644"/>
      <c r="P6074" s="644"/>
      <c r="Q6074" s="1290"/>
      <c r="R6074" s="644"/>
      <c r="S6074" s="48"/>
      <c r="T6074" s="1434"/>
      <c r="U6074" s="48"/>
      <c r="V6074" s="48"/>
    </row>
    <row r="6075" spans="7:22">
      <c r="G6075" s="48"/>
      <c r="H6075" s="48"/>
      <c r="I6075" s="48"/>
      <c r="J6075" s="49"/>
      <c r="K6075" s="1498"/>
      <c r="L6075" s="49"/>
      <c r="M6075" s="1498"/>
      <c r="N6075" s="49"/>
      <c r="O6075" s="644"/>
      <c r="P6075" s="644"/>
      <c r="Q6075" s="1290"/>
      <c r="R6075" s="644"/>
      <c r="S6075" s="48"/>
      <c r="T6075" s="1434"/>
      <c r="U6075" s="48"/>
      <c r="V6075" s="48"/>
    </row>
    <row r="6076" spans="7:22">
      <c r="G6076" s="48"/>
      <c r="H6076" s="48"/>
      <c r="I6076" s="48"/>
      <c r="J6076" s="49"/>
      <c r="K6076" s="1498"/>
      <c r="L6076" s="49"/>
      <c r="M6076" s="1498"/>
      <c r="N6076" s="49"/>
      <c r="O6076" s="644"/>
      <c r="P6076" s="644"/>
      <c r="Q6076" s="1290"/>
      <c r="R6076" s="644"/>
      <c r="S6076" s="48"/>
      <c r="T6076" s="1434"/>
      <c r="U6076" s="48"/>
      <c r="V6076" s="48"/>
    </row>
    <row r="6077" spans="7:22">
      <c r="G6077" s="48"/>
      <c r="H6077" s="48"/>
      <c r="I6077" s="48"/>
      <c r="J6077" s="49"/>
      <c r="K6077" s="1498"/>
      <c r="L6077" s="49"/>
      <c r="M6077" s="1498"/>
      <c r="N6077" s="49"/>
      <c r="O6077" s="644"/>
      <c r="P6077" s="644"/>
      <c r="Q6077" s="1290"/>
      <c r="R6077" s="644"/>
      <c r="S6077" s="48"/>
      <c r="T6077" s="1434"/>
      <c r="U6077" s="48"/>
      <c r="V6077" s="48"/>
    </row>
    <row r="6078" spans="7:22">
      <c r="G6078" s="48"/>
      <c r="H6078" s="48"/>
      <c r="I6078" s="48"/>
      <c r="J6078" s="954">
        <f>SUM(J6058:J6077)</f>
        <v>510340000</v>
      </c>
      <c r="K6078" s="954"/>
      <c r="L6078" s="954">
        <f>SUM(L6058:L6077)</f>
        <v>32400000</v>
      </c>
      <c r="M6078" s="1498"/>
      <c r="N6078" s="954">
        <f>SUM(N6058:N6077)</f>
        <v>905650000</v>
      </c>
      <c r="O6078" s="644"/>
      <c r="P6078" s="969">
        <f>SUM(P6058:P6065)</f>
        <v>38600000</v>
      </c>
      <c r="Q6078" s="969"/>
      <c r="R6078" s="969">
        <f>SUM(R6058:R6077)</f>
        <v>0</v>
      </c>
      <c r="S6078" s="48"/>
      <c r="T6078" s="1178">
        <f>SUM(T6058:T6077)</f>
        <v>5300</v>
      </c>
      <c r="U6078" s="48"/>
      <c r="V6078" s="878">
        <f>SUM(V6058:V6077)</f>
        <v>0</v>
      </c>
    </row>
    <row r="6079" spans="7:22">
      <c r="T6079" s="1433"/>
    </row>
    <row r="6080" spans="7:22">
      <c r="T6080" s="1433"/>
    </row>
    <row r="6081" spans="7:22">
      <c r="R6081" s="661"/>
      <c r="T6081" s="1433"/>
    </row>
    <row r="6082" spans="7:22">
      <c r="T6082" s="1433"/>
    </row>
    <row r="6083" spans="7:22">
      <c r="K6083" s="3" t="s">
        <v>5310</v>
      </c>
      <c r="T6083" s="1433"/>
    </row>
    <row r="6084" spans="7:22">
      <c r="I6084" s="946"/>
      <c r="M6084" s="1533" t="s">
        <v>3699</v>
      </c>
      <c r="O6084" s="1535" t="s">
        <v>3741</v>
      </c>
      <c r="P6084" s="1512">
        <f>P6078-R6078</f>
        <v>38600000</v>
      </c>
      <c r="S6084" s="906" t="s">
        <v>4049</v>
      </c>
      <c r="T6084" s="1107">
        <f>T6078-V6078</f>
        <v>5300</v>
      </c>
    </row>
    <row r="6085" spans="7:22">
      <c r="G6085" s="1574" t="s">
        <v>3530</v>
      </c>
      <c r="H6085" s="1574"/>
      <c r="I6085" s="1574"/>
      <c r="J6085" s="3">
        <f>J6078+L6078</f>
        <v>542740000</v>
      </c>
      <c r="K6085" s="1009"/>
      <c r="L6085" s="3"/>
      <c r="M6085" s="1533" t="s">
        <v>3664</v>
      </c>
      <c r="N6085" s="1527"/>
      <c r="O6085" s="1535" t="s">
        <v>4066</v>
      </c>
      <c r="P6085" s="1512"/>
      <c r="T6085" s="1433"/>
    </row>
    <row r="6086" spans="7:22">
      <c r="G6086" s="1574" t="s">
        <v>3512</v>
      </c>
      <c r="H6086" s="1574"/>
      <c r="I6086" s="1574"/>
      <c r="J6086" s="3">
        <f>N6078-J6085</f>
        <v>362910000</v>
      </c>
      <c r="K6086" s="1009"/>
      <c r="L6086" s="3"/>
      <c r="M6086" s="1528"/>
      <c r="O6086" s="1529"/>
      <c r="Q6086" s="661"/>
      <c r="T6086" s="1433"/>
    </row>
    <row r="6087" spans="7:22">
      <c r="G6087" s="1574" t="s">
        <v>3531</v>
      </c>
      <c r="H6087" s="1574"/>
      <c r="I6087" s="1574"/>
      <c r="J6087" s="3">
        <f>+T6084</f>
        <v>5300</v>
      </c>
      <c r="Q6087" s="3"/>
      <c r="T6087" s="1433"/>
    </row>
    <row r="6088" spans="7:22">
      <c r="G6088" s="1564" t="s">
        <v>4455</v>
      </c>
      <c r="H6088" s="1564"/>
      <c r="I6088" s="1564"/>
      <c r="J6088" s="3">
        <f>+P6084</f>
        <v>38600000</v>
      </c>
      <c r="R6088" s="3"/>
      <c r="T6088" s="1433"/>
    </row>
    <row r="6089" spans="7:22">
      <c r="T6089" s="1433"/>
    </row>
    <row r="6090" spans="7:22">
      <c r="T6090" s="1433"/>
    </row>
    <row r="6091" spans="7:22">
      <c r="G6091" s="1008">
        <v>46135</v>
      </c>
      <c r="H6091" s="1169"/>
      <c r="I6091" s="1575" t="s">
        <v>3510</v>
      </c>
      <c r="J6091" s="1576"/>
      <c r="K6091" s="1575" t="s">
        <v>3509</v>
      </c>
      <c r="L6091" s="1576"/>
      <c r="M6091" s="1575" t="s">
        <v>3541</v>
      </c>
      <c r="N6091" s="1576"/>
      <c r="O6091" s="1577" t="s">
        <v>3598</v>
      </c>
      <c r="P6091" s="1578"/>
      <c r="Q6091" s="1579" t="s">
        <v>3599</v>
      </c>
      <c r="R6091" s="1580"/>
      <c r="S6091" s="1581" t="s">
        <v>3953</v>
      </c>
      <c r="T6091" s="1582"/>
      <c r="U6091" s="1581" t="s">
        <v>3954</v>
      </c>
      <c r="V6091" s="1582"/>
    </row>
    <row r="6092" spans="7:22">
      <c r="G6092" s="1097"/>
      <c r="H6092" s="1261"/>
      <c r="I6092" s="1441" t="s">
        <v>5445</v>
      </c>
      <c r="J6092" s="1081">
        <v>20700000</v>
      </c>
      <c r="K6092" s="1493" t="s">
        <v>5442</v>
      </c>
      <c r="L6092" s="1081">
        <v>140000000</v>
      </c>
      <c r="M6092" s="1495" t="s">
        <v>4613</v>
      </c>
      <c r="N6092" s="1495">
        <v>362900000</v>
      </c>
      <c r="O6092" s="1383"/>
      <c r="P6092" s="644"/>
      <c r="Q6092" s="1279"/>
      <c r="R6092" s="644"/>
      <c r="S6092" s="1223"/>
      <c r="T6092" s="1191"/>
      <c r="U6092" s="1232"/>
      <c r="V6092" s="48"/>
    </row>
    <row r="6093" spans="7:22">
      <c r="G6093" s="1098"/>
      <c r="H6093" s="1172"/>
      <c r="I6093" s="1441" t="s">
        <v>5446</v>
      </c>
      <c r="J6093" s="1081">
        <v>18000000</v>
      </c>
      <c r="K6093" s="1493"/>
      <c r="L6093" s="1081"/>
      <c r="M6093" s="1493" t="s">
        <v>5444</v>
      </c>
      <c r="N6093" s="1081">
        <v>2100000</v>
      </c>
      <c r="O6093" s="1383" t="s">
        <v>5262</v>
      </c>
      <c r="P6093" s="644">
        <v>38600000</v>
      </c>
      <c r="Q6093" s="1410"/>
      <c r="R6093" s="1290"/>
      <c r="S6093" s="1389" t="s">
        <v>4613</v>
      </c>
      <c r="T6093" s="1191">
        <v>5300</v>
      </c>
      <c r="U6093" s="48"/>
      <c r="V6093" s="49"/>
    </row>
    <row r="6094" spans="7:22">
      <c r="G6094" s="48"/>
      <c r="H6094" s="48"/>
      <c r="I6094" s="1444" t="s">
        <v>5448</v>
      </c>
      <c r="J6094" s="1081">
        <v>27900000</v>
      </c>
      <c r="K6094" s="1493" t="s">
        <v>4455</v>
      </c>
      <c r="L6094" s="1081">
        <v>400000</v>
      </c>
      <c r="M6094" s="1495" t="s">
        <v>4529</v>
      </c>
      <c r="N6094" s="49">
        <v>5000000</v>
      </c>
      <c r="O6094" s="1495"/>
      <c r="P6094" s="644"/>
      <c r="Q6094" s="1412"/>
      <c r="R6094" s="644"/>
      <c r="S6094" s="1442"/>
      <c r="T6094" s="1191"/>
      <c r="U6094" s="1443" t="s">
        <v>5443</v>
      </c>
      <c r="V6094" s="1191">
        <v>3000</v>
      </c>
    </row>
    <row r="6095" spans="7:22">
      <c r="G6095" s="48"/>
      <c r="H6095" s="48"/>
      <c r="I6095" s="1444" t="s">
        <v>5449</v>
      </c>
      <c r="J6095" s="1393">
        <v>37200000</v>
      </c>
      <c r="K6095" s="1495" t="s">
        <v>4619</v>
      </c>
      <c r="L6095" s="1081">
        <v>500000</v>
      </c>
      <c r="M6095" s="1495" t="s">
        <v>4455</v>
      </c>
      <c r="N6095" s="49">
        <v>12600000</v>
      </c>
      <c r="O6095" s="1383"/>
      <c r="P6095" s="644"/>
      <c r="Q6095" s="1422"/>
      <c r="R6095" s="644"/>
      <c r="S6095" s="1442"/>
      <c r="T6095" s="1434"/>
      <c r="U6095" s="1424"/>
      <c r="V6095" s="1434"/>
    </row>
    <row r="6096" spans="7:22">
      <c r="G6096" s="48"/>
      <c r="H6096" s="48"/>
      <c r="I6096" s="1441" t="s">
        <v>5450</v>
      </c>
      <c r="J6096" s="1081">
        <v>18400000</v>
      </c>
      <c r="K6096" s="1495" t="s">
        <v>5447</v>
      </c>
      <c r="L6096" s="1081">
        <v>20000000</v>
      </c>
      <c r="M6096" s="1495" t="s">
        <v>4455</v>
      </c>
      <c r="N6096" s="49">
        <v>1200000</v>
      </c>
      <c r="O6096" s="1383"/>
      <c r="P6096" s="644"/>
      <c r="Q6096" s="1422"/>
      <c r="R6096" s="644"/>
      <c r="S6096" s="1443"/>
      <c r="T6096" s="1434"/>
      <c r="U6096" s="1408"/>
      <c r="V6096" s="49"/>
    </row>
    <row r="6097" spans="7:22">
      <c r="G6097" s="48"/>
      <c r="H6097" s="48"/>
      <c r="I6097" s="1444" t="s">
        <v>5452</v>
      </c>
      <c r="J6097" s="1081">
        <v>46000000</v>
      </c>
      <c r="K6097" s="1495" t="s">
        <v>4541</v>
      </c>
      <c r="L6097" s="1081">
        <v>200000</v>
      </c>
      <c r="M6097" s="1495" t="s">
        <v>5451</v>
      </c>
      <c r="N6097" s="49">
        <v>30000000</v>
      </c>
      <c r="O6097" s="1383"/>
      <c r="P6097" s="644"/>
      <c r="Q6097" s="1382"/>
      <c r="R6097" s="644"/>
      <c r="S6097" s="1358"/>
      <c r="T6097" s="1434"/>
      <c r="U6097" s="1416"/>
      <c r="V6097" s="49"/>
    </row>
    <row r="6098" spans="7:22">
      <c r="G6098" s="48"/>
      <c r="H6098" s="48"/>
      <c r="I6098" s="1444"/>
      <c r="J6098" s="1081"/>
      <c r="K6098" s="1493" t="s">
        <v>4647</v>
      </c>
      <c r="L6098" s="1081">
        <v>2000000</v>
      </c>
      <c r="M6098" s="1493"/>
      <c r="N6098" s="49"/>
      <c r="O6098" s="1383"/>
      <c r="P6098" s="644"/>
      <c r="Q6098" s="1383"/>
      <c r="R6098" s="644"/>
      <c r="S6098" s="48"/>
      <c r="T6098" s="1434"/>
      <c r="U6098" s="1438"/>
      <c r="V6098" s="49"/>
    </row>
    <row r="6099" spans="7:22">
      <c r="G6099" s="48"/>
      <c r="H6099" s="48"/>
      <c r="I6099" s="1444"/>
      <c r="J6099" s="1081"/>
      <c r="K6099" s="1495" t="s">
        <v>4965</v>
      </c>
      <c r="L6099" s="49">
        <v>2000000</v>
      </c>
      <c r="M6099" s="1495"/>
      <c r="N6099" s="49"/>
      <c r="O6099" s="1383"/>
      <c r="P6099" s="644"/>
      <c r="Q6099" s="1385"/>
      <c r="R6099" s="644"/>
      <c r="S6099" s="48"/>
      <c r="T6099" s="1434"/>
      <c r="U6099" s="1416"/>
      <c r="V6099" s="49"/>
    </row>
    <row r="6100" spans="7:22">
      <c r="G6100" s="48"/>
      <c r="H6100" s="48"/>
      <c r="I6100" s="1444"/>
      <c r="J6100" s="1081"/>
      <c r="K6100" s="1493"/>
      <c r="L6100" s="1081"/>
      <c r="M6100" s="1495"/>
      <c r="N6100" s="49"/>
      <c r="O6100" s="644"/>
      <c r="P6100" s="644"/>
      <c r="Q6100" s="1383"/>
      <c r="R6100" s="644"/>
      <c r="S6100" s="48"/>
      <c r="T6100" s="1434"/>
      <c r="U6100" s="1408"/>
      <c r="V6100" s="49"/>
    </row>
    <row r="6101" spans="7:22">
      <c r="G6101" s="48"/>
      <c r="H6101" s="48"/>
      <c r="I6101" s="1444"/>
      <c r="J6101" s="1081"/>
      <c r="K6101" s="1509"/>
      <c r="L6101" s="1081"/>
      <c r="M6101" s="1498"/>
      <c r="N6101" s="49"/>
      <c r="O6101" s="644"/>
      <c r="P6101" s="644"/>
      <c r="Q6101" s="1290"/>
      <c r="R6101" s="644"/>
      <c r="S6101" s="48"/>
      <c r="T6101" s="1434"/>
      <c r="U6101" s="1408"/>
      <c r="V6101" s="49"/>
    </row>
    <row r="6102" spans="7:22">
      <c r="G6102" s="48"/>
      <c r="H6102" s="48"/>
      <c r="I6102" s="1444"/>
      <c r="J6102" s="1081"/>
      <c r="K6102" s="1493"/>
      <c r="L6102" s="1081"/>
      <c r="M6102" s="1498"/>
      <c r="N6102" s="49"/>
      <c r="O6102" s="644"/>
      <c r="P6102" s="644"/>
      <c r="Q6102" s="1383"/>
      <c r="R6102" s="644"/>
      <c r="S6102" s="48"/>
      <c r="T6102" s="1434"/>
      <c r="U6102" s="48"/>
      <c r="V6102" s="48"/>
    </row>
    <row r="6103" spans="7:22">
      <c r="G6103" s="48"/>
      <c r="H6103" s="48"/>
      <c r="I6103" s="1444"/>
      <c r="J6103" s="1081"/>
      <c r="K6103" s="1509"/>
      <c r="L6103" s="1081"/>
      <c r="M6103" s="1498"/>
      <c r="N6103" s="49"/>
      <c r="O6103" s="644"/>
      <c r="P6103" s="644"/>
      <c r="Q6103" s="1290"/>
      <c r="R6103" s="644"/>
      <c r="S6103" s="48"/>
      <c r="T6103" s="1434"/>
      <c r="U6103" s="48"/>
      <c r="V6103" s="48"/>
    </row>
    <row r="6104" spans="7:22">
      <c r="G6104" s="48"/>
      <c r="H6104" s="48"/>
      <c r="I6104" s="1444"/>
      <c r="J6104" s="1081"/>
      <c r="K6104" s="1509"/>
      <c r="L6104" s="1081"/>
      <c r="M6104" s="1498"/>
      <c r="N6104" s="49"/>
      <c r="O6104" s="644"/>
      <c r="P6104" s="644"/>
      <c r="Q6104" s="1290"/>
      <c r="R6104" s="644"/>
      <c r="S6104" s="48"/>
      <c r="T6104" s="1434"/>
      <c r="U6104" s="48"/>
      <c r="V6104" s="48"/>
    </row>
    <row r="6105" spans="7:22">
      <c r="G6105" s="48"/>
      <c r="H6105" s="48"/>
      <c r="I6105" s="1432"/>
      <c r="J6105" s="49"/>
      <c r="K6105" s="1498"/>
      <c r="L6105" s="49"/>
      <c r="M6105" s="1498"/>
      <c r="N6105" s="49"/>
      <c r="O6105" s="644"/>
      <c r="P6105" s="644"/>
      <c r="Q6105" s="1290"/>
      <c r="R6105" s="644"/>
      <c r="S6105" s="48"/>
      <c r="T6105" s="1434"/>
      <c r="U6105" s="48"/>
      <c r="V6105" s="48"/>
    </row>
    <row r="6106" spans="7:22">
      <c r="G6106" s="48"/>
      <c r="H6106" s="48"/>
      <c r="I6106" s="1432"/>
      <c r="J6106" s="49"/>
      <c r="K6106" s="1498"/>
      <c r="L6106" s="49"/>
      <c r="M6106" s="1498"/>
      <c r="N6106" s="49"/>
      <c r="O6106" s="644"/>
      <c r="P6106" s="644"/>
      <c r="Q6106" s="1290"/>
      <c r="R6106" s="644"/>
      <c r="S6106" s="48"/>
      <c r="T6106" s="1434"/>
      <c r="U6106" s="48"/>
      <c r="V6106" s="48"/>
    </row>
    <row r="6107" spans="7:22">
      <c r="G6107" s="48"/>
      <c r="H6107" s="48"/>
      <c r="I6107" s="1432"/>
      <c r="J6107" s="49"/>
      <c r="K6107" s="1498"/>
      <c r="L6107" s="49"/>
      <c r="M6107" s="1498"/>
      <c r="N6107" s="49"/>
      <c r="O6107" s="644"/>
      <c r="P6107" s="644"/>
      <c r="Q6107" s="1290"/>
      <c r="R6107" s="644"/>
      <c r="S6107" s="48"/>
      <c r="T6107" s="1434"/>
      <c r="U6107" s="48"/>
      <c r="V6107" s="48"/>
    </row>
    <row r="6108" spans="7:22">
      <c r="G6108" s="48"/>
      <c r="H6108" s="48"/>
      <c r="I6108" s="48"/>
      <c r="J6108" s="49"/>
      <c r="K6108" s="1498"/>
      <c r="L6108" s="49"/>
      <c r="M6108" s="1498"/>
      <c r="N6108" s="49"/>
      <c r="O6108" s="644"/>
      <c r="P6108" s="644"/>
      <c r="Q6108" s="1290"/>
      <c r="R6108" s="644"/>
      <c r="S6108" s="48"/>
      <c r="T6108" s="1434"/>
      <c r="U6108" s="48"/>
      <c r="V6108" s="48"/>
    </row>
    <row r="6109" spans="7:22">
      <c r="G6109" s="48"/>
      <c r="H6109" s="48"/>
      <c r="I6109" s="48"/>
      <c r="J6109" s="49"/>
      <c r="K6109" s="1498"/>
      <c r="L6109" s="49"/>
      <c r="M6109" s="1498"/>
      <c r="N6109" s="49"/>
      <c r="O6109" s="644"/>
      <c r="P6109" s="644"/>
      <c r="Q6109" s="1290"/>
      <c r="R6109" s="644"/>
      <c r="S6109" s="48"/>
      <c r="T6109" s="1434"/>
      <c r="U6109" s="48"/>
      <c r="V6109" s="48"/>
    </row>
    <row r="6110" spans="7:22">
      <c r="G6110" s="48"/>
      <c r="H6110" s="48"/>
      <c r="I6110" s="48"/>
      <c r="J6110" s="49"/>
      <c r="K6110" s="1498"/>
      <c r="L6110" s="49"/>
      <c r="M6110" s="1498"/>
      <c r="N6110" s="49"/>
      <c r="O6110" s="644"/>
      <c r="P6110" s="644"/>
      <c r="Q6110" s="1290"/>
      <c r="R6110" s="644"/>
      <c r="S6110" s="48"/>
      <c r="T6110" s="1434"/>
      <c r="U6110" s="48"/>
      <c r="V6110" s="48"/>
    </row>
    <row r="6111" spans="7:22">
      <c r="G6111" s="48"/>
      <c r="H6111" s="48"/>
      <c r="I6111" s="48"/>
      <c r="J6111" s="49"/>
      <c r="K6111" s="1498"/>
      <c r="L6111" s="49"/>
      <c r="M6111" s="1498"/>
      <c r="N6111" s="49"/>
      <c r="O6111" s="644"/>
      <c r="P6111" s="644"/>
      <c r="Q6111" s="1290"/>
      <c r="R6111" s="644"/>
      <c r="S6111" s="48"/>
      <c r="T6111" s="1434"/>
      <c r="U6111" s="48"/>
      <c r="V6111" s="48"/>
    </row>
    <row r="6112" spans="7:22">
      <c r="G6112" s="48"/>
      <c r="H6112" s="48"/>
      <c r="I6112" s="48"/>
      <c r="J6112" s="954">
        <f>SUM(J6092:J6111)</f>
        <v>168200000</v>
      </c>
      <c r="K6112" s="954"/>
      <c r="L6112" s="954">
        <f>SUM(L6092:L6111)</f>
        <v>165100000</v>
      </c>
      <c r="M6112" s="1498"/>
      <c r="N6112" s="954">
        <f>SUM(N6092:N6111)</f>
        <v>413800000</v>
      </c>
      <c r="O6112" s="644"/>
      <c r="P6112" s="969">
        <f>SUM(P6092:P6099)</f>
        <v>38600000</v>
      </c>
      <c r="Q6112" s="969"/>
      <c r="R6112" s="969">
        <f>SUM(R6092:R6111)</f>
        <v>0</v>
      </c>
      <c r="S6112" s="48"/>
      <c r="T6112" s="1178">
        <f>SUM(T6092:T6111)</f>
        <v>5300</v>
      </c>
      <c r="U6112" s="48"/>
      <c r="V6112" s="878">
        <f>SUM(V6092:V6111)</f>
        <v>3000</v>
      </c>
    </row>
    <row r="6113" spans="7:22">
      <c r="T6113" s="1433"/>
    </row>
    <row r="6114" spans="7:22">
      <c r="T6114" s="1433"/>
    </row>
    <row r="6115" spans="7:22">
      <c r="R6115" s="661"/>
      <c r="T6115" s="1433"/>
    </row>
    <row r="6116" spans="7:22">
      <c r="T6116" s="1433"/>
    </row>
    <row r="6117" spans="7:22">
      <c r="K6117" s="3" t="s">
        <v>5310</v>
      </c>
      <c r="T6117" s="1433"/>
    </row>
    <row r="6118" spans="7:22">
      <c r="I6118" s="946"/>
      <c r="M6118" s="1533" t="s">
        <v>3699</v>
      </c>
      <c r="O6118" s="1535" t="s">
        <v>3741</v>
      </c>
      <c r="P6118" s="1512">
        <f>P6112-R6112</f>
        <v>38600000</v>
      </c>
      <c r="S6118" s="906" t="s">
        <v>4049</v>
      </c>
      <c r="T6118" s="1107">
        <f>T6112-V6112</f>
        <v>2300</v>
      </c>
    </row>
    <row r="6119" spans="7:22">
      <c r="G6119" s="1574" t="s">
        <v>3530</v>
      </c>
      <c r="H6119" s="1574"/>
      <c r="I6119" s="1574"/>
      <c r="J6119" s="3">
        <f>J6112+L6112</f>
        <v>333300000</v>
      </c>
      <c r="K6119" s="1009"/>
      <c r="L6119" s="3"/>
      <c r="M6119" s="1533" t="s">
        <v>3664</v>
      </c>
      <c r="N6119" s="1527"/>
      <c r="O6119" s="1535" t="s">
        <v>4066</v>
      </c>
      <c r="P6119" s="1512"/>
      <c r="T6119" s="1433"/>
    </row>
    <row r="6120" spans="7:22">
      <c r="G6120" s="1574" t="s">
        <v>3512</v>
      </c>
      <c r="H6120" s="1574"/>
      <c r="I6120" s="1574"/>
      <c r="J6120" s="3">
        <f>N6112-J6119</f>
        <v>80500000</v>
      </c>
      <c r="K6120" s="1009"/>
      <c r="L6120" s="3"/>
      <c r="M6120" s="1528"/>
      <c r="O6120" s="1529"/>
      <c r="Q6120" s="661"/>
      <c r="T6120" s="1433"/>
    </row>
    <row r="6121" spans="7:22">
      <c r="G6121" s="1574" t="s">
        <v>3531</v>
      </c>
      <c r="H6121" s="1574"/>
      <c r="I6121" s="1574"/>
      <c r="J6121" s="3">
        <f>+T6118</f>
        <v>2300</v>
      </c>
      <c r="Q6121" s="3"/>
      <c r="T6121" s="1433"/>
    </row>
    <row r="6122" spans="7:22">
      <c r="G6122" s="1564" t="s">
        <v>4455</v>
      </c>
      <c r="H6122" s="1564"/>
      <c r="I6122" s="1564"/>
      <c r="J6122" s="3">
        <f>+P6118</f>
        <v>38600000</v>
      </c>
      <c r="R6122" s="3"/>
      <c r="T6122" s="1433"/>
    </row>
    <row r="6123" spans="7:22">
      <c r="T6123" s="1433"/>
    </row>
    <row r="6124" spans="7:22">
      <c r="T6124" s="1433"/>
    </row>
    <row r="6125" spans="7:22">
      <c r="G6125" s="1008">
        <v>46136</v>
      </c>
      <c r="H6125" s="1169"/>
      <c r="I6125" s="1575" t="s">
        <v>3510</v>
      </c>
      <c r="J6125" s="1576"/>
      <c r="K6125" s="1575" t="s">
        <v>3509</v>
      </c>
      <c r="L6125" s="1576"/>
      <c r="M6125" s="1575" t="s">
        <v>3541</v>
      </c>
      <c r="N6125" s="1576"/>
      <c r="O6125" s="1577" t="s">
        <v>3598</v>
      </c>
      <c r="P6125" s="1578"/>
      <c r="Q6125" s="1579" t="s">
        <v>3599</v>
      </c>
      <c r="R6125" s="1580"/>
      <c r="S6125" s="1581" t="s">
        <v>3953</v>
      </c>
      <c r="T6125" s="1582"/>
      <c r="U6125" s="1581" t="s">
        <v>3954</v>
      </c>
      <c r="V6125" s="1582"/>
    </row>
    <row r="6126" spans="7:22">
      <c r="G6126" s="1097"/>
      <c r="H6126" s="1261"/>
      <c r="I6126" s="1447" t="s">
        <v>5455</v>
      </c>
      <c r="J6126" s="1081">
        <v>45000000</v>
      </c>
      <c r="K6126" s="1493" t="s">
        <v>5456</v>
      </c>
      <c r="L6126" s="1081">
        <v>500000</v>
      </c>
      <c r="M6126" s="1495" t="s">
        <v>4613</v>
      </c>
      <c r="N6126" s="1495">
        <v>80000000</v>
      </c>
      <c r="O6126" s="1383"/>
      <c r="P6126" s="644"/>
      <c r="Q6126" s="1279"/>
      <c r="R6126" s="644"/>
      <c r="S6126" s="1223"/>
      <c r="T6126" s="1191"/>
      <c r="U6126" s="1232"/>
      <c r="V6126" s="48"/>
    </row>
    <row r="6127" spans="7:22">
      <c r="G6127" s="1098"/>
      <c r="H6127" s="1172"/>
      <c r="I6127" s="1447" t="s">
        <v>5459</v>
      </c>
      <c r="J6127" s="1081">
        <v>27600000</v>
      </c>
      <c r="K6127" s="1493" t="s">
        <v>5457</v>
      </c>
      <c r="L6127" s="1081">
        <v>900000</v>
      </c>
      <c r="M6127" s="1493" t="s">
        <v>5101</v>
      </c>
      <c r="N6127" s="1081">
        <v>1198000000</v>
      </c>
      <c r="O6127" s="1383" t="s">
        <v>5262</v>
      </c>
      <c r="P6127" s="644">
        <v>38600000</v>
      </c>
      <c r="Q6127" s="1410"/>
      <c r="R6127" s="1290"/>
      <c r="S6127" s="1389" t="s">
        <v>4613</v>
      </c>
      <c r="T6127" s="1191">
        <v>2300</v>
      </c>
      <c r="U6127" s="48"/>
      <c r="V6127" s="49"/>
    </row>
    <row r="6128" spans="7:22">
      <c r="G6128" s="48"/>
      <c r="H6128" s="48"/>
      <c r="I6128" s="1447" t="s">
        <v>5460</v>
      </c>
      <c r="J6128" s="1081">
        <f>30000000*0.93</f>
        <v>27900000</v>
      </c>
      <c r="K6128" s="1493" t="s">
        <v>5466</v>
      </c>
      <c r="L6128" s="1081">
        <v>10000000</v>
      </c>
      <c r="M6128" s="1495" t="s">
        <v>5453</v>
      </c>
      <c r="N6128" s="49">
        <v>20000000</v>
      </c>
      <c r="O6128" s="1495"/>
      <c r="P6128" s="644"/>
      <c r="Q6128" s="1412"/>
      <c r="R6128" s="644"/>
      <c r="S6128" s="1448" t="s">
        <v>5454</v>
      </c>
      <c r="T6128" s="1191">
        <v>900</v>
      </c>
      <c r="U6128" s="1443"/>
      <c r="V6128" s="1191"/>
    </row>
    <row r="6129" spans="7:22">
      <c r="G6129" s="48"/>
      <c r="H6129" s="48"/>
      <c r="I6129" s="1447" t="s">
        <v>5461</v>
      </c>
      <c r="J6129" s="1081">
        <v>46500000</v>
      </c>
      <c r="K6129" s="1493" t="s">
        <v>4822</v>
      </c>
      <c r="L6129" s="1081">
        <v>13300000</v>
      </c>
      <c r="M6129" s="1495" t="s">
        <v>5038</v>
      </c>
      <c r="N6129" s="49">
        <v>11500000</v>
      </c>
      <c r="O6129" s="1383"/>
      <c r="P6129" s="644"/>
      <c r="Q6129" s="1422"/>
      <c r="R6129" s="644"/>
      <c r="S6129" s="1448" t="s">
        <v>5458</v>
      </c>
      <c r="T6129" s="1434">
        <v>200</v>
      </c>
      <c r="U6129" s="1424"/>
      <c r="V6129" s="1434"/>
    </row>
    <row r="6130" spans="7:22">
      <c r="G6130" s="48"/>
      <c r="H6130" s="48"/>
      <c r="I6130" s="1447" t="s">
        <v>5462</v>
      </c>
      <c r="J6130" s="1081">
        <f>20000000*0.93</f>
        <v>18600000</v>
      </c>
      <c r="K6130" s="1493" t="s">
        <v>4495</v>
      </c>
      <c r="L6130" s="1081">
        <v>5000000</v>
      </c>
      <c r="M6130" s="1495" t="s">
        <v>5329</v>
      </c>
      <c r="N6130" s="49">
        <v>16000000</v>
      </c>
      <c r="O6130" s="1383"/>
      <c r="P6130" s="644"/>
      <c r="Q6130" s="1422"/>
      <c r="R6130" s="644"/>
      <c r="S6130" s="1449" t="s">
        <v>5329</v>
      </c>
      <c r="T6130" s="1434">
        <v>500</v>
      </c>
      <c r="U6130" s="1408"/>
      <c r="V6130" s="49"/>
    </row>
    <row r="6131" spans="7:22">
      <c r="G6131" s="48"/>
      <c r="H6131" s="48"/>
      <c r="I6131" s="1447" t="s">
        <v>5463</v>
      </c>
      <c r="J6131" s="1081">
        <f>30000000*0.93</f>
        <v>27900000</v>
      </c>
      <c r="K6131" s="1493" t="s">
        <v>4647</v>
      </c>
      <c r="L6131" s="1081">
        <v>4000000</v>
      </c>
      <c r="M6131" s="1495" t="s">
        <v>2316</v>
      </c>
      <c r="N6131" s="49">
        <v>52150000</v>
      </c>
      <c r="O6131" s="1383"/>
      <c r="P6131" s="644"/>
      <c r="Q6131" s="1382"/>
      <c r="R6131" s="644"/>
      <c r="S6131" s="1449" t="s">
        <v>2316</v>
      </c>
      <c r="T6131" s="1434">
        <v>400</v>
      </c>
      <c r="U6131" s="1416"/>
      <c r="V6131" s="49"/>
    </row>
    <row r="6132" spans="7:22">
      <c r="G6132" s="48"/>
      <c r="H6132" s="48"/>
      <c r="I6132" s="1447" t="s">
        <v>5464</v>
      </c>
      <c r="J6132" s="1081">
        <v>27300000</v>
      </c>
      <c r="K6132" s="1493"/>
      <c r="L6132" s="1081"/>
      <c r="M6132" s="1493" t="s">
        <v>5471</v>
      </c>
      <c r="N6132" s="49">
        <v>25500000</v>
      </c>
      <c r="O6132" s="1383"/>
      <c r="P6132" s="644"/>
      <c r="Q6132" s="1383"/>
      <c r="R6132" s="644"/>
      <c r="S6132" s="1451" t="s">
        <v>5471</v>
      </c>
      <c r="T6132" s="1434">
        <v>500</v>
      </c>
      <c r="U6132" s="1438"/>
      <c r="V6132" s="49"/>
    </row>
    <row r="6133" spans="7:22">
      <c r="G6133" s="48"/>
      <c r="H6133" s="48"/>
      <c r="I6133" s="1447" t="s">
        <v>5465</v>
      </c>
      <c r="J6133" s="1081">
        <v>30360000</v>
      </c>
      <c r="K6133" s="1493"/>
      <c r="L6133" s="1081"/>
      <c r="M6133" s="1495"/>
      <c r="N6133" s="49"/>
      <c r="O6133" s="1383"/>
      <c r="P6133" s="644"/>
      <c r="Q6133" s="1385"/>
      <c r="R6133" s="644"/>
      <c r="S6133" s="48"/>
      <c r="T6133" s="1434"/>
      <c r="U6133" s="1416"/>
      <c r="V6133" s="49"/>
    </row>
    <row r="6134" spans="7:22">
      <c r="G6134" s="48"/>
      <c r="H6134" s="48"/>
      <c r="I6134" s="1447" t="s">
        <v>5467</v>
      </c>
      <c r="J6134" s="1081">
        <v>46000000</v>
      </c>
      <c r="K6134" s="1493"/>
      <c r="L6134" s="1081"/>
      <c r="M6134" s="1495"/>
      <c r="N6134" s="49"/>
      <c r="O6134" s="644"/>
      <c r="P6134" s="644"/>
      <c r="Q6134" s="1383"/>
      <c r="R6134" s="644"/>
      <c r="S6134" s="48"/>
      <c r="T6134" s="1434"/>
      <c r="U6134" s="1408"/>
      <c r="V6134" s="49"/>
    </row>
    <row r="6135" spans="7:22">
      <c r="G6135" s="48"/>
      <c r="H6135" s="48"/>
      <c r="I6135" s="1450" t="s">
        <v>5468</v>
      </c>
      <c r="J6135" s="1081">
        <v>29700000</v>
      </c>
      <c r="K6135" s="1509"/>
      <c r="L6135" s="1081"/>
      <c r="M6135" s="1498"/>
      <c r="N6135" s="49"/>
      <c r="O6135" s="644"/>
      <c r="P6135" s="644"/>
      <c r="Q6135" s="1290"/>
      <c r="R6135" s="644"/>
      <c r="S6135" s="48"/>
      <c r="T6135" s="1434"/>
      <c r="U6135" s="1408"/>
      <c r="V6135" s="49"/>
    </row>
    <row r="6136" spans="7:22">
      <c r="G6136" s="48"/>
      <c r="H6136" s="48"/>
      <c r="I6136" s="1450" t="s">
        <v>5469</v>
      </c>
      <c r="J6136" s="1081">
        <v>37200000</v>
      </c>
      <c r="K6136" s="1493"/>
      <c r="L6136" s="1081"/>
      <c r="M6136" s="1498"/>
      <c r="N6136" s="49"/>
      <c r="O6136" s="644"/>
      <c r="P6136" s="644"/>
      <c r="Q6136" s="1383"/>
      <c r="R6136" s="644"/>
      <c r="S6136" s="48"/>
      <c r="T6136" s="1434"/>
      <c r="U6136" s="48"/>
      <c r="V6136" s="48"/>
    </row>
    <row r="6137" spans="7:22">
      <c r="G6137" s="48"/>
      <c r="H6137" s="48"/>
      <c r="I6137" s="1450" t="s">
        <v>5470</v>
      </c>
      <c r="J6137" s="1081">
        <v>35340000</v>
      </c>
      <c r="K6137" s="1509"/>
      <c r="L6137" s="1081"/>
      <c r="M6137" s="1498"/>
      <c r="N6137" s="49"/>
      <c r="O6137" s="644"/>
      <c r="P6137" s="644"/>
      <c r="Q6137" s="1290"/>
      <c r="R6137" s="644"/>
      <c r="S6137" s="48"/>
      <c r="T6137" s="1434"/>
      <c r="U6137" s="48"/>
      <c r="V6137" s="48"/>
    </row>
    <row r="6138" spans="7:22">
      <c r="G6138" s="48"/>
      <c r="H6138" s="48"/>
      <c r="I6138" s="1444"/>
      <c r="J6138" s="1081"/>
      <c r="K6138" s="1509"/>
      <c r="L6138" s="1081"/>
      <c r="M6138" s="1498"/>
      <c r="N6138" s="49"/>
      <c r="O6138" s="644"/>
      <c r="P6138" s="644"/>
      <c r="Q6138" s="1290"/>
      <c r="R6138" s="644"/>
      <c r="S6138" s="48"/>
      <c r="T6138" s="1434"/>
      <c r="U6138" s="48"/>
      <c r="V6138" s="48"/>
    </row>
    <row r="6139" spans="7:22">
      <c r="G6139" s="48"/>
      <c r="H6139" s="48"/>
      <c r="I6139" s="1432"/>
      <c r="J6139" s="49"/>
      <c r="K6139" s="1498"/>
      <c r="L6139" s="49"/>
      <c r="M6139" s="1498"/>
      <c r="N6139" s="49"/>
      <c r="O6139" s="644"/>
      <c r="P6139" s="644"/>
      <c r="Q6139" s="1290"/>
      <c r="R6139" s="644"/>
      <c r="S6139" s="48"/>
      <c r="T6139" s="1434"/>
      <c r="U6139" s="48"/>
      <c r="V6139" s="48"/>
    </row>
    <row r="6140" spans="7:22">
      <c r="G6140" s="48"/>
      <c r="H6140" s="48"/>
      <c r="I6140" s="1432"/>
      <c r="J6140" s="49"/>
      <c r="K6140" s="1498"/>
      <c r="L6140" s="49"/>
      <c r="M6140" s="1498"/>
      <c r="N6140" s="49"/>
      <c r="O6140" s="644"/>
      <c r="P6140" s="644"/>
      <c r="Q6140" s="1290"/>
      <c r="R6140" s="644"/>
      <c r="S6140" s="48"/>
      <c r="T6140" s="1434"/>
      <c r="U6140" s="48"/>
      <c r="V6140" s="48"/>
    </row>
    <row r="6141" spans="7:22">
      <c r="G6141" s="48"/>
      <c r="H6141" s="48"/>
      <c r="I6141" s="1432"/>
      <c r="J6141" s="49"/>
      <c r="K6141" s="1498"/>
      <c r="L6141" s="49"/>
      <c r="M6141" s="1498"/>
      <c r="N6141" s="49"/>
      <c r="O6141" s="644"/>
      <c r="P6141" s="644"/>
      <c r="Q6141" s="1290"/>
      <c r="R6141" s="644"/>
      <c r="S6141" s="48"/>
      <c r="T6141" s="1434"/>
      <c r="U6141" s="48"/>
      <c r="V6141" s="48"/>
    </row>
    <row r="6142" spans="7:22">
      <c r="G6142" s="48"/>
      <c r="H6142" s="48"/>
      <c r="I6142" s="48"/>
      <c r="J6142" s="49"/>
      <c r="K6142" s="1498"/>
      <c r="L6142" s="49"/>
      <c r="M6142" s="1498"/>
      <c r="N6142" s="49"/>
      <c r="O6142" s="644"/>
      <c r="P6142" s="644"/>
      <c r="Q6142" s="1290"/>
      <c r="R6142" s="644"/>
      <c r="S6142" s="48"/>
      <c r="T6142" s="1434"/>
      <c r="U6142" s="48"/>
      <c r="V6142" s="48"/>
    </row>
    <row r="6143" spans="7:22">
      <c r="G6143" s="48"/>
      <c r="H6143" s="48"/>
      <c r="I6143" s="48"/>
      <c r="J6143" s="49"/>
      <c r="K6143" s="1498"/>
      <c r="L6143" s="49"/>
      <c r="M6143" s="1498"/>
      <c r="N6143" s="49"/>
      <c r="O6143" s="644"/>
      <c r="P6143" s="644"/>
      <c r="Q6143" s="1290"/>
      <c r="R6143" s="644"/>
      <c r="S6143" s="48"/>
      <c r="T6143" s="1434"/>
      <c r="U6143" s="48"/>
      <c r="V6143" s="48"/>
    </row>
    <row r="6144" spans="7:22">
      <c r="G6144" s="48"/>
      <c r="H6144" s="48"/>
      <c r="I6144" s="48"/>
      <c r="J6144" s="49"/>
      <c r="K6144" s="1498"/>
      <c r="L6144" s="49"/>
      <c r="M6144" s="1498"/>
      <c r="N6144" s="49"/>
      <c r="O6144" s="644"/>
      <c r="P6144" s="644"/>
      <c r="Q6144" s="1290"/>
      <c r="R6144" s="644"/>
      <c r="S6144" s="48"/>
      <c r="T6144" s="1434"/>
      <c r="U6144" s="48"/>
      <c r="V6144" s="48"/>
    </row>
    <row r="6145" spans="7:22">
      <c r="G6145" s="48"/>
      <c r="H6145" s="48"/>
      <c r="I6145" s="48"/>
      <c r="J6145" s="49"/>
      <c r="K6145" s="1498"/>
      <c r="L6145" s="49"/>
      <c r="M6145" s="1498"/>
      <c r="N6145" s="49"/>
      <c r="O6145" s="644"/>
      <c r="P6145" s="644"/>
      <c r="Q6145" s="1290"/>
      <c r="R6145" s="644"/>
      <c r="S6145" s="48"/>
      <c r="T6145" s="1434"/>
      <c r="U6145" s="48"/>
      <c r="V6145" s="48"/>
    </row>
    <row r="6146" spans="7:22">
      <c r="G6146" s="48"/>
      <c r="H6146" s="48"/>
      <c r="I6146" s="48"/>
      <c r="J6146" s="954">
        <f>SUM(J6126:J6145)</f>
        <v>399400000</v>
      </c>
      <c r="K6146" s="954"/>
      <c r="L6146" s="954">
        <f>SUM(L6126:L6145)</f>
        <v>33700000</v>
      </c>
      <c r="M6146" s="1498"/>
      <c r="N6146" s="954">
        <f>SUM(N6126:N6145)</f>
        <v>1403150000</v>
      </c>
      <c r="O6146" s="644"/>
      <c r="P6146" s="969">
        <f>SUM(P6126:P6133)</f>
        <v>38600000</v>
      </c>
      <c r="Q6146" s="969"/>
      <c r="R6146" s="969">
        <f>SUM(R6126:R6145)</f>
        <v>0</v>
      </c>
      <c r="S6146" s="48"/>
      <c r="T6146" s="1178">
        <f>SUM(T6126:T6145)</f>
        <v>4800</v>
      </c>
      <c r="U6146" s="48"/>
      <c r="V6146" s="878">
        <f>SUM(V6126:V6145)</f>
        <v>0</v>
      </c>
    </row>
    <row r="6147" spans="7:22">
      <c r="T6147" s="1433"/>
    </row>
    <row r="6148" spans="7:22">
      <c r="T6148" s="1433"/>
    </row>
    <row r="6149" spans="7:22">
      <c r="R6149" s="661"/>
      <c r="T6149" s="1433"/>
    </row>
    <row r="6150" spans="7:22">
      <c r="T6150" s="1433"/>
    </row>
    <row r="6151" spans="7:22">
      <c r="K6151" s="3" t="s">
        <v>5310</v>
      </c>
      <c r="T6151" s="1433"/>
    </row>
    <row r="6152" spans="7:22">
      <c r="I6152" s="946"/>
      <c r="M6152" s="1533" t="s">
        <v>3699</v>
      </c>
      <c r="O6152" s="1535" t="s">
        <v>3741</v>
      </c>
      <c r="P6152" s="1512">
        <f>P6146-R6146</f>
        <v>38600000</v>
      </c>
      <c r="S6152" s="906" t="s">
        <v>4049</v>
      </c>
      <c r="T6152" s="1107">
        <f>T6146-V6146</f>
        <v>4800</v>
      </c>
    </row>
    <row r="6153" spans="7:22">
      <c r="G6153" s="1574" t="s">
        <v>3530</v>
      </c>
      <c r="H6153" s="1574"/>
      <c r="I6153" s="1574"/>
      <c r="J6153" s="3">
        <f>J6146+L6146</f>
        <v>433100000</v>
      </c>
      <c r="K6153" s="1009"/>
      <c r="L6153" s="3"/>
      <c r="M6153" s="1533" t="s">
        <v>3664</v>
      </c>
      <c r="N6153" s="1527"/>
      <c r="O6153" s="1535" t="s">
        <v>4066</v>
      </c>
      <c r="P6153" s="1512"/>
      <c r="T6153" s="1433"/>
    </row>
    <row r="6154" spans="7:22">
      <c r="G6154" s="1574" t="s">
        <v>3512</v>
      </c>
      <c r="H6154" s="1574"/>
      <c r="I6154" s="1574"/>
      <c r="J6154" s="3">
        <f>N6146-J6153</f>
        <v>970050000</v>
      </c>
      <c r="K6154" s="1009"/>
      <c r="L6154" s="3"/>
      <c r="M6154" s="1528"/>
      <c r="O6154" s="1529"/>
      <c r="Q6154" s="661"/>
      <c r="T6154" s="1433"/>
    </row>
    <row r="6155" spans="7:22">
      <c r="G6155" s="1574" t="s">
        <v>3531</v>
      </c>
      <c r="H6155" s="1574"/>
      <c r="I6155" s="1574"/>
      <c r="J6155" s="3">
        <f>+T6152</f>
        <v>4800</v>
      </c>
      <c r="Q6155" s="3"/>
      <c r="T6155" s="1433"/>
    </row>
    <row r="6156" spans="7:22">
      <c r="G6156" s="1564" t="s">
        <v>4455</v>
      </c>
      <c r="H6156" s="1564"/>
      <c r="I6156" s="1564"/>
      <c r="J6156" s="3">
        <f>+P6152</f>
        <v>38600000</v>
      </c>
      <c r="R6156" s="3"/>
      <c r="T6156" s="1433"/>
    </row>
    <row r="6157" spans="7:22">
      <c r="T6157" s="1433"/>
    </row>
    <row r="6158" spans="7:22">
      <c r="T6158" s="1439"/>
    </row>
    <row r="6159" spans="7:22">
      <c r="T6159" s="1439"/>
    </row>
    <row r="6160" spans="7:22">
      <c r="G6160" s="1008">
        <v>46137</v>
      </c>
      <c r="H6160" s="1169"/>
      <c r="I6160" s="1575" t="s">
        <v>3510</v>
      </c>
      <c r="J6160" s="1576"/>
      <c r="K6160" s="1575" t="s">
        <v>3509</v>
      </c>
      <c r="L6160" s="1576"/>
      <c r="M6160" s="1575" t="s">
        <v>3541</v>
      </c>
      <c r="N6160" s="1576"/>
      <c r="O6160" s="1577" t="s">
        <v>3598</v>
      </c>
      <c r="P6160" s="1578"/>
      <c r="Q6160" s="1579" t="s">
        <v>3599</v>
      </c>
      <c r="R6160" s="1580"/>
      <c r="S6160" s="1581" t="s">
        <v>3953</v>
      </c>
      <c r="T6160" s="1582"/>
      <c r="U6160" s="1581" t="s">
        <v>3954</v>
      </c>
      <c r="V6160" s="1582"/>
    </row>
    <row r="6161" spans="7:22">
      <c r="G6161" s="1097"/>
      <c r="H6161" s="1261"/>
      <c r="I6161" s="1447" t="s">
        <v>5474</v>
      </c>
      <c r="J6161" s="1081">
        <v>37500000</v>
      </c>
      <c r="K6161" s="1493" t="s">
        <v>4541</v>
      </c>
      <c r="L6161" s="1081">
        <v>500000</v>
      </c>
      <c r="M6161" s="1495" t="s">
        <v>4613</v>
      </c>
      <c r="N6161" s="1495">
        <v>117800000</v>
      </c>
      <c r="O6161" s="1383"/>
      <c r="P6161" s="644"/>
      <c r="Q6161" s="1279"/>
      <c r="R6161" s="644"/>
      <c r="S6161" s="1223"/>
      <c r="T6161" s="1191"/>
      <c r="U6161" s="1232"/>
      <c r="V6161" s="48"/>
    </row>
    <row r="6162" spans="7:22">
      <c r="G6162" s="1098"/>
      <c r="H6162" s="1172"/>
      <c r="I6162" s="1447" t="s">
        <v>5477</v>
      </c>
      <c r="J6162" s="1081">
        <v>9200000</v>
      </c>
      <c r="K6162" s="1493" t="s">
        <v>5473</v>
      </c>
      <c r="L6162" s="1081">
        <v>660000</v>
      </c>
      <c r="M6162" s="1493" t="s">
        <v>5476</v>
      </c>
      <c r="N6162" s="1081">
        <v>1000000</v>
      </c>
      <c r="O6162" s="1383" t="s">
        <v>5262</v>
      </c>
      <c r="P6162" s="644">
        <v>0</v>
      </c>
      <c r="Q6162" s="1410"/>
      <c r="R6162" s="1290"/>
      <c r="S6162" s="1389" t="s">
        <v>4613</v>
      </c>
      <c r="T6162" s="1191">
        <v>4800</v>
      </c>
      <c r="U6162" s="48"/>
      <c r="V6162" s="49"/>
    </row>
    <row r="6163" spans="7:22">
      <c r="G6163" s="48"/>
      <c r="H6163" s="48"/>
      <c r="I6163" s="1447"/>
      <c r="J6163" s="1081"/>
      <c r="K6163" s="1493" t="s">
        <v>5475</v>
      </c>
      <c r="L6163" s="1081">
        <v>1000000</v>
      </c>
      <c r="M6163" s="1495"/>
      <c r="N6163" s="49"/>
      <c r="O6163" s="1495"/>
      <c r="P6163" s="644"/>
      <c r="Q6163" s="1412"/>
      <c r="R6163" s="644"/>
      <c r="S6163" s="1448"/>
      <c r="T6163" s="1191"/>
      <c r="U6163" s="1449" t="s">
        <v>5472</v>
      </c>
      <c r="V6163" s="1191">
        <v>4800</v>
      </c>
    </row>
    <row r="6164" spans="7:22">
      <c r="G6164" s="48"/>
      <c r="H6164" s="48"/>
      <c r="I6164" s="1447"/>
      <c r="J6164" s="1081"/>
      <c r="K6164" s="1493" t="s">
        <v>4647</v>
      </c>
      <c r="L6164" s="1081">
        <v>5000000</v>
      </c>
      <c r="M6164" s="1495"/>
      <c r="N6164" s="49"/>
      <c r="O6164" s="1383"/>
      <c r="P6164" s="644"/>
      <c r="Q6164" s="1422"/>
      <c r="R6164" s="644"/>
      <c r="S6164" s="1448"/>
      <c r="T6164" s="1440"/>
      <c r="U6164" s="1424"/>
      <c r="V6164" s="1440"/>
    </row>
    <row r="6165" spans="7:22">
      <c r="G6165" s="48"/>
      <c r="H6165" s="48"/>
      <c r="I6165" s="1447"/>
      <c r="J6165" s="1081"/>
      <c r="K6165" s="1493" t="s">
        <v>3537</v>
      </c>
      <c r="L6165" s="1081">
        <v>500000</v>
      </c>
      <c r="M6165" s="1495"/>
      <c r="N6165" s="49"/>
      <c r="O6165" s="1383"/>
      <c r="P6165" s="644"/>
      <c r="Q6165" s="1422"/>
      <c r="R6165" s="644"/>
      <c r="S6165" s="1449"/>
      <c r="T6165" s="1440"/>
      <c r="U6165" s="1408"/>
      <c r="V6165" s="49"/>
    </row>
    <row r="6166" spans="7:22">
      <c r="G6166" s="48"/>
      <c r="H6166" s="48"/>
      <c r="I6166" s="1447"/>
      <c r="J6166" s="1081"/>
      <c r="K6166" s="1493" t="s">
        <v>5478</v>
      </c>
      <c r="L6166" s="1081">
        <v>5000000</v>
      </c>
      <c r="M6166" s="1495"/>
      <c r="N6166" s="49"/>
      <c r="O6166" s="1383"/>
      <c r="P6166" s="644"/>
      <c r="Q6166" s="1382"/>
      <c r="R6166" s="644"/>
      <c r="S6166" s="1449"/>
      <c r="T6166" s="1440"/>
      <c r="U6166" s="1416"/>
      <c r="V6166" s="49"/>
    </row>
    <row r="6167" spans="7:22">
      <c r="G6167" s="48"/>
      <c r="H6167" s="48"/>
      <c r="I6167" s="1447"/>
      <c r="J6167" s="1081"/>
      <c r="K6167" s="1493" t="s">
        <v>4439</v>
      </c>
      <c r="L6167" s="1081">
        <v>1000000</v>
      </c>
      <c r="M6167" s="1493"/>
      <c r="N6167" s="49"/>
      <c r="O6167" s="1383"/>
      <c r="P6167" s="644"/>
      <c r="Q6167" s="1383"/>
      <c r="R6167" s="644"/>
      <c r="S6167" s="1451"/>
      <c r="T6167" s="1440"/>
      <c r="U6167" s="1438"/>
      <c r="V6167" s="49"/>
    </row>
    <row r="6168" spans="7:22">
      <c r="G6168" s="48"/>
      <c r="H6168" s="48"/>
      <c r="I6168" s="1447"/>
      <c r="J6168" s="1081"/>
      <c r="K6168" s="1493"/>
      <c r="L6168" s="1081"/>
      <c r="M6168" s="1495"/>
      <c r="N6168" s="49"/>
      <c r="O6168" s="1383"/>
      <c r="P6168" s="644"/>
      <c r="Q6168" s="1385"/>
      <c r="R6168" s="644"/>
      <c r="S6168" s="48"/>
      <c r="T6168" s="1440"/>
      <c r="U6168" s="1416"/>
      <c r="V6168" s="49"/>
    </row>
    <row r="6169" spans="7:22">
      <c r="G6169" s="48"/>
      <c r="H6169" s="48"/>
      <c r="I6169" s="1447"/>
      <c r="J6169" s="1081"/>
      <c r="K6169" s="1493"/>
      <c r="L6169" s="1081"/>
      <c r="M6169" s="1495"/>
      <c r="N6169" s="49"/>
      <c r="O6169" s="644"/>
      <c r="P6169" s="644"/>
      <c r="Q6169" s="1383"/>
      <c r="R6169" s="644"/>
      <c r="S6169" s="48"/>
      <c r="T6169" s="1440"/>
      <c r="U6169" s="1408"/>
      <c r="V6169" s="49"/>
    </row>
    <row r="6170" spans="7:22">
      <c r="G6170" s="48"/>
      <c r="H6170" s="48"/>
      <c r="I6170" s="1450"/>
      <c r="J6170" s="1081"/>
      <c r="K6170" s="1509"/>
      <c r="L6170" s="1081"/>
      <c r="M6170" s="1498"/>
      <c r="N6170" s="49"/>
      <c r="O6170" s="644"/>
      <c r="P6170" s="644"/>
      <c r="Q6170" s="1290"/>
      <c r="R6170" s="644"/>
      <c r="S6170" s="48"/>
      <c r="T6170" s="1440"/>
      <c r="U6170" s="1408"/>
      <c r="V6170" s="49"/>
    </row>
    <row r="6171" spans="7:22">
      <c r="G6171" s="48"/>
      <c r="H6171" s="48"/>
      <c r="I6171" s="1450"/>
      <c r="J6171" s="1081"/>
      <c r="K6171" s="1493"/>
      <c r="L6171" s="1081"/>
      <c r="M6171" s="1498"/>
      <c r="N6171" s="49"/>
      <c r="O6171" s="644"/>
      <c r="P6171" s="644"/>
      <c r="Q6171" s="1383"/>
      <c r="R6171" s="644"/>
      <c r="S6171" s="48"/>
      <c r="T6171" s="1440"/>
      <c r="U6171" s="48"/>
      <c r="V6171" s="48"/>
    </row>
    <row r="6172" spans="7:22">
      <c r="G6172" s="48"/>
      <c r="H6172" s="48"/>
      <c r="I6172" s="1450"/>
      <c r="J6172" s="1081"/>
      <c r="K6172" s="1509"/>
      <c r="L6172" s="1081"/>
      <c r="M6172" s="1498"/>
      <c r="N6172" s="49"/>
      <c r="O6172" s="644"/>
      <c r="P6172" s="644"/>
      <c r="Q6172" s="1290"/>
      <c r="R6172" s="644"/>
      <c r="S6172" s="48"/>
      <c r="T6172" s="1440"/>
      <c r="U6172" s="48"/>
      <c r="V6172" s="48"/>
    </row>
    <row r="6173" spans="7:22">
      <c r="G6173" s="48"/>
      <c r="H6173" s="48"/>
      <c r="I6173" s="1444"/>
      <c r="J6173" s="1081"/>
      <c r="K6173" s="1509"/>
      <c r="L6173" s="1081"/>
      <c r="M6173" s="1498"/>
      <c r="N6173" s="49"/>
      <c r="O6173" s="644"/>
      <c r="P6173" s="644"/>
      <c r="Q6173" s="1290"/>
      <c r="R6173" s="644"/>
      <c r="S6173" s="48"/>
      <c r="T6173" s="1440"/>
      <c r="U6173" s="48"/>
      <c r="V6173" s="48"/>
    </row>
    <row r="6174" spans="7:22">
      <c r="G6174" s="48"/>
      <c r="H6174" s="48"/>
      <c r="I6174" s="1432"/>
      <c r="J6174" s="49"/>
      <c r="K6174" s="1498"/>
      <c r="L6174" s="49"/>
      <c r="M6174" s="1498"/>
      <c r="N6174" s="49"/>
      <c r="O6174" s="644"/>
      <c r="P6174" s="644"/>
      <c r="Q6174" s="1290"/>
      <c r="R6174" s="644"/>
      <c r="S6174" s="48"/>
      <c r="T6174" s="1440"/>
      <c r="U6174" s="48"/>
      <c r="V6174" s="48"/>
    </row>
    <row r="6175" spans="7:22">
      <c r="G6175" s="48"/>
      <c r="H6175" s="48"/>
      <c r="I6175" s="1432"/>
      <c r="J6175" s="49"/>
      <c r="K6175" s="1498"/>
      <c r="L6175" s="49"/>
      <c r="M6175" s="1498"/>
      <c r="N6175" s="49"/>
      <c r="O6175" s="644"/>
      <c r="P6175" s="644"/>
      <c r="Q6175" s="1290"/>
      <c r="R6175" s="644"/>
      <c r="S6175" s="48"/>
      <c r="T6175" s="1440"/>
      <c r="U6175" s="48"/>
      <c r="V6175" s="48"/>
    </row>
    <row r="6176" spans="7:22">
      <c r="G6176" s="48"/>
      <c r="H6176" s="48"/>
      <c r="I6176" s="1432"/>
      <c r="J6176" s="49"/>
      <c r="K6176" s="1498"/>
      <c r="L6176" s="49"/>
      <c r="M6176" s="1498"/>
      <c r="N6176" s="49"/>
      <c r="O6176" s="644"/>
      <c r="P6176" s="644"/>
      <c r="Q6176" s="1290"/>
      <c r="R6176" s="644"/>
      <c r="S6176" s="48"/>
      <c r="T6176" s="1440"/>
      <c r="U6176" s="48"/>
      <c r="V6176" s="48"/>
    </row>
    <row r="6177" spans="7:22">
      <c r="G6177" s="48"/>
      <c r="H6177" s="48"/>
      <c r="I6177" s="48"/>
      <c r="J6177" s="49"/>
      <c r="K6177" s="1498"/>
      <c r="L6177" s="49"/>
      <c r="M6177" s="1498"/>
      <c r="N6177" s="49"/>
      <c r="O6177" s="644"/>
      <c r="P6177" s="644"/>
      <c r="Q6177" s="1290"/>
      <c r="R6177" s="644"/>
      <c r="S6177" s="48"/>
      <c r="T6177" s="1440"/>
      <c r="U6177" s="48"/>
      <c r="V6177" s="48"/>
    </row>
    <row r="6178" spans="7:22">
      <c r="G6178" s="48"/>
      <c r="H6178" s="48"/>
      <c r="I6178" s="48"/>
      <c r="J6178" s="49"/>
      <c r="K6178" s="1498"/>
      <c r="L6178" s="49"/>
      <c r="M6178" s="1498"/>
      <c r="N6178" s="49"/>
      <c r="O6178" s="644"/>
      <c r="P6178" s="644"/>
      <c r="Q6178" s="1290"/>
      <c r="R6178" s="644"/>
      <c r="S6178" s="48"/>
      <c r="T6178" s="1440"/>
      <c r="U6178" s="48"/>
      <c r="V6178" s="48"/>
    </row>
    <row r="6179" spans="7:22">
      <c r="G6179" s="48"/>
      <c r="H6179" s="48"/>
      <c r="I6179" s="48"/>
      <c r="J6179" s="49"/>
      <c r="K6179" s="1498"/>
      <c r="L6179" s="49"/>
      <c r="M6179" s="1498"/>
      <c r="N6179" s="49"/>
      <c r="O6179" s="644"/>
      <c r="P6179" s="644"/>
      <c r="Q6179" s="1290"/>
      <c r="R6179" s="644"/>
      <c r="S6179" s="48"/>
      <c r="T6179" s="1440"/>
      <c r="U6179" s="48"/>
      <c r="V6179" s="48"/>
    </row>
    <row r="6180" spans="7:22">
      <c r="G6180" s="48"/>
      <c r="H6180" s="48"/>
      <c r="I6180" s="48"/>
      <c r="J6180" s="49"/>
      <c r="K6180" s="1498"/>
      <c r="L6180" s="49"/>
      <c r="M6180" s="1498"/>
      <c r="N6180" s="49"/>
      <c r="O6180" s="644"/>
      <c r="P6180" s="644"/>
      <c r="Q6180" s="1290"/>
      <c r="R6180" s="644"/>
      <c r="S6180" s="48"/>
      <c r="T6180" s="1440"/>
      <c r="U6180" s="48"/>
      <c r="V6180" s="48"/>
    </row>
    <row r="6181" spans="7:22">
      <c r="G6181" s="48"/>
      <c r="H6181" s="48"/>
      <c r="I6181" s="48"/>
      <c r="J6181" s="954">
        <f>SUM(J6161:J6180)</f>
        <v>46700000</v>
      </c>
      <c r="K6181" s="954"/>
      <c r="L6181" s="954">
        <f>SUM(L6161:L6180)</f>
        <v>13660000</v>
      </c>
      <c r="M6181" s="1498"/>
      <c r="N6181" s="954">
        <f>SUM(N6161:N6180)</f>
        <v>118800000</v>
      </c>
      <c r="O6181" s="644"/>
      <c r="P6181" s="969">
        <f>SUM(P6161:P6168)</f>
        <v>0</v>
      </c>
      <c r="Q6181" s="969"/>
      <c r="R6181" s="969">
        <f>SUM(R6161:R6180)</f>
        <v>0</v>
      </c>
      <c r="S6181" s="48"/>
      <c r="T6181" s="1178">
        <f>SUM(T6161:T6180)</f>
        <v>4800</v>
      </c>
      <c r="U6181" s="48"/>
      <c r="V6181" s="878">
        <f>SUM(V6161:V6180)</f>
        <v>4800</v>
      </c>
    </row>
    <row r="6182" spans="7:22">
      <c r="T6182" s="1439"/>
    </row>
    <row r="6183" spans="7:22">
      <c r="T6183" s="1439"/>
    </row>
    <row r="6184" spans="7:22">
      <c r="R6184" s="661"/>
      <c r="T6184" s="1439"/>
    </row>
    <row r="6185" spans="7:22">
      <c r="T6185" s="1439"/>
    </row>
    <row r="6186" spans="7:22">
      <c r="K6186" s="3" t="s">
        <v>5310</v>
      </c>
      <c r="T6186" s="1439"/>
    </row>
    <row r="6187" spans="7:22">
      <c r="I6187" s="946"/>
      <c r="M6187" s="1533" t="s">
        <v>3699</v>
      </c>
      <c r="O6187" s="1535" t="s">
        <v>3741</v>
      </c>
      <c r="P6187" s="1512">
        <f>P6181-R6181</f>
        <v>0</v>
      </c>
      <c r="S6187" s="906" t="s">
        <v>4049</v>
      </c>
      <c r="T6187" s="1107">
        <f>T6181-V6181</f>
        <v>0</v>
      </c>
    </row>
    <row r="6188" spans="7:22">
      <c r="G6188" s="1574" t="s">
        <v>3530</v>
      </c>
      <c r="H6188" s="1574"/>
      <c r="I6188" s="1574"/>
      <c r="J6188" s="3">
        <f>J6181+L6181</f>
        <v>60360000</v>
      </c>
      <c r="K6188" s="1009"/>
      <c r="L6188" s="3"/>
      <c r="M6188" s="1533" t="s">
        <v>3664</v>
      </c>
      <c r="N6188" s="1527"/>
      <c r="O6188" s="1535" t="s">
        <v>4066</v>
      </c>
      <c r="P6188" s="1512"/>
      <c r="T6188" s="1439"/>
    </row>
    <row r="6189" spans="7:22">
      <c r="G6189" s="1574" t="s">
        <v>3512</v>
      </c>
      <c r="H6189" s="1574"/>
      <c r="I6189" s="1574"/>
      <c r="J6189" s="3">
        <f>N6181-J6188</f>
        <v>58440000</v>
      </c>
      <c r="K6189" s="1009"/>
      <c r="L6189" s="3"/>
      <c r="M6189" s="1528"/>
      <c r="O6189" s="1529"/>
      <c r="Q6189" s="661"/>
      <c r="T6189" s="1439"/>
    </row>
    <row r="6190" spans="7:22">
      <c r="G6190" s="1574" t="s">
        <v>3531</v>
      </c>
      <c r="H6190" s="1574"/>
      <c r="I6190" s="1574"/>
      <c r="J6190" s="3">
        <f>+T6187</f>
        <v>0</v>
      </c>
      <c r="Q6190" s="3"/>
      <c r="T6190" s="1439"/>
    </row>
    <row r="6191" spans="7:22">
      <c r="G6191" s="1564" t="s">
        <v>4455</v>
      </c>
      <c r="H6191" s="1564"/>
      <c r="I6191" s="1564"/>
      <c r="J6191" s="3">
        <f>+P6187</f>
        <v>0</v>
      </c>
      <c r="R6191" s="3"/>
      <c r="T6191" s="1439"/>
    </row>
    <row r="6192" spans="7:22">
      <c r="T6192" s="1439"/>
    </row>
    <row r="6193" spans="7:22">
      <c r="T6193" s="1439"/>
    </row>
    <row r="6194" spans="7:22">
      <c r="T6194" s="1439"/>
    </row>
    <row r="6195" spans="7:22">
      <c r="G6195" s="1008">
        <v>46138</v>
      </c>
      <c r="H6195" s="1169"/>
      <c r="I6195" s="1575" t="s">
        <v>3510</v>
      </c>
      <c r="J6195" s="1576"/>
      <c r="K6195" s="1575" t="s">
        <v>3509</v>
      </c>
      <c r="L6195" s="1576"/>
      <c r="M6195" s="1575" t="s">
        <v>3541</v>
      </c>
      <c r="N6195" s="1576"/>
      <c r="O6195" s="1577" t="s">
        <v>3598</v>
      </c>
      <c r="P6195" s="1578"/>
      <c r="Q6195" s="1579" t="s">
        <v>3599</v>
      </c>
      <c r="R6195" s="1580"/>
      <c r="S6195" s="1581" t="s">
        <v>3953</v>
      </c>
      <c r="T6195" s="1582"/>
      <c r="U6195" s="1581" t="s">
        <v>3954</v>
      </c>
      <c r="V6195" s="1582"/>
    </row>
    <row r="6196" spans="7:22">
      <c r="G6196" s="1097"/>
      <c r="H6196" s="1261"/>
      <c r="I6196" s="1447"/>
      <c r="J6196" s="1081"/>
      <c r="K6196" s="1493" t="s">
        <v>4541</v>
      </c>
      <c r="L6196" s="1081">
        <v>800000</v>
      </c>
      <c r="M6196" s="1495" t="s">
        <v>4613</v>
      </c>
      <c r="N6196" s="1495">
        <v>58300000</v>
      </c>
      <c r="O6196" s="1383"/>
      <c r="P6196" s="644"/>
      <c r="Q6196" s="1279"/>
      <c r="R6196" s="644"/>
      <c r="S6196" s="1223"/>
      <c r="T6196" s="1191"/>
      <c r="U6196" s="1232"/>
      <c r="V6196" s="48"/>
    </row>
    <row r="6197" spans="7:22">
      <c r="G6197" s="1098"/>
      <c r="H6197" s="1172"/>
      <c r="I6197" s="1447"/>
      <c r="J6197" s="1081"/>
      <c r="K6197" s="1493" t="s">
        <v>4555</v>
      </c>
      <c r="L6197" s="1081">
        <v>1000000</v>
      </c>
      <c r="M6197" s="1493"/>
      <c r="N6197" s="1081"/>
      <c r="O6197" s="1383" t="s">
        <v>5262</v>
      </c>
      <c r="P6197" s="644">
        <v>0</v>
      </c>
      <c r="Q6197" s="1410"/>
      <c r="R6197" s="1290"/>
      <c r="S6197" s="1389" t="s">
        <v>4613</v>
      </c>
      <c r="T6197" s="1191">
        <v>6200</v>
      </c>
      <c r="U6197" s="48"/>
      <c r="V6197" s="49"/>
    </row>
    <row r="6198" spans="7:22">
      <c r="G6198" s="48"/>
      <c r="H6198" s="48"/>
      <c r="I6198" s="1447"/>
      <c r="J6198" s="1081"/>
      <c r="K6198" s="1493" t="s">
        <v>4517</v>
      </c>
      <c r="L6198" s="1081">
        <v>3000000</v>
      </c>
      <c r="M6198" s="1495"/>
      <c r="N6198" s="49"/>
      <c r="O6198" s="1495"/>
      <c r="P6198" s="644"/>
      <c r="Q6198" s="1412"/>
      <c r="R6198" s="644"/>
      <c r="S6198" s="1448" t="s">
        <v>5479</v>
      </c>
      <c r="T6198" s="1191">
        <v>2300</v>
      </c>
      <c r="U6198" s="1449"/>
      <c r="V6198" s="1191"/>
    </row>
    <row r="6199" spans="7:22">
      <c r="G6199" s="48"/>
      <c r="H6199" s="48"/>
      <c r="I6199" s="1447"/>
      <c r="J6199" s="1081"/>
      <c r="K6199" s="1493" t="s">
        <v>4541</v>
      </c>
      <c r="L6199" s="1081">
        <v>400000</v>
      </c>
      <c r="M6199" s="1495"/>
      <c r="N6199" s="49"/>
      <c r="O6199" s="1383"/>
      <c r="P6199" s="644"/>
      <c r="Q6199" s="1422"/>
      <c r="R6199" s="644"/>
      <c r="S6199" s="1448" t="s">
        <v>5480</v>
      </c>
      <c r="T6199" s="1440">
        <v>2400</v>
      </c>
      <c r="U6199" s="1424"/>
      <c r="V6199" s="1440"/>
    </row>
    <row r="6200" spans="7:22">
      <c r="G6200" s="48"/>
      <c r="H6200" s="48"/>
      <c r="I6200" s="1447"/>
      <c r="J6200" s="1081"/>
      <c r="K6200" s="1493" t="s">
        <v>4454</v>
      </c>
      <c r="L6200" s="1081">
        <v>5000000</v>
      </c>
      <c r="M6200" s="1495"/>
      <c r="N6200" s="49"/>
      <c r="O6200" s="1383"/>
      <c r="P6200" s="644"/>
      <c r="Q6200" s="1422"/>
      <c r="R6200" s="644"/>
      <c r="S6200" s="1449"/>
      <c r="T6200" s="1440"/>
      <c r="U6200" s="1408"/>
      <c r="V6200" s="49"/>
    </row>
    <row r="6201" spans="7:22">
      <c r="G6201" s="48"/>
      <c r="H6201" s="48"/>
      <c r="I6201" s="1447"/>
      <c r="J6201" s="1081"/>
      <c r="K6201" s="1493" t="s">
        <v>5482</v>
      </c>
      <c r="L6201" s="1081">
        <v>5000000</v>
      </c>
      <c r="M6201" s="1495"/>
      <c r="N6201" s="49"/>
      <c r="O6201" s="1383"/>
      <c r="P6201" s="644"/>
      <c r="Q6201" s="1382"/>
      <c r="R6201" s="644"/>
      <c r="S6201" s="1449"/>
      <c r="T6201" s="1440"/>
      <c r="U6201" s="1416"/>
      <c r="V6201" s="49"/>
    </row>
    <row r="6202" spans="7:22">
      <c r="G6202" s="48"/>
      <c r="H6202" s="48"/>
      <c r="I6202" s="1447"/>
      <c r="J6202" s="1081"/>
      <c r="K6202" s="1493"/>
      <c r="L6202" s="1081"/>
      <c r="M6202" s="1493"/>
      <c r="N6202" s="49"/>
      <c r="O6202" s="1383"/>
      <c r="P6202" s="644"/>
      <c r="Q6202" s="1383"/>
      <c r="R6202" s="644"/>
      <c r="S6202" s="1451"/>
      <c r="T6202" s="1440"/>
      <c r="U6202" s="1438"/>
      <c r="V6202" s="49"/>
    </row>
    <row r="6203" spans="7:22">
      <c r="G6203" s="48"/>
      <c r="H6203" s="48"/>
      <c r="I6203" s="1447"/>
      <c r="J6203" s="1081"/>
      <c r="K6203" s="1493"/>
      <c r="L6203" s="1081"/>
      <c r="M6203" s="1495"/>
      <c r="N6203" s="49"/>
      <c r="O6203" s="1383"/>
      <c r="P6203" s="644"/>
      <c r="Q6203" s="1385"/>
      <c r="R6203" s="644"/>
      <c r="S6203" s="48"/>
      <c r="T6203" s="1440"/>
      <c r="U6203" s="1416"/>
      <c r="V6203" s="49"/>
    </row>
    <row r="6204" spans="7:22">
      <c r="G6204" s="48"/>
      <c r="H6204" s="48"/>
      <c r="I6204" s="1447"/>
      <c r="J6204" s="1081"/>
      <c r="K6204" s="1493"/>
      <c r="L6204" s="1081"/>
      <c r="M6204" s="1495"/>
      <c r="N6204" s="49"/>
      <c r="O6204" s="644"/>
      <c r="P6204" s="644"/>
      <c r="Q6204" s="1383"/>
      <c r="R6204" s="644"/>
      <c r="S6204" s="48"/>
      <c r="T6204" s="1440"/>
      <c r="U6204" s="1408"/>
      <c r="V6204" s="49"/>
    </row>
    <row r="6205" spans="7:22">
      <c r="G6205" s="48"/>
      <c r="H6205" s="48"/>
      <c r="I6205" s="1450"/>
      <c r="J6205" s="1081"/>
      <c r="K6205" s="1509"/>
      <c r="L6205" s="1081"/>
      <c r="M6205" s="1498"/>
      <c r="N6205" s="49"/>
      <c r="O6205" s="644"/>
      <c r="P6205" s="644"/>
      <c r="Q6205" s="1290"/>
      <c r="R6205" s="644"/>
      <c r="S6205" s="48"/>
      <c r="T6205" s="1440"/>
      <c r="U6205" s="1408"/>
      <c r="V6205" s="49"/>
    </row>
    <row r="6206" spans="7:22">
      <c r="G6206" s="48"/>
      <c r="H6206" s="48"/>
      <c r="I6206" s="1450"/>
      <c r="J6206" s="1081"/>
      <c r="K6206" s="1493"/>
      <c r="L6206" s="1081"/>
      <c r="M6206" s="1498"/>
      <c r="N6206" s="49"/>
      <c r="O6206" s="644"/>
      <c r="P6206" s="644"/>
      <c r="Q6206" s="1383"/>
      <c r="R6206" s="644"/>
      <c r="S6206" s="48"/>
      <c r="T6206" s="1440"/>
      <c r="U6206" s="48"/>
      <c r="V6206" s="48"/>
    </row>
    <row r="6207" spans="7:22">
      <c r="G6207" s="48"/>
      <c r="H6207" s="48"/>
      <c r="I6207" s="1450"/>
      <c r="J6207" s="1081"/>
      <c r="K6207" s="1509"/>
      <c r="L6207" s="1081"/>
      <c r="M6207" s="1498"/>
      <c r="N6207" s="49"/>
      <c r="O6207" s="644"/>
      <c r="P6207" s="644"/>
      <c r="Q6207" s="1290"/>
      <c r="R6207" s="644"/>
      <c r="S6207" s="48"/>
      <c r="T6207" s="1440"/>
      <c r="U6207" s="48"/>
      <c r="V6207" s="48"/>
    </row>
    <row r="6208" spans="7:22">
      <c r="G6208" s="48"/>
      <c r="H6208" s="48"/>
      <c r="I6208" s="1444"/>
      <c r="J6208" s="1081"/>
      <c r="K6208" s="1509"/>
      <c r="L6208" s="1081"/>
      <c r="M6208" s="1498"/>
      <c r="N6208" s="49"/>
      <c r="O6208" s="644"/>
      <c r="P6208" s="644"/>
      <c r="Q6208" s="1290"/>
      <c r="R6208" s="644"/>
      <c r="S6208" s="48"/>
      <c r="T6208" s="1440"/>
      <c r="U6208" s="48"/>
      <c r="V6208" s="48"/>
    </row>
    <row r="6209" spans="7:22">
      <c r="G6209" s="48"/>
      <c r="H6209" s="48"/>
      <c r="I6209" s="1432"/>
      <c r="J6209" s="49"/>
      <c r="K6209" s="1498"/>
      <c r="L6209" s="49"/>
      <c r="M6209" s="1498"/>
      <c r="N6209" s="49"/>
      <c r="O6209" s="644"/>
      <c r="P6209" s="644"/>
      <c r="Q6209" s="1290"/>
      <c r="R6209" s="644"/>
      <c r="S6209" s="48"/>
      <c r="T6209" s="1440"/>
      <c r="U6209" s="48"/>
      <c r="V6209" s="48"/>
    </row>
    <row r="6210" spans="7:22">
      <c r="G6210" s="48"/>
      <c r="H6210" s="48"/>
      <c r="I6210" s="1432"/>
      <c r="J6210" s="49"/>
      <c r="K6210" s="1498"/>
      <c r="L6210" s="49"/>
      <c r="M6210" s="1498"/>
      <c r="N6210" s="49"/>
      <c r="O6210" s="644"/>
      <c r="P6210" s="644"/>
      <c r="Q6210" s="1290"/>
      <c r="R6210" s="644"/>
      <c r="S6210" s="48"/>
      <c r="T6210" s="1440"/>
      <c r="U6210" s="48"/>
      <c r="V6210" s="48"/>
    </row>
    <row r="6211" spans="7:22">
      <c r="G6211" s="48"/>
      <c r="H6211" s="48"/>
      <c r="I6211" s="1432"/>
      <c r="J6211" s="49"/>
      <c r="K6211" s="1498"/>
      <c r="L6211" s="49"/>
      <c r="M6211" s="1498"/>
      <c r="N6211" s="49"/>
      <c r="O6211" s="644"/>
      <c r="P6211" s="644"/>
      <c r="Q6211" s="1290"/>
      <c r="R6211" s="644"/>
      <c r="S6211" s="48"/>
      <c r="T6211" s="1440"/>
      <c r="U6211" s="48"/>
      <c r="V6211" s="48"/>
    </row>
    <row r="6212" spans="7:22">
      <c r="G6212" s="48"/>
      <c r="H6212" s="48"/>
      <c r="I6212" s="48"/>
      <c r="J6212" s="49"/>
      <c r="K6212" s="1498"/>
      <c r="L6212" s="49"/>
      <c r="M6212" s="1498"/>
      <c r="N6212" s="49"/>
      <c r="O6212" s="644"/>
      <c r="P6212" s="644"/>
      <c r="Q6212" s="1290"/>
      <c r="R6212" s="644"/>
      <c r="S6212" s="48"/>
      <c r="T6212" s="1440"/>
      <c r="U6212" s="48"/>
      <c r="V6212" s="48"/>
    </row>
    <row r="6213" spans="7:22">
      <c r="G6213" s="48"/>
      <c r="H6213" s="48"/>
      <c r="I6213" s="48"/>
      <c r="J6213" s="49"/>
      <c r="K6213" s="1498"/>
      <c r="L6213" s="49"/>
      <c r="M6213" s="1498"/>
      <c r="N6213" s="49"/>
      <c r="O6213" s="644"/>
      <c r="P6213" s="644"/>
      <c r="Q6213" s="1290"/>
      <c r="R6213" s="644"/>
      <c r="S6213" s="48"/>
      <c r="T6213" s="1440"/>
      <c r="U6213" s="48"/>
      <c r="V6213" s="48"/>
    </row>
    <row r="6214" spans="7:22">
      <c r="G6214" s="48"/>
      <c r="H6214" s="48"/>
      <c r="I6214" s="48"/>
      <c r="J6214" s="49"/>
      <c r="K6214" s="1498"/>
      <c r="L6214" s="49"/>
      <c r="M6214" s="1498"/>
      <c r="N6214" s="49"/>
      <c r="O6214" s="644"/>
      <c r="P6214" s="644"/>
      <c r="Q6214" s="1290"/>
      <c r="R6214" s="644"/>
      <c r="S6214" s="48"/>
      <c r="T6214" s="1440"/>
      <c r="U6214" s="48"/>
      <c r="V6214" s="48"/>
    </row>
    <row r="6215" spans="7:22">
      <c r="G6215" s="48"/>
      <c r="H6215" s="48"/>
      <c r="I6215" s="48"/>
      <c r="J6215" s="49"/>
      <c r="K6215" s="1498"/>
      <c r="L6215" s="49"/>
      <c r="M6215" s="1498"/>
      <c r="N6215" s="49"/>
      <c r="O6215" s="644"/>
      <c r="P6215" s="644"/>
      <c r="Q6215" s="1290"/>
      <c r="R6215" s="644"/>
      <c r="S6215" s="48"/>
      <c r="T6215" s="1440"/>
      <c r="U6215" s="48"/>
      <c r="V6215" s="48"/>
    </row>
    <row r="6216" spans="7:22">
      <c r="G6216" s="48"/>
      <c r="H6216" s="48"/>
      <c r="I6216" s="48"/>
      <c r="J6216" s="954">
        <f>SUM(J6196:J6215)</f>
        <v>0</v>
      </c>
      <c r="K6216" s="954"/>
      <c r="L6216" s="954">
        <f>SUM(L6196:L6215)</f>
        <v>15200000</v>
      </c>
      <c r="M6216" s="1498"/>
      <c r="N6216" s="954">
        <f>SUM(N6196:N6215)</f>
        <v>58300000</v>
      </c>
      <c r="O6216" s="644"/>
      <c r="P6216" s="969">
        <f>SUM(P6196:P6203)</f>
        <v>0</v>
      </c>
      <c r="Q6216" s="969"/>
      <c r="R6216" s="969">
        <f>SUM(R6196:R6215)</f>
        <v>0</v>
      </c>
      <c r="S6216" s="48"/>
      <c r="T6216" s="1178">
        <f>SUM(T6196:T6215)</f>
        <v>10900</v>
      </c>
      <c r="U6216" s="48"/>
      <c r="V6216" s="878">
        <f>SUM(V6196:V6215)</f>
        <v>0</v>
      </c>
    </row>
    <row r="6217" spans="7:22">
      <c r="T6217" s="1439"/>
    </row>
    <row r="6218" spans="7:22">
      <c r="T6218" s="1439"/>
    </row>
    <row r="6219" spans="7:22">
      <c r="R6219" s="661"/>
      <c r="T6219" s="1439"/>
    </row>
    <row r="6220" spans="7:22">
      <c r="T6220" s="1439"/>
    </row>
    <row r="6221" spans="7:22">
      <c r="K6221" s="3" t="s">
        <v>5310</v>
      </c>
      <c r="T6221" s="1439"/>
    </row>
    <row r="6222" spans="7:22">
      <c r="I6222" s="946"/>
      <c r="M6222" s="1533" t="s">
        <v>3699</v>
      </c>
      <c r="O6222" s="1535" t="s">
        <v>3741</v>
      </c>
      <c r="P6222" s="1512">
        <f>P6216-R6216</f>
        <v>0</v>
      </c>
      <c r="S6222" s="906" t="s">
        <v>4049</v>
      </c>
      <c r="T6222" s="1107">
        <f>T6216-V6216</f>
        <v>10900</v>
      </c>
    </row>
    <row r="6223" spans="7:22">
      <c r="G6223" s="1574" t="s">
        <v>3530</v>
      </c>
      <c r="H6223" s="1574"/>
      <c r="I6223" s="1574"/>
      <c r="J6223" s="3">
        <f>J6216+L6216</f>
        <v>15200000</v>
      </c>
      <c r="K6223" s="1009"/>
      <c r="L6223" s="3"/>
      <c r="M6223" s="1533" t="s">
        <v>3664</v>
      </c>
      <c r="N6223" s="1527"/>
      <c r="O6223" s="1535" t="s">
        <v>4066</v>
      </c>
      <c r="P6223" s="1512"/>
      <c r="T6223" s="1439"/>
    </row>
    <row r="6224" spans="7:22">
      <c r="G6224" s="1574" t="s">
        <v>3512</v>
      </c>
      <c r="H6224" s="1574"/>
      <c r="I6224" s="1574"/>
      <c r="J6224" s="3">
        <f>N6216-J6223</f>
        <v>43100000</v>
      </c>
      <c r="K6224" s="1009"/>
      <c r="L6224" s="3"/>
      <c r="M6224" s="1528"/>
      <c r="O6224" s="1529"/>
      <c r="Q6224" s="661"/>
      <c r="T6224" s="1439"/>
    </row>
    <row r="6225" spans="7:22">
      <c r="G6225" s="1574" t="s">
        <v>3531</v>
      </c>
      <c r="H6225" s="1574"/>
      <c r="I6225" s="1574"/>
      <c r="J6225" s="3">
        <f>+T6222</f>
        <v>10900</v>
      </c>
      <c r="Q6225" s="3"/>
      <c r="T6225" s="1439"/>
    </row>
    <row r="6226" spans="7:22">
      <c r="G6226" s="1564" t="s">
        <v>4455</v>
      </c>
      <c r="H6226" s="1564"/>
      <c r="I6226" s="1564"/>
      <c r="J6226" s="3">
        <f>+P6222</f>
        <v>0</v>
      </c>
      <c r="R6226" s="3"/>
      <c r="T6226" s="1439"/>
    </row>
    <row r="6227" spans="7:22">
      <c r="T6227" s="1439"/>
    </row>
    <row r="6229" spans="7:22">
      <c r="T6229" s="1445"/>
    </row>
    <row r="6230" spans="7:22">
      <c r="G6230" s="1008">
        <v>46139</v>
      </c>
      <c r="H6230" s="1169"/>
      <c r="I6230" s="1575" t="s">
        <v>3510</v>
      </c>
      <c r="J6230" s="1576"/>
      <c r="K6230" s="1575" t="s">
        <v>3509</v>
      </c>
      <c r="L6230" s="1576"/>
      <c r="M6230" s="1575" t="s">
        <v>3541</v>
      </c>
      <c r="N6230" s="1576"/>
      <c r="O6230" s="1577" t="s">
        <v>3598</v>
      </c>
      <c r="P6230" s="1578"/>
      <c r="Q6230" s="1579" t="s">
        <v>3599</v>
      </c>
      <c r="R6230" s="1580"/>
      <c r="S6230" s="1581" t="s">
        <v>3953</v>
      </c>
      <c r="T6230" s="1582"/>
      <c r="U6230" s="1581" t="s">
        <v>3954</v>
      </c>
      <c r="V6230" s="1582"/>
    </row>
    <row r="6231" spans="7:22">
      <c r="G6231" s="1097"/>
      <c r="H6231" s="1261"/>
      <c r="I6231" s="1447"/>
      <c r="J6231" s="1081"/>
      <c r="K6231" s="1493" t="s">
        <v>5391</v>
      </c>
      <c r="L6231" s="1081">
        <v>382600000</v>
      </c>
      <c r="M6231" s="1495" t="s">
        <v>4613</v>
      </c>
      <c r="N6231" s="1495">
        <v>891600000</v>
      </c>
      <c r="O6231" s="1383"/>
      <c r="P6231" s="644"/>
      <c r="Q6231" s="1279"/>
      <c r="R6231" s="644"/>
      <c r="S6231" s="1223"/>
      <c r="T6231" s="1191"/>
      <c r="U6231" s="1232"/>
      <c r="V6231" s="48"/>
    </row>
    <row r="6232" spans="7:22">
      <c r="G6232" s="1098"/>
      <c r="H6232" s="1172"/>
      <c r="I6232" s="1447"/>
      <c r="J6232" s="1081"/>
      <c r="K6232" s="1493" t="s">
        <v>4541</v>
      </c>
      <c r="L6232" s="1081">
        <v>100000</v>
      </c>
      <c r="M6232" s="1493" t="s">
        <v>5484</v>
      </c>
      <c r="N6232" s="1081">
        <v>11000000</v>
      </c>
      <c r="O6232" s="1383" t="s">
        <v>5262</v>
      </c>
      <c r="P6232" s="644">
        <v>0</v>
      </c>
      <c r="Q6232" s="1410"/>
      <c r="R6232" s="1290"/>
      <c r="S6232" s="1389" t="s">
        <v>4613</v>
      </c>
      <c r="T6232" s="1191">
        <v>6200</v>
      </c>
      <c r="U6232" s="48"/>
      <c r="V6232" s="49"/>
    </row>
    <row r="6233" spans="7:22">
      <c r="G6233" s="48"/>
      <c r="H6233" s="48"/>
      <c r="I6233" s="1447"/>
      <c r="J6233" s="1081"/>
      <c r="K6233" s="1493" t="s">
        <v>4513</v>
      </c>
      <c r="L6233" s="1081">
        <v>1000000</v>
      </c>
      <c r="M6233" s="1495" t="s">
        <v>5486</v>
      </c>
      <c r="N6233" s="49">
        <v>60000000</v>
      </c>
      <c r="O6233" s="1495"/>
      <c r="P6233" s="644"/>
      <c r="Q6233" s="1412"/>
      <c r="R6233" s="644"/>
      <c r="S6233" s="1448" t="s">
        <v>5479</v>
      </c>
      <c r="T6233" s="1191">
        <v>2300</v>
      </c>
      <c r="U6233" s="1449"/>
      <c r="V6233" s="1191"/>
    </row>
    <row r="6234" spans="7:22">
      <c r="G6234" s="48"/>
      <c r="H6234" s="48"/>
      <c r="I6234" s="1447"/>
      <c r="J6234" s="1081"/>
      <c r="K6234" s="1493" t="s">
        <v>4597</v>
      </c>
      <c r="L6234" s="1081">
        <v>11000000</v>
      </c>
      <c r="M6234" s="1495" t="s">
        <v>5487</v>
      </c>
      <c r="N6234" s="49">
        <v>25000000</v>
      </c>
      <c r="O6234" s="1383"/>
      <c r="P6234" s="644"/>
      <c r="Q6234" s="1422"/>
      <c r="R6234" s="644"/>
      <c r="S6234" s="1448" t="s">
        <v>5480</v>
      </c>
      <c r="T6234" s="1446">
        <v>2400</v>
      </c>
      <c r="U6234" s="1424"/>
      <c r="V6234" s="1446"/>
    </row>
    <row r="6235" spans="7:22">
      <c r="G6235" s="48"/>
      <c r="H6235" s="48"/>
      <c r="I6235" s="1447"/>
      <c r="J6235" s="1081"/>
      <c r="K6235" s="1493" t="s">
        <v>5485</v>
      </c>
      <c r="L6235" s="1081">
        <v>1000000</v>
      </c>
      <c r="M6235" s="1495" t="s">
        <v>4580</v>
      </c>
      <c r="N6235" s="49">
        <v>166500000</v>
      </c>
      <c r="O6235" s="1383"/>
      <c r="P6235" s="644"/>
      <c r="Q6235" s="1422"/>
      <c r="R6235" s="644"/>
      <c r="S6235" s="1449" t="s">
        <v>5487</v>
      </c>
      <c r="T6235" s="1446">
        <v>500</v>
      </c>
      <c r="U6235" s="1408"/>
      <c r="V6235" s="49"/>
    </row>
    <row r="6236" spans="7:22">
      <c r="G6236" s="48"/>
      <c r="H6236" s="48"/>
      <c r="I6236" s="1447"/>
      <c r="J6236" s="1081"/>
      <c r="K6236" s="1493" t="s">
        <v>4876</v>
      </c>
      <c r="L6236" s="1081">
        <v>250000</v>
      </c>
      <c r="M6236" s="1495" t="s">
        <v>5489</v>
      </c>
      <c r="N6236" s="49">
        <v>30000000</v>
      </c>
      <c r="O6236" s="1383"/>
      <c r="P6236" s="644"/>
      <c r="Q6236" s="1382"/>
      <c r="R6236" s="644"/>
      <c r="S6236" s="1449"/>
      <c r="T6236" s="1446"/>
      <c r="U6236" s="1416"/>
      <c r="V6236" s="49"/>
    </row>
    <row r="6237" spans="7:22">
      <c r="G6237" s="48"/>
      <c r="H6237" s="48"/>
      <c r="I6237" s="1447"/>
      <c r="J6237" s="1081"/>
      <c r="K6237" s="1493" t="s">
        <v>4647</v>
      </c>
      <c r="L6237" s="1081">
        <v>2000000</v>
      </c>
      <c r="M6237" s="1493"/>
      <c r="N6237" s="49"/>
      <c r="O6237" s="1383"/>
      <c r="P6237" s="644"/>
      <c r="Q6237" s="1383"/>
      <c r="R6237" s="644"/>
      <c r="S6237" s="1451"/>
      <c r="T6237" s="1446"/>
      <c r="U6237" s="1438"/>
      <c r="V6237" s="49"/>
    </row>
    <row r="6238" spans="7:22">
      <c r="G6238" s="48"/>
      <c r="H6238" s="48"/>
      <c r="I6238" s="1447"/>
      <c r="J6238" s="1081"/>
      <c r="K6238" s="1493"/>
      <c r="L6238" s="1081"/>
      <c r="M6238" s="1495"/>
      <c r="N6238" s="49"/>
      <c r="O6238" s="1383"/>
      <c r="P6238" s="644"/>
      <c r="Q6238" s="1385"/>
      <c r="R6238" s="644"/>
      <c r="S6238" s="48"/>
      <c r="T6238" s="1446"/>
      <c r="U6238" s="1416"/>
      <c r="V6238" s="49"/>
    </row>
    <row r="6239" spans="7:22">
      <c r="G6239" s="48"/>
      <c r="H6239" s="48"/>
      <c r="I6239" s="1447"/>
      <c r="J6239" s="1081"/>
      <c r="K6239" s="1493"/>
      <c r="L6239" s="1081"/>
      <c r="M6239" s="1495"/>
      <c r="N6239" s="49"/>
      <c r="O6239" s="644"/>
      <c r="P6239" s="644"/>
      <c r="Q6239" s="1383"/>
      <c r="R6239" s="644"/>
      <c r="S6239" s="48"/>
      <c r="T6239" s="1446"/>
      <c r="U6239" s="1408"/>
      <c r="V6239" s="49"/>
    </row>
    <row r="6240" spans="7:22">
      <c r="G6240" s="48"/>
      <c r="H6240" s="48"/>
      <c r="I6240" s="1450"/>
      <c r="J6240" s="1081"/>
      <c r="K6240" s="1509"/>
      <c r="L6240" s="1081"/>
      <c r="M6240" s="1498"/>
      <c r="N6240" s="49"/>
      <c r="O6240" s="644"/>
      <c r="P6240" s="644"/>
      <c r="Q6240" s="1290"/>
      <c r="R6240" s="644"/>
      <c r="S6240" s="48"/>
      <c r="T6240" s="1446"/>
      <c r="U6240" s="1408"/>
      <c r="V6240" s="49"/>
    </row>
    <row r="6241" spans="7:22">
      <c r="G6241" s="48"/>
      <c r="H6241" s="48"/>
      <c r="I6241" s="1450"/>
      <c r="J6241" s="1081"/>
      <c r="K6241" s="1493"/>
      <c r="L6241" s="1081"/>
      <c r="M6241" s="1498"/>
      <c r="N6241" s="49"/>
      <c r="O6241" s="644"/>
      <c r="P6241" s="644"/>
      <c r="Q6241" s="1383"/>
      <c r="R6241" s="644"/>
      <c r="S6241" s="48"/>
      <c r="T6241" s="1446"/>
      <c r="U6241" s="48"/>
      <c r="V6241" s="48"/>
    </row>
    <row r="6242" spans="7:22">
      <c r="G6242" s="48"/>
      <c r="H6242" s="48"/>
      <c r="I6242" s="1450"/>
      <c r="J6242" s="1081"/>
      <c r="K6242" s="1509"/>
      <c r="L6242" s="1081"/>
      <c r="M6242" s="1498"/>
      <c r="N6242" s="49"/>
      <c r="O6242" s="644"/>
      <c r="P6242" s="644"/>
      <c r="Q6242" s="1290"/>
      <c r="R6242" s="644"/>
      <c r="S6242" s="48"/>
      <c r="T6242" s="1446"/>
      <c r="U6242" s="48"/>
      <c r="V6242" s="48"/>
    </row>
    <row r="6243" spans="7:22">
      <c r="G6243" s="48"/>
      <c r="H6243" s="48"/>
      <c r="I6243" s="1444"/>
      <c r="J6243" s="1081"/>
      <c r="K6243" s="1509"/>
      <c r="L6243" s="1081"/>
      <c r="M6243" s="1498"/>
      <c r="N6243" s="49"/>
      <c r="O6243" s="644"/>
      <c r="P6243" s="644"/>
      <c r="Q6243" s="1290"/>
      <c r="R6243" s="644"/>
      <c r="S6243" s="48"/>
      <c r="T6243" s="1446"/>
      <c r="U6243" s="48"/>
      <c r="V6243" s="48"/>
    </row>
    <row r="6244" spans="7:22">
      <c r="G6244" s="48"/>
      <c r="H6244" s="48"/>
      <c r="I6244" s="1432"/>
      <c r="J6244" s="49"/>
      <c r="K6244" s="1498"/>
      <c r="L6244" s="49"/>
      <c r="M6244" s="1498"/>
      <c r="N6244" s="49"/>
      <c r="O6244" s="644"/>
      <c r="P6244" s="644"/>
      <c r="Q6244" s="1290"/>
      <c r="R6244" s="644"/>
      <c r="S6244" s="48"/>
      <c r="T6244" s="1446"/>
      <c r="U6244" s="48"/>
      <c r="V6244" s="48"/>
    </row>
    <row r="6245" spans="7:22">
      <c r="G6245" s="48"/>
      <c r="H6245" s="48"/>
      <c r="I6245" s="1432"/>
      <c r="J6245" s="49"/>
      <c r="K6245" s="1498"/>
      <c r="L6245" s="49"/>
      <c r="M6245" s="1498"/>
      <c r="N6245" s="49"/>
      <c r="O6245" s="644"/>
      <c r="P6245" s="644"/>
      <c r="Q6245" s="1290"/>
      <c r="R6245" s="644"/>
      <c r="S6245" s="48"/>
      <c r="T6245" s="1446"/>
      <c r="U6245" s="48"/>
      <c r="V6245" s="48"/>
    </row>
    <row r="6246" spans="7:22">
      <c r="G6246" s="48"/>
      <c r="H6246" s="48"/>
      <c r="I6246" s="1432"/>
      <c r="J6246" s="49"/>
      <c r="K6246" s="1498"/>
      <c r="L6246" s="49"/>
      <c r="M6246" s="1498"/>
      <c r="N6246" s="49"/>
      <c r="O6246" s="644"/>
      <c r="P6246" s="644"/>
      <c r="Q6246" s="1290"/>
      <c r="R6246" s="644"/>
      <c r="S6246" s="48"/>
      <c r="T6246" s="1446"/>
      <c r="U6246" s="48"/>
      <c r="V6246" s="48"/>
    </row>
    <row r="6247" spans="7:22">
      <c r="G6247" s="48"/>
      <c r="H6247" s="48"/>
      <c r="I6247" s="48"/>
      <c r="J6247" s="49"/>
      <c r="K6247" s="1498"/>
      <c r="L6247" s="49"/>
      <c r="M6247" s="1498"/>
      <c r="N6247" s="49"/>
      <c r="O6247" s="644"/>
      <c r="P6247" s="644"/>
      <c r="Q6247" s="1290"/>
      <c r="R6247" s="644"/>
      <c r="S6247" s="48"/>
      <c r="T6247" s="1446"/>
      <c r="U6247" s="48"/>
      <c r="V6247" s="48"/>
    </row>
    <row r="6248" spans="7:22">
      <c r="G6248" s="48"/>
      <c r="H6248" s="48"/>
      <c r="I6248" s="48"/>
      <c r="J6248" s="49"/>
      <c r="K6248" s="1498"/>
      <c r="L6248" s="49"/>
      <c r="M6248" s="1498"/>
      <c r="N6248" s="49"/>
      <c r="O6248" s="644"/>
      <c r="P6248" s="644"/>
      <c r="Q6248" s="1290"/>
      <c r="R6248" s="644"/>
      <c r="S6248" s="48"/>
      <c r="T6248" s="1446"/>
      <c r="U6248" s="48"/>
      <c r="V6248" s="48"/>
    </row>
    <row r="6249" spans="7:22">
      <c r="G6249" s="48"/>
      <c r="H6249" s="48"/>
      <c r="I6249" s="48"/>
      <c r="J6249" s="49"/>
      <c r="K6249" s="1498"/>
      <c r="L6249" s="49"/>
      <c r="M6249" s="1498"/>
      <c r="N6249" s="49"/>
      <c r="O6249" s="644"/>
      <c r="P6249" s="644"/>
      <c r="Q6249" s="1290"/>
      <c r="R6249" s="644"/>
      <c r="S6249" s="48"/>
      <c r="T6249" s="1446"/>
      <c r="U6249" s="48"/>
      <c r="V6249" s="48"/>
    </row>
    <row r="6250" spans="7:22">
      <c r="G6250" s="48"/>
      <c r="H6250" s="48"/>
      <c r="I6250" s="48"/>
      <c r="J6250" s="49"/>
      <c r="K6250" s="1498"/>
      <c r="L6250" s="49"/>
      <c r="M6250" s="1498"/>
      <c r="N6250" s="49"/>
      <c r="O6250" s="644"/>
      <c r="P6250" s="644"/>
      <c r="Q6250" s="1290"/>
      <c r="R6250" s="644"/>
      <c r="S6250" s="48"/>
      <c r="T6250" s="1446"/>
      <c r="U6250" s="48"/>
      <c r="V6250" s="48"/>
    </row>
    <row r="6251" spans="7:22">
      <c r="G6251" s="48"/>
      <c r="H6251" s="48"/>
      <c r="I6251" s="48"/>
      <c r="J6251" s="954">
        <f>SUM(J6231:J6250)</f>
        <v>0</v>
      </c>
      <c r="K6251" s="954"/>
      <c r="L6251" s="954">
        <f>SUM(L6231:L6250)</f>
        <v>397950000</v>
      </c>
      <c r="M6251" s="1498"/>
      <c r="N6251" s="954">
        <f>SUM(N6231:N6250)</f>
        <v>1184100000</v>
      </c>
      <c r="O6251" s="644"/>
      <c r="P6251" s="969">
        <f>SUM(P6231:P6238)</f>
        <v>0</v>
      </c>
      <c r="Q6251" s="969"/>
      <c r="R6251" s="969">
        <f>SUM(R6231:R6250)</f>
        <v>0</v>
      </c>
      <c r="S6251" s="48"/>
      <c r="T6251" s="1178">
        <f>SUM(T6231:T6250)</f>
        <v>11400</v>
      </c>
      <c r="U6251" s="48"/>
      <c r="V6251" s="878">
        <f>SUM(V6231:V6250)</f>
        <v>0</v>
      </c>
    </row>
    <row r="6252" spans="7:22">
      <c r="T6252" s="1445"/>
    </row>
    <row r="6253" spans="7:22">
      <c r="T6253" s="1445"/>
    </row>
    <row r="6254" spans="7:22">
      <c r="R6254" s="661"/>
      <c r="T6254" s="1445"/>
    </row>
    <row r="6255" spans="7:22">
      <c r="T6255" s="1445"/>
    </row>
    <row r="6256" spans="7:22">
      <c r="K6256" s="3" t="s">
        <v>5310</v>
      </c>
      <c r="T6256" s="1445"/>
    </row>
    <row r="6257" spans="7:22">
      <c r="I6257" s="946"/>
      <c r="M6257" s="1533" t="s">
        <v>3699</v>
      </c>
      <c r="O6257" s="1535" t="s">
        <v>3741</v>
      </c>
      <c r="P6257" s="1512">
        <f>P6251-R6251</f>
        <v>0</v>
      </c>
      <c r="S6257" s="906" t="s">
        <v>4049</v>
      </c>
      <c r="T6257" s="1107">
        <f>T6251-V6251</f>
        <v>11400</v>
      </c>
    </row>
    <row r="6258" spans="7:22">
      <c r="G6258" s="1574" t="s">
        <v>3530</v>
      </c>
      <c r="H6258" s="1574"/>
      <c r="I6258" s="1574"/>
      <c r="J6258" s="3">
        <f>J6251+L6251</f>
        <v>397950000</v>
      </c>
      <c r="K6258" s="1009"/>
      <c r="L6258" s="3"/>
      <c r="M6258" s="1533" t="s">
        <v>3664</v>
      </c>
      <c r="N6258" s="1527"/>
      <c r="O6258" s="1535" t="s">
        <v>4066</v>
      </c>
      <c r="P6258" s="1512"/>
      <c r="T6258" s="1445"/>
    </row>
    <row r="6259" spans="7:22">
      <c r="G6259" s="1574" t="s">
        <v>3512</v>
      </c>
      <c r="H6259" s="1574"/>
      <c r="I6259" s="1574"/>
      <c r="J6259" s="3">
        <f>N6251-J6258</f>
        <v>786150000</v>
      </c>
      <c r="K6259" s="1009"/>
      <c r="L6259" s="3"/>
      <c r="M6259" s="1528"/>
      <c r="O6259" s="1529"/>
      <c r="Q6259" s="661"/>
      <c r="T6259" s="1445"/>
    </row>
    <row r="6260" spans="7:22">
      <c r="G6260" s="1574" t="s">
        <v>3531</v>
      </c>
      <c r="H6260" s="1574"/>
      <c r="I6260" s="1574"/>
      <c r="J6260" s="3">
        <f>+T6257</f>
        <v>11400</v>
      </c>
      <c r="Q6260" s="3"/>
      <c r="T6260" s="1445"/>
    </row>
    <row r="6261" spans="7:22">
      <c r="G6261" s="1564" t="s">
        <v>4455</v>
      </c>
      <c r="H6261" s="1564"/>
      <c r="I6261" s="1564"/>
      <c r="J6261" s="3">
        <f>+P6257</f>
        <v>0</v>
      </c>
      <c r="R6261" s="3"/>
      <c r="T6261" s="1445"/>
    </row>
    <row r="6262" spans="7:22">
      <c r="T6262" s="1445"/>
    </row>
    <row r="6265" spans="7:22">
      <c r="T6265" s="1445"/>
    </row>
    <row r="6266" spans="7:22">
      <c r="G6266" s="1008">
        <v>46139</v>
      </c>
      <c r="H6266" s="1169"/>
      <c r="I6266" s="1575" t="s">
        <v>3510</v>
      </c>
      <c r="J6266" s="1576"/>
      <c r="K6266" s="1575" t="s">
        <v>3509</v>
      </c>
      <c r="L6266" s="1576"/>
      <c r="M6266" s="1575" t="s">
        <v>3541</v>
      </c>
      <c r="N6266" s="1576"/>
      <c r="O6266" s="1577" t="s">
        <v>3598</v>
      </c>
      <c r="P6266" s="1578"/>
      <c r="Q6266" s="1579" t="s">
        <v>3599</v>
      </c>
      <c r="R6266" s="1580"/>
      <c r="S6266" s="1581" t="s">
        <v>3953</v>
      </c>
      <c r="T6266" s="1582"/>
      <c r="U6266" s="1581" t="s">
        <v>3954</v>
      </c>
      <c r="V6266" s="1582"/>
    </row>
    <row r="6267" spans="7:22">
      <c r="G6267" s="1097"/>
      <c r="H6267" s="1261"/>
      <c r="I6267" s="1454" t="s">
        <v>5491</v>
      </c>
      <c r="J6267" s="1081">
        <v>93000000</v>
      </c>
      <c r="K6267" s="1493" t="s">
        <v>5495</v>
      </c>
      <c r="L6267" s="1081">
        <v>7000000</v>
      </c>
      <c r="M6267" s="1495" t="s">
        <v>4613</v>
      </c>
      <c r="N6267" s="1495">
        <v>200000000</v>
      </c>
      <c r="O6267" s="1383"/>
      <c r="P6267" s="644"/>
      <c r="Q6267" s="1279"/>
      <c r="R6267" s="644"/>
      <c r="S6267" s="1223"/>
      <c r="T6267" s="1191"/>
      <c r="U6267" s="1232"/>
      <c r="V6267" s="48"/>
    </row>
    <row r="6268" spans="7:22">
      <c r="G6268" s="1098"/>
      <c r="H6268" s="1172"/>
      <c r="I6268" s="1454" t="s">
        <v>5492</v>
      </c>
      <c r="J6268" s="1081">
        <v>45500000</v>
      </c>
      <c r="K6268" s="1493">
        <v>400</v>
      </c>
      <c r="L6268" s="1081">
        <v>4800000</v>
      </c>
      <c r="M6268" s="1493" t="s">
        <v>5490</v>
      </c>
      <c r="N6268" s="1081">
        <v>85000000</v>
      </c>
      <c r="O6268" s="1383" t="s">
        <v>5262</v>
      </c>
      <c r="P6268" s="644">
        <v>0</v>
      </c>
      <c r="Q6268" s="1410"/>
      <c r="R6268" s="1290"/>
      <c r="S6268" s="1389" t="s">
        <v>4613</v>
      </c>
      <c r="T6268" s="1191">
        <v>6200</v>
      </c>
      <c r="U6268" s="48"/>
      <c r="V6268" s="49"/>
    </row>
    <row r="6269" spans="7:22">
      <c r="G6269" s="48"/>
      <c r="H6269" s="48"/>
      <c r="I6269" s="1454" t="s">
        <v>5493</v>
      </c>
      <c r="J6269" s="1081">
        <v>45500000</v>
      </c>
      <c r="K6269" s="1493" t="s">
        <v>5498</v>
      </c>
      <c r="L6269" s="1081">
        <v>2000000</v>
      </c>
      <c r="M6269" s="1495" t="s">
        <v>5101</v>
      </c>
      <c r="N6269" s="49">
        <v>1000000000</v>
      </c>
      <c r="O6269" s="1495"/>
      <c r="P6269" s="644"/>
      <c r="Q6269" s="1412"/>
      <c r="R6269" s="644"/>
      <c r="S6269" s="1448" t="s">
        <v>5479</v>
      </c>
      <c r="T6269" s="1191">
        <v>2300</v>
      </c>
      <c r="U6269" s="1449"/>
      <c r="V6269" s="1191"/>
    </row>
    <row r="6270" spans="7:22">
      <c r="G6270" s="48"/>
      <c r="H6270" s="48"/>
      <c r="I6270" s="1454" t="s">
        <v>5494</v>
      </c>
      <c r="J6270" s="1081">
        <v>91000000</v>
      </c>
      <c r="K6270" s="1493" t="s">
        <v>4647</v>
      </c>
      <c r="L6270" s="1081">
        <v>8000000</v>
      </c>
      <c r="M6270" s="1495"/>
      <c r="N6270" s="49"/>
      <c r="O6270" s="1383"/>
      <c r="P6270" s="644"/>
      <c r="Q6270" s="1422"/>
      <c r="R6270" s="644"/>
      <c r="S6270" s="1448" t="s">
        <v>5480</v>
      </c>
      <c r="T6270" s="1446">
        <v>2400</v>
      </c>
      <c r="U6270" s="1424"/>
      <c r="V6270" s="1446"/>
    </row>
    <row r="6271" spans="7:22">
      <c r="G6271" s="48"/>
      <c r="H6271" s="48"/>
      <c r="I6271" s="1454" t="s">
        <v>5496</v>
      </c>
      <c r="J6271" s="1081">
        <v>54600000</v>
      </c>
      <c r="K6271" s="1493" t="s">
        <v>4965</v>
      </c>
      <c r="L6271" s="1081">
        <v>9600000</v>
      </c>
      <c r="M6271" s="1495"/>
      <c r="N6271" s="49"/>
      <c r="O6271" s="1383"/>
      <c r="P6271" s="644"/>
      <c r="Q6271" s="1422"/>
      <c r="R6271" s="644"/>
      <c r="S6271" s="1449" t="s">
        <v>5487</v>
      </c>
      <c r="T6271" s="1446">
        <v>500</v>
      </c>
      <c r="U6271" s="1408"/>
      <c r="V6271" s="49"/>
    </row>
    <row r="6272" spans="7:22">
      <c r="G6272" s="48"/>
      <c r="H6272" s="48"/>
      <c r="I6272" s="1454" t="s">
        <v>5497</v>
      </c>
      <c r="J6272" s="1081">
        <v>18200000</v>
      </c>
      <c r="K6272" s="1493" t="s">
        <v>4777</v>
      </c>
      <c r="L6272" s="1081">
        <v>13150000</v>
      </c>
      <c r="M6272" s="1495"/>
      <c r="N6272" s="49"/>
      <c r="O6272" s="1383"/>
      <c r="P6272" s="644"/>
      <c r="Q6272" s="1382"/>
      <c r="R6272" s="644"/>
      <c r="S6272" s="1449"/>
      <c r="T6272" s="1446"/>
      <c r="U6272" s="1416"/>
      <c r="V6272" s="49"/>
    </row>
    <row r="6273" spans="7:22">
      <c r="G6273" s="48"/>
      <c r="H6273" s="48"/>
      <c r="I6273" s="1447"/>
      <c r="J6273" s="1081"/>
      <c r="K6273" s="1493"/>
      <c r="L6273" s="1081"/>
      <c r="M6273" s="1493"/>
      <c r="N6273" s="49"/>
      <c r="O6273" s="1383"/>
      <c r="P6273" s="644"/>
      <c r="Q6273" s="1383"/>
      <c r="R6273" s="644"/>
      <c r="S6273" s="1451"/>
      <c r="T6273" s="1446"/>
      <c r="U6273" s="1438"/>
      <c r="V6273" s="49"/>
    </row>
    <row r="6274" spans="7:22">
      <c r="G6274" s="48"/>
      <c r="H6274" s="48"/>
      <c r="I6274" s="1447"/>
      <c r="J6274" s="1081"/>
      <c r="K6274" s="1493"/>
      <c r="L6274" s="1081"/>
      <c r="M6274" s="1495"/>
      <c r="N6274" s="49"/>
      <c r="O6274" s="1383"/>
      <c r="P6274" s="644"/>
      <c r="Q6274" s="1385"/>
      <c r="R6274" s="644"/>
      <c r="S6274" s="48"/>
      <c r="T6274" s="1446"/>
      <c r="U6274" s="1416"/>
      <c r="V6274" s="49"/>
    </row>
    <row r="6275" spans="7:22">
      <c r="G6275" s="48"/>
      <c r="H6275" s="48"/>
      <c r="I6275" s="1447"/>
      <c r="J6275" s="1081"/>
      <c r="K6275" s="1493"/>
      <c r="L6275" s="1081"/>
      <c r="M6275" s="1495"/>
      <c r="N6275" s="49"/>
      <c r="O6275" s="644"/>
      <c r="P6275" s="644"/>
      <c r="Q6275" s="1383"/>
      <c r="R6275" s="644"/>
      <c r="S6275" s="48"/>
      <c r="T6275" s="1446"/>
      <c r="U6275" s="1408"/>
      <c r="V6275" s="49"/>
    </row>
    <row r="6276" spans="7:22">
      <c r="G6276" s="48"/>
      <c r="H6276" s="48"/>
      <c r="I6276" s="1450"/>
      <c r="J6276" s="1081"/>
      <c r="K6276" s="1509"/>
      <c r="L6276" s="1081"/>
      <c r="M6276" s="1498"/>
      <c r="N6276" s="49"/>
      <c r="O6276" s="644"/>
      <c r="P6276" s="644"/>
      <c r="Q6276" s="1290"/>
      <c r="R6276" s="644"/>
      <c r="S6276" s="48"/>
      <c r="T6276" s="1446"/>
      <c r="U6276" s="1408"/>
      <c r="V6276" s="49"/>
    </row>
    <row r="6277" spans="7:22">
      <c r="G6277" s="48"/>
      <c r="H6277" s="48"/>
      <c r="I6277" s="1450"/>
      <c r="J6277" s="1081"/>
      <c r="K6277" s="1493"/>
      <c r="L6277" s="1081"/>
      <c r="M6277" s="1498"/>
      <c r="N6277" s="49"/>
      <c r="O6277" s="644"/>
      <c r="P6277" s="644"/>
      <c r="Q6277" s="1383"/>
      <c r="R6277" s="644"/>
      <c r="S6277" s="48"/>
      <c r="T6277" s="1446"/>
      <c r="U6277" s="48"/>
      <c r="V6277" s="48"/>
    </row>
    <row r="6278" spans="7:22">
      <c r="G6278" s="48"/>
      <c r="H6278" s="48"/>
      <c r="I6278" s="1450"/>
      <c r="J6278" s="1081"/>
      <c r="K6278" s="1509"/>
      <c r="L6278" s="1081"/>
      <c r="M6278" s="1498"/>
      <c r="N6278" s="49"/>
      <c r="O6278" s="644"/>
      <c r="P6278" s="644"/>
      <c r="Q6278" s="1290"/>
      <c r="R6278" s="644"/>
      <c r="S6278" s="48"/>
      <c r="T6278" s="1446"/>
      <c r="U6278" s="48"/>
      <c r="V6278" s="48"/>
    </row>
    <row r="6279" spans="7:22">
      <c r="G6279" s="48"/>
      <c r="H6279" s="48"/>
      <c r="I6279" s="1444"/>
      <c r="J6279" s="1081"/>
      <c r="K6279" s="1509"/>
      <c r="L6279" s="1081"/>
      <c r="M6279" s="1498"/>
      <c r="N6279" s="49"/>
      <c r="O6279" s="644"/>
      <c r="P6279" s="644"/>
      <c r="Q6279" s="1290"/>
      <c r="R6279" s="644"/>
      <c r="S6279" s="48"/>
      <c r="T6279" s="1446"/>
      <c r="U6279" s="48"/>
      <c r="V6279" s="48"/>
    </row>
    <row r="6280" spans="7:22">
      <c r="G6280" s="48"/>
      <c r="H6280" s="48"/>
      <c r="I6280" s="1432"/>
      <c r="J6280" s="49"/>
      <c r="K6280" s="1498"/>
      <c r="L6280" s="49"/>
      <c r="M6280" s="1498"/>
      <c r="N6280" s="49"/>
      <c r="O6280" s="644"/>
      <c r="P6280" s="644"/>
      <c r="Q6280" s="1290"/>
      <c r="R6280" s="644"/>
      <c r="S6280" s="48"/>
      <c r="T6280" s="1446"/>
      <c r="U6280" s="48"/>
      <c r="V6280" s="48"/>
    </row>
    <row r="6281" spans="7:22">
      <c r="G6281" s="48"/>
      <c r="H6281" s="48"/>
      <c r="I6281" s="1432"/>
      <c r="J6281" s="49"/>
      <c r="K6281" s="1498"/>
      <c r="L6281" s="49"/>
      <c r="M6281" s="1498"/>
      <c r="N6281" s="49"/>
      <c r="O6281" s="644"/>
      <c r="P6281" s="644"/>
      <c r="Q6281" s="1290"/>
      <c r="R6281" s="644"/>
      <c r="S6281" s="48"/>
      <c r="T6281" s="1446"/>
      <c r="U6281" s="48"/>
      <c r="V6281" s="48"/>
    </row>
    <row r="6282" spans="7:22">
      <c r="G6282" s="48"/>
      <c r="H6282" s="48"/>
      <c r="I6282" s="1432"/>
      <c r="J6282" s="49"/>
      <c r="K6282" s="1498"/>
      <c r="L6282" s="49"/>
      <c r="M6282" s="1498"/>
      <c r="N6282" s="49"/>
      <c r="O6282" s="644"/>
      <c r="P6282" s="644"/>
      <c r="Q6282" s="1290"/>
      <c r="R6282" s="644"/>
      <c r="S6282" s="48"/>
      <c r="T6282" s="1446"/>
      <c r="U6282" s="48"/>
      <c r="V6282" s="48"/>
    </row>
    <row r="6283" spans="7:22">
      <c r="G6283" s="48"/>
      <c r="H6283" s="48"/>
      <c r="I6283" s="48"/>
      <c r="J6283" s="49"/>
      <c r="K6283" s="1498"/>
      <c r="L6283" s="49"/>
      <c r="M6283" s="1498"/>
      <c r="N6283" s="49"/>
      <c r="O6283" s="644"/>
      <c r="P6283" s="644"/>
      <c r="Q6283" s="1290"/>
      <c r="R6283" s="644"/>
      <c r="S6283" s="48"/>
      <c r="T6283" s="1446"/>
      <c r="U6283" s="48"/>
      <c r="V6283" s="48"/>
    </row>
    <row r="6284" spans="7:22">
      <c r="G6284" s="48"/>
      <c r="H6284" s="48"/>
      <c r="I6284" s="48"/>
      <c r="J6284" s="49"/>
      <c r="K6284" s="1498"/>
      <c r="L6284" s="49"/>
      <c r="M6284" s="1498"/>
      <c r="N6284" s="49"/>
      <c r="O6284" s="644"/>
      <c r="P6284" s="644"/>
      <c r="Q6284" s="1290"/>
      <c r="R6284" s="644"/>
      <c r="S6284" s="48"/>
      <c r="T6284" s="1446"/>
      <c r="U6284" s="48"/>
      <c r="V6284" s="48"/>
    </row>
    <row r="6285" spans="7:22">
      <c r="G6285" s="48"/>
      <c r="H6285" s="48"/>
      <c r="I6285" s="48"/>
      <c r="J6285" s="49"/>
      <c r="K6285" s="1498"/>
      <c r="L6285" s="49"/>
      <c r="M6285" s="1498"/>
      <c r="N6285" s="49"/>
      <c r="O6285" s="644"/>
      <c r="P6285" s="644"/>
      <c r="Q6285" s="1290"/>
      <c r="R6285" s="644"/>
      <c r="S6285" s="48"/>
      <c r="T6285" s="1446"/>
      <c r="U6285" s="48"/>
      <c r="V6285" s="48"/>
    </row>
    <row r="6286" spans="7:22">
      <c r="G6286" s="48"/>
      <c r="H6286" s="48"/>
      <c r="I6286" s="48"/>
      <c r="J6286" s="49"/>
      <c r="K6286" s="1498"/>
      <c r="L6286" s="49"/>
      <c r="M6286" s="1498"/>
      <c r="N6286" s="49"/>
      <c r="O6286" s="644"/>
      <c r="P6286" s="644"/>
      <c r="Q6286" s="1290"/>
      <c r="R6286" s="644"/>
      <c r="S6286" s="48"/>
      <c r="T6286" s="1446"/>
      <c r="U6286" s="48"/>
      <c r="V6286" s="48"/>
    </row>
    <row r="6287" spans="7:22">
      <c r="G6287" s="48"/>
      <c r="H6287" s="48"/>
      <c r="I6287" s="48"/>
      <c r="J6287" s="954">
        <f>SUM(J6267:J6286)</f>
        <v>347800000</v>
      </c>
      <c r="K6287" s="954"/>
      <c r="L6287" s="954">
        <f>SUM(L6267:L6286)</f>
        <v>44550000</v>
      </c>
      <c r="M6287" s="1498"/>
      <c r="N6287" s="954">
        <f>SUM(N6267:N6286)</f>
        <v>1285000000</v>
      </c>
      <c r="O6287" s="644"/>
      <c r="P6287" s="969">
        <f>SUM(P6267:P6274)</f>
        <v>0</v>
      </c>
      <c r="Q6287" s="969"/>
      <c r="R6287" s="969">
        <f>SUM(R6267:R6286)</f>
        <v>0</v>
      </c>
      <c r="S6287" s="48"/>
      <c r="T6287" s="1178">
        <f>SUM(T6267:T6286)</f>
        <v>11400</v>
      </c>
      <c r="U6287" s="48"/>
      <c r="V6287" s="878">
        <f>SUM(V6267:V6286)</f>
        <v>0</v>
      </c>
    </row>
    <row r="6288" spans="7:22">
      <c r="T6288" s="1445"/>
    </row>
    <row r="6289" spans="7:22">
      <c r="T6289" s="1445"/>
    </row>
    <row r="6290" spans="7:22">
      <c r="R6290" s="661"/>
      <c r="T6290" s="1445"/>
    </row>
    <row r="6291" spans="7:22">
      <c r="T6291" s="1445"/>
    </row>
    <row r="6292" spans="7:22">
      <c r="K6292" s="3" t="s">
        <v>5310</v>
      </c>
      <c r="T6292" s="1445"/>
    </row>
    <row r="6293" spans="7:22">
      <c r="I6293" s="946"/>
      <c r="M6293" s="1533" t="s">
        <v>3699</v>
      </c>
      <c r="O6293" s="1535" t="s">
        <v>3741</v>
      </c>
      <c r="P6293" s="1512">
        <f>P6287-R6287</f>
        <v>0</v>
      </c>
      <c r="S6293" s="906" t="s">
        <v>4049</v>
      </c>
      <c r="T6293" s="1107">
        <f>T6287-V6287</f>
        <v>11400</v>
      </c>
    </row>
    <row r="6294" spans="7:22">
      <c r="G6294" s="1574" t="s">
        <v>3530</v>
      </c>
      <c r="H6294" s="1574"/>
      <c r="I6294" s="1574"/>
      <c r="J6294" s="3">
        <f>J6287+L6287</f>
        <v>392350000</v>
      </c>
      <c r="K6294" s="1009"/>
      <c r="L6294" s="3"/>
      <c r="M6294" s="1533" t="s">
        <v>3664</v>
      </c>
      <c r="N6294" s="1527"/>
      <c r="O6294" s="1535" t="s">
        <v>4066</v>
      </c>
      <c r="P6294" s="1512"/>
      <c r="T6294" s="1445"/>
    </row>
    <row r="6295" spans="7:22">
      <c r="G6295" s="1574" t="s">
        <v>3512</v>
      </c>
      <c r="H6295" s="1574"/>
      <c r="I6295" s="1574"/>
      <c r="J6295" s="3">
        <f>N6287-J6294</f>
        <v>892650000</v>
      </c>
      <c r="K6295" s="1009"/>
      <c r="L6295" s="3"/>
      <c r="M6295" s="1528"/>
      <c r="O6295" s="1529"/>
      <c r="Q6295" s="661"/>
      <c r="T6295" s="1445"/>
    </row>
    <row r="6296" spans="7:22">
      <c r="G6296" s="1574" t="s">
        <v>3531</v>
      </c>
      <c r="H6296" s="1574"/>
      <c r="I6296" s="1574"/>
      <c r="J6296" s="3">
        <f>+T6293</f>
        <v>11400</v>
      </c>
      <c r="Q6296" s="3"/>
      <c r="T6296" s="1445"/>
    </row>
    <row r="6297" spans="7:22">
      <c r="G6297" s="1564" t="s">
        <v>4455</v>
      </c>
      <c r="H6297" s="1564"/>
      <c r="I6297" s="1564"/>
      <c r="J6297" s="3">
        <f>+P6293</f>
        <v>0</v>
      </c>
      <c r="R6297" s="3"/>
      <c r="T6297" s="1445"/>
    </row>
    <row r="6298" spans="7:22">
      <c r="T6298" s="1445"/>
    </row>
    <row r="6300" spans="7:22">
      <c r="T6300" s="1445"/>
    </row>
    <row r="6301" spans="7:22">
      <c r="T6301" s="1445"/>
    </row>
    <row r="6302" spans="7:22">
      <c r="G6302" s="1008">
        <v>46140</v>
      </c>
      <c r="H6302" s="1169"/>
      <c r="I6302" s="1575" t="s">
        <v>3510</v>
      </c>
      <c r="J6302" s="1576"/>
      <c r="K6302" s="1575" t="s">
        <v>3509</v>
      </c>
      <c r="L6302" s="1576"/>
      <c r="M6302" s="1575" t="s">
        <v>3541</v>
      </c>
      <c r="N6302" s="1576"/>
      <c r="O6302" s="1577" t="s">
        <v>3598</v>
      </c>
      <c r="P6302" s="1578"/>
      <c r="Q6302" s="1579" t="s">
        <v>3599</v>
      </c>
      <c r="R6302" s="1580"/>
      <c r="S6302" s="1581" t="s">
        <v>3953</v>
      </c>
      <c r="T6302" s="1582"/>
      <c r="U6302" s="1581" t="s">
        <v>3954</v>
      </c>
      <c r="V6302" s="1582"/>
    </row>
    <row r="6303" spans="7:22">
      <c r="G6303" s="1097"/>
      <c r="H6303" s="1261"/>
      <c r="I6303" s="1454" t="s">
        <v>5499</v>
      </c>
      <c r="J6303" s="1081">
        <v>45000000</v>
      </c>
      <c r="K6303" s="1493" t="s">
        <v>4474</v>
      </c>
      <c r="L6303" s="1081">
        <v>1000000</v>
      </c>
      <c r="M6303" s="1495" t="s">
        <v>4613</v>
      </c>
      <c r="N6303" s="1495">
        <v>393100000</v>
      </c>
      <c r="O6303" s="1383"/>
      <c r="P6303" s="644"/>
      <c r="Q6303" s="1279"/>
      <c r="R6303" s="644"/>
      <c r="S6303" s="1223"/>
      <c r="T6303" s="1191"/>
      <c r="U6303" s="1232"/>
      <c r="V6303" s="48"/>
    </row>
    <row r="6304" spans="7:22">
      <c r="G6304" s="1098"/>
      <c r="H6304" s="1172"/>
      <c r="I6304" s="1454" t="s">
        <v>5514</v>
      </c>
      <c r="J6304" s="1081">
        <v>45540000</v>
      </c>
      <c r="K6304" s="1493" t="s">
        <v>5501</v>
      </c>
      <c r="L6304" s="1081">
        <v>14000000</v>
      </c>
      <c r="M6304" s="1493" t="s">
        <v>5500</v>
      </c>
      <c r="N6304" s="1081">
        <v>8000000</v>
      </c>
      <c r="O6304" s="1383" t="s">
        <v>5262</v>
      </c>
      <c r="P6304" s="644">
        <v>0</v>
      </c>
      <c r="Q6304" s="1410"/>
      <c r="R6304" s="1290"/>
      <c r="S6304" s="1389" t="s">
        <v>4613</v>
      </c>
      <c r="T6304" s="1191">
        <v>12100</v>
      </c>
      <c r="U6304" s="48"/>
      <c r="V6304" s="49"/>
    </row>
    <row r="6305" spans="7:22">
      <c r="G6305" s="48"/>
      <c r="H6305" s="48"/>
      <c r="I6305" s="1454"/>
      <c r="J6305" s="1081"/>
      <c r="K6305" s="1493" t="s">
        <v>5504</v>
      </c>
      <c r="L6305" s="1081">
        <v>2600000</v>
      </c>
      <c r="M6305" s="1495" t="s">
        <v>5509</v>
      </c>
      <c r="N6305" s="49">
        <v>11000000</v>
      </c>
      <c r="O6305" s="1495"/>
      <c r="P6305" s="644"/>
      <c r="Q6305" s="1412"/>
      <c r="R6305" s="644"/>
      <c r="S6305" s="1455" t="s">
        <v>5510</v>
      </c>
      <c r="T6305" s="1191">
        <v>300</v>
      </c>
      <c r="U6305" s="1449"/>
      <c r="V6305" s="1191"/>
    </row>
    <row r="6306" spans="7:22">
      <c r="G6306" s="48"/>
      <c r="H6306" s="48"/>
      <c r="I6306" s="1454"/>
      <c r="J6306" s="1081"/>
      <c r="K6306" s="1493" t="s">
        <v>5505</v>
      </c>
      <c r="L6306" s="1081">
        <v>1000000</v>
      </c>
      <c r="M6306" s="1495" t="s">
        <v>5510</v>
      </c>
      <c r="N6306" s="49">
        <v>26400000</v>
      </c>
      <c r="O6306" s="1383"/>
      <c r="P6306" s="644"/>
      <c r="Q6306" s="1422"/>
      <c r="R6306" s="644"/>
      <c r="S6306" s="1448"/>
      <c r="T6306" s="1446">
        <v>100</v>
      </c>
      <c r="U6306" s="1424"/>
      <c r="V6306" s="1446"/>
    </row>
    <row r="6307" spans="7:22">
      <c r="G6307" s="48"/>
      <c r="H6307" s="48"/>
      <c r="I6307" s="1454"/>
      <c r="J6307" s="1081"/>
      <c r="K6307" s="1493" t="s">
        <v>5506</v>
      </c>
      <c r="L6307" s="1081">
        <v>3260000</v>
      </c>
      <c r="M6307" s="1495" t="s">
        <v>5513</v>
      </c>
      <c r="N6307" s="49">
        <v>40000000</v>
      </c>
      <c r="O6307" s="1383"/>
      <c r="P6307" s="644"/>
      <c r="Q6307" s="1422"/>
      <c r="R6307" s="644"/>
      <c r="S6307" s="1449"/>
      <c r="T6307" s="1446"/>
      <c r="U6307" s="1408"/>
      <c r="V6307" s="49"/>
    </row>
    <row r="6308" spans="7:22">
      <c r="G6308" s="48"/>
      <c r="H6308" s="48"/>
      <c r="I6308" s="1454"/>
      <c r="J6308" s="1081"/>
      <c r="K6308" s="1493" t="s">
        <v>1951</v>
      </c>
      <c r="L6308" s="1081">
        <v>2500000</v>
      </c>
      <c r="M6308" s="1495"/>
      <c r="N6308" s="49"/>
      <c r="O6308" s="1383"/>
      <c r="P6308" s="644"/>
      <c r="Q6308" s="1382"/>
      <c r="R6308" s="644"/>
      <c r="S6308" s="1449"/>
      <c r="T6308" s="1446"/>
      <c r="U6308" s="1416"/>
      <c r="V6308" s="49"/>
    </row>
    <row r="6309" spans="7:22">
      <c r="G6309" s="48"/>
      <c r="H6309" s="48"/>
      <c r="I6309" s="1447"/>
      <c r="J6309" s="1081"/>
      <c r="K6309" s="1493" t="s">
        <v>5507</v>
      </c>
      <c r="L6309" s="1081">
        <v>1200000</v>
      </c>
      <c r="M6309" s="1493"/>
      <c r="N6309" s="49"/>
      <c r="O6309" s="1383"/>
      <c r="P6309" s="644"/>
      <c r="Q6309" s="1383"/>
      <c r="R6309" s="644"/>
      <c r="S6309" s="1451"/>
      <c r="T6309" s="1446"/>
      <c r="U6309" s="1438"/>
      <c r="V6309" s="49"/>
    </row>
    <row r="6310" spans="7:22">
      <c r="G6310" s="48"/>
      <c r="H6310" s="48"/>
      <c r="I6310" s="1447"/>
      <c r="J6310" s="1081"/>
      <c r="K6310" s="1493" t="s">
        <v>5508</v>
      </c>
      <c r="L6310" s="1081">
        <v>15800000</v>
      </c>
      <c r="M6310" s="1495"/>
      <c r="N6310" s="49"/>
      <c r="O6310" s="1383"/>
      <c r="P6310" s="644"/>
      <c r="Q6310" s="1385"/>
      <c r="R6310" s="644"/>
      <c r="S6310" s="48"/>
      <c r="T6310" s="1446"/>
      <c r="U6310" s="1416"/>
      <c r="V6310" s="49"/>
    </row>
    <row r="6311" spans="7:22">
      <c r="G6311" s="48"/>
      <c r="H6311" s="48"/>
      <c r="I6311" s="1447"/>
      <c r="J6311" s="1081"/>
      <c r="K6311" s="1493" t="s">
        <v>5512</v>
      </c>
      <c r="L6311" s="1081">
        <v>2000000</v>
      </c>
      <c r="M6311" s="1495"/>
      <c r="N6311" s="49"/>
      <c r="O6311" s="644"/>
      <c r="P6311" s="644"/>
      <c r="Q6311" s="1383"/>
      <c r="R6311" s="644"/>
      <c r="S6311" s="48"/>
      <c r="T6311" s="1446"/>
      <c r="U6311" s="1408"/>
      <c r="V6311" s="49"/>
    </row>
    <row r="6312" spans="7:22">
      <c r="G6312" s="48"/>
      <c r="H6312" s="48"/>
      <c r="I6312" s="1450"/>
      <c r="J6312" s="1081"/>
      <c r="K6312" s="1509" t="s">
        <v>5511</v>
      </c>
      <c r="L6312" s="1081">
        <v>5000000</v>
      </c>
      <c r="M6312" s="1498"/>
      <c r="N6312" s="49"/>
      <c r="O6312" s="644"/>
      <c r="P6312" s="644"/>
      <c r="Q6312" s="1290"/>
      <c r="R6312" s="644"/>
      <c r="S6312" s="48"/>
      <c r="T6312" s="1446"/>
      <c r="U6312" s="1408"/>
      <c r="V6312" s="49"/>
    </row>
    <row r="6313" spans="7:22">
      <c r="G6313" s="48"/>
      <c r="H6313" s="48"/>
      <c r="I6313" s="1450"/>
      <c r="J6313" s="1081"/>
      <c r="K6313" s="1493" t="s">
        <v>5515</v>
      </c>
      <c r="L6313" s="1081">
        <v>5000000</v>
      </c>
      <c r="M6313" s="1498"/>
      <c r="N6313" s="49"/>
      <c r="O6313" s="644"/>
      <c r="P6313" s="644"/>
      <c r="Q6313" s="1383"/>
      <c r="R6313" s="644"/>
      <c r="S6313" s="48"/>
      <c r="T6313" s="1446"/>
      <c r="U6313" s="48"/>
      <c r="V6313" s="48"/>
    </row>
    <row r="6314" spans="7:22">
      <c r="G6314" s="48"/>
      <c r="H6314" s="48"/>
      <c r="I6314" s="1450"/>
      <c r="J6314" s="1081"/>
      <c r="K6314" s="1509"/>
      <c r="L6314" s="1081"/>
      <c r="M6314" s="1498"/>
      <c r="N6314" s="49"/>
      <c r="O6314" s="644"/>
      <c r="P6314" s="644"/>
      <c r="Q6314" s="1290"/>
      <c r="R6314" s="644"/>
      <c r="S6314" s="48"/>
      <c r="T6314" s="1446"/>
      <c r="U6314" s="48"/>
      <c r="V6314" s="48"/>
    </row>
    <row r="6315" spans="7:22">
      <c r="G6315" s="48"/>
      <c r="H6315" s="48"/>
      <c r="I6315" s="1444"/>
      <c r="J6315" s="1081"/>
      <c r="K6315" s="1509"/>
      <c r="L6315" s="1081"/>
      <c r="M6315" s="1498"/>
      <c r="N6315" s="49"/>
      <c r="O6315" s="644"/>
      <c r="P6315" s="644"/>
      <c r="Q6315" s="1290"/>
      <c r="R6315" s="644"/>
      <c r="S6315" s="48"/>
      <c r="T6315" s="1446"/>
      <c r="U6315" s="48"/>
      <c r="V6315" s="48"/>
    </row>
    <row r="6316" spans="7:22">
      <c r="G6316" s="48"/>
      <c r="H6316" s="48"/>
      <c r="I6316" s="1432"/>
      <c r="J6316" s="49"/>
      <c r="K6316" s="1498"/>
      <c r="L6316" s="49"/>
      <c r="M6316" s="1498"/>
      <c r="N6316" s="49"/>
      <c r="O6316" s="644"/>
      <c r="P6316" s="644"/>
      <c r="Q6316" s="1290"/>
      <c r="R6316" s="644"/>
      <c r="S6316" s="48"/>
      <c r="T6316" s="1446"/>
      <c r="U6316" s="48"/>
      <c r="V6316" s="48"/>
    </row>
    <row r="6317" spans="7:22">
      <c r="G6317" s="48"/>
      <c r="H6317" s="48"/>
      <c r="I6317" s="1432"/>
      <c r="J6317" s="49"/>
      <c r="K6317" s="1498"/>
      <c r="L6317" s="49"/>
      <c r="M6317" s="1498"/>
      <c r="N6317" s="49"/>
      <c r="O6317" s="644"/>
      <c r="P6317" s="644"/>
      <c r="Q6317" s="1290"/>
      <c r="R6317" s="644"/>
      <c r="S6317" s="48"/>
      <c r="T6317" s="1446"/>
      <c r="U6317" s="48"/>
      <c r="V6317" s="48"/>
    </row>
    <row r="6318" spans="7:22">
      <c r="G6318" s="48"/>
      <c r="H6318" s="48"/>
      <c r="I6318" s="1432"/>
      <c r="J6318" s="49"/>
      <c r="K6318" s="1498"/>
      <c r="L6318" s="49"/>
      <c r="M6318" s="1498"/>
      <c r="N6318" s="49"/>
      <c r="O6318" s="644"/>
      <c r="P6318" s="644"/>
      <c r="Q6318" s="1290"/>
      <c r="R6318" s="644"/>
      <c r="S6318" s="48"/>
      <c r="T6318" s="1446"/>
      <c r="U6318" s="48"/>
      <c r="V6318" s="48"/>
    </row>
    <row r="6319" spans="7:22">
      <c r="G6319" s="48"/>
      <c r="H6319" s="48"/>
      <c r="I6319" s="48"/>
      <c r="J6319" s="49"/>
      <c r="K6319" s="1498"/>
      <c r="L6319" s="49"/>
      <c r="M6319" s="1498"/>
      <c r="N6319" s="49"/>
      <c r="O6319" s="644"/>
      <c r="P6319" s="644"/>
      <c r="Q6319" s="1290"/>
      <c r="R6319" s="644"/>
      <c r="S6319" s="48"/>
      <c r="T6319" s="1446"/>
      <c r="U6319" s="48"/>
      <c r="V6319" s="48"/>
    </row>
    <row r="6320" spans="7:22">
      <c r="G6320" s="48"/>
      <c r="H6320" s="48"/>
      <c r="I6320" s="48"/>
      <c r="J6320" s="49"/>
      <c r="K6320" s="1498"/>
      <c r="L6320" s="49"/>
      <c r="M6320" s="1498"/>
      <c r="N6320" s="49"/>
      <c r="O6320" s="644"/>
      <c r="P6320" s="644"/>
      <c r="Q6320" s="1290"/>
      <c r="R6320" s="644"/>
      <c r="S6320" s="48"/>
      <c r="T6320" s="1446"/>
      <c r="U6320" s="48"/>
      <c r="V6320" s="48"/>
    </row>
    <row r="6321" spans="7:22">
      <c r="G6321" s="48"/>
      <c r="H6321" s="48"/>
      <c r="I6321" s="48"/>
      <c r="J6321" s="49"/>
      <c r="K6321" s="1498"/>
      <c r="L6321" s="49"/>
      <c r="M6321" s="1498"/>
      <c r="N6321" s="49"/>
      <c r="O6321" s="644"/>
      <c r="P6321" s="644"/>
      <c r="Q6321" s="1290"/>
      <c r="R6321" s="644"/>
      <c r="S6321" s="48"/>
      <c r="T6321" s="1446"/>
      <c r="U6321" s="48"/>
      <c r="V6321" s="48"/>
    </row>
    <row r="6322" spans="7:22">
      <c r="G6322" s="48"/>
      <c r="H6322" s="48"/>
      <c r="I6322" s="48"/>
      <c r="J6322" s="49"/>
      <c r="K6322" s="1498"/>
      <c r="L6322" s="49"/>
      <c r="M6322" s="1498"/>
      <c r="N6322" s="49"/>
      <c r="O6322" s="644"/>
      <c r="P6322" s="644"/>
      <c r="Q6322" s="1290"/>
      <c r="R6322" s="644"/>
      <c r="S6322" s="48"/>
      <c r="T6322" s="1446"/>
      <c r="U6322" s="48"/>
      <c r="V6322" s="48"/>
    </row>
    <row r="6323" spans="7:22">
      <c r="G6323" s="48"/>
      <c r="H6323" s="48"/>
      <c r="I6323" s="48"/>
      <c r="J6323" s="954">
        <f>SUM(J6303:J6322)</f>
        <v>90540000</v>
      </c>
      <c r="K6323" s="954"/>
      <c r="L6323" s="954">
        <f>SUM(L6303:L6322)</f>
        <v>53360000</v>
      </c>
      <c r="M6323" s="1498"/>
      <c r="N6323" s="954">
        <f>SUM(N6303:N6322)</f>
        <v>478500000</v>
      </c>
      <c r="O6323" s="644"/>
      <c r="P6323" s="969">
        <f>SUM(P6303:P6310)</f>
        <v>0</v>
      </c>
      <c r="Q6323" s="969"/>
      <c r="R6323" s="969">
        <f>SUM(R6303:R6322)</f>
        <v>0</v>
      </c>
      <c r="S6323" s="48"/>
      <c r="T6323" s="1178">
        <f>SUM(T6303:T6322)</f>
        <v>12500</v>
      </c>
      <c r="U6323" s="48"/>
      <c r="V6323" s="878">
        <f>SUM(V6303:V6322)</f>
        <v>0</v>
      </c>
    </row>
    <row r="6324" spans="7:22">
      <c r="T6324" s="1445"/>
    </row>
    <row r="6325" spans="7:22">
      <c r="T6325" s="1445"/>
    </row>
    <row r="6326" spans="7:22">
      <c r="R6326" s="661"/>
      <c r="T6326" s="1445"/>
    </row>
    <row r="6327" spans="7:22">
      <c r="T6327" s="1445"/>
    </row>
    <row r="6328" spans="7:22">
      <c r="K6328" s="3" t="s">
        <v>5310</v>
      </c>
      <c r="T6328" s="1445"/>
    </row>
    <row r="6329" spans="7:22">
      <c r="I6329" s="946"/>
      <c r="M6329" s="1533" t="s">
        <v>3699</v>
      </c>
      <c r="O6329" s="1535" t="s">
        <v>3741</v>
      </c>
      <c r="P6329" s="1512">
        <f>P6323-R6323</f>
        <v>0</v>
      </c>
      <c r="S6329" s="906" t="s">
        <v>4049</v>
      </c>
      <c r="T6329" s="1107">
        <f>T6323-V6323</f>
        <v>12500</v>
      </c>
    </row>
    <row r="6330" spans="7:22">
      <c r="G6330" s="1574" t="s">
        <v>3530</v>
      </c>
      <c r="H6330" s="1574"/>
      <c r="I6330" s="1574"/>
      <c r="J6330" s="3">
        <f>J6323+L6323</f>
        <v>143900000</v>
      </c>
      <c r="K6330" s="1009"/>
      <c r="L6330" s="3"/>
      <c r="M6330" s="1533" t="s">
        <v>3664</v>
      </c>
      <c r="N6330" s="1527"/>
      <c r="O6330" s="1535" t="s">
        <v>4066</v>
      </c>
      <c r="P6330" s="1512"/>
      <c r="T6330" s="1445"/>
    </row>
    <row r="6331" spans="7:22">
      <c r="G6331" s="1574" t="s">
        <v>3512</v>
      </c>
      <c r="H6331" s="1574"/>
      <c r="I6331" s="1574"/>
      <c r="J6331" s="3">
        <f>N6323-J6330</f>
        <v>334600000</v>
      </c>
      <c r="K6331" s="1009"/>
      <c r="L6331" s="3"/>
      <c r="M6331" s="1528"/>
      <c r="O6331" s="1529"/>
      <c r="Q6331" s="661"/>
      <c r="T6331" s="1445"/>
    </row>
    <row r="6332" spans="7:22">
      <c r="G6332" s="1574" t="s">
        <v>3531</v>
      </c>
      <c r="H6332" s="1574"/>
      <c r="I6332" s="1574"/>
      <c r="J6332" s="3">
        <f>+T6329</f>
        <v>12500</v>
      </c>
      <c r="Q6332" s="3"/>
      <c r="T6332" s="1445"/>
    </row>
    <row r="6333" spans="7:22">
      <c r="G6333" s="1564" t="s">
        <v>4455</v>
      </c>
      <c r="H6333" s="1564"/>
      <c r="I6333" s="1564"/>
      <c r="J6333" s="3">
        <f>+P6329</f>
        <v>0</v>
      </c>
      <c r="R6333" s="3"/>
      <c r="T6333" s="1445"/>
    </row>
    <row r="6334" spans="7:22">
      <c r="T6334" s="1445"/>
    </row>
    <row r="6336" spans="7:22">
      <c r="T6336" s="1445"/>
    </row>
    <row r="6337" spans="7:22">
      <c r="T6337" s="1445"/>
    </row>
    <row r="6338" spans="7:22">
      <c r="G6338" s="1008">
        <v>46142</v>
      </c>
      <c r="H6338" s="1169"/>
      <c r="I6338" s="1575" t="s">
        <v>3510</v>
      </c>
      <c r="J6338" s="1576"/>
      <c r="K6338" s="1575" t="s">
        <v>3509</v>
      </c>
      <c r="L6338" s="1576"/>
      <c r="M6338" s="1575" t="s">
        <v>3541</v>
      </c>
      <c r="N6338" s="1576"/>
      <c r="O6338" s="1577" t="s">
        <v>3598</v>
      </c>
      <c r="P6338" s="1578"/>
      <c r="Q6338" s="1579" t="s">
        <v>3599</v>
      </c>
      <c r="R6338" s="1580"/>
      <c r="S6338" s="1581" t="s">
        <v>3953</v>
      </c>
      <c r="T6338" s="1582"/>
      <c r="U6338" s="1581" t="s">
        <v>3954</v>
      </c>
      <c r="V6338" s="1582"/>
    </row>
    <row r="6339" spans="7:22">
      <c r="G6339" s="1097"/>
      <c r="H6339" s="1261"/>
      <c r="I6339" s="1454" t="s">
        <v>5516</v>
      </c>
      <c r="J6339" s="1081">
        <v>93000000</v>
      </c>
      <c r="K6339" s="1493" t="s">
        <v>4541</v>
      </c>
      <c r="L6339" s="1081">
        <v>200000</v>
      </c>
      <c r="M6339" s="1495" t="s">
        <v>4613</v>
      </c>
      <c r="N6339" s="1495">
        <v>334300000</v>
      </c>
      <c r="O6339" s="1383"/>
      <c r="P6339" s="644"/>
      <c r="Q6339" s="1279"/>
      <c r="R6339" s="644"/>
      <c r="S6339" s="1223"/>
      <c r="T6339" s="1191"/>
      <c r="U6339" s="1232"/>
      <c r="V6339" s="48"/>
    </row>
    <row r="6340" spans="7:22">
      <c r="G6340" s="1098"/>
      <c r="H6340" s="1172"/>
      <c r="I6340" s="1458" t="s">
        <v>5521</v>
      </c>
      <c r="J6340" s="1081">
        <v>93000000</v>
      </c>
      <c r="K6340" s="1493" t="s">
        <v>5519</v>
      </c>
      <c r="L6340" s="1081">
        <v>4500000</v>
      </c>
      <c r="M6340" s="1493" t="s">
        <v>5101</v>
      </c>
      <c r="N6340" s="1081">
        <v>520000000</v>
      </c>
      <c r="O6340" s="1383" t="s">
        <v>5262</v>
      </c>
      <c r="P6340" s="644">
        <v>0</v>
      </c>
      <c r="Q6340" s="1410"/>
      <c r="R6340" s="1290"/>
      <c r="S6340" s="1389" t="s">
        <v>4613</v>
      </c>
      <c r="T6340" s="1191">
        <v>12400</v>
      </c>
      <c r="U6340" s="48"/>
      <c r="V6340" s="49"/>
    </row>
    <row r="6341" spans="7:22">
      <c r="G6341" s="48"/>
      <c r="H6341" s="48"/>
      <c r="I6341" s="1458" t="s">
        <v>5522</v>
      </c>
      <c r="J6341" s="1081">
        <f>40000000*0.93</f>
        <v>37200000</v>
      </c>
      <c r="K6341" s="1493" t="s">
        <v>5520</v>
      </c>
      <c r="L6341" s="1081">
        <v>2000000</v>
      </c>
      <c r="M6341" s="1495" t="s">
        <v>5518</v>
      </c>
      <c r="N6341" s="49">
        <v>1600000</v>
      </c>
      <c r="O6341" s="1495"/>
      <c r="P6341" s="644"/>
      <c r="Q6341" s="1412"/>
      <c r="R6341" s="644"/>
      <c r="S6341" s="1455"/>
      <c r="T6341" s="1191">
        <v>500</v>
      </c>
      <c r="U6341" s="1449"/>
      <c r="V6341" s="1191">
        <v>400</v>
      </c>
    </row>
    <row r="6342" spans="7:22">
      <c r="G6342" s="48"/>
      <c r="H6342" s="48"/>
      <c r="I6342" s="1458" t="s">
        <v>5526</v>
      </c>
      <c r="J6342" s="1081">
        <v>45500000</v>
      </c>
      <c r="K6342" s="1493" t="s">
        <v>2558</v>
      </c>
      <c r="L6342" s="1081">
        <v>6150000</v>
      </c>
      <c r="M6342" s="1495"/>
      <c r="N6342" s="49"/>
      <c r="O6342" s="1383"/>
      <c r="P6342" s="644"/>
      <c r="Q6342" s="1422"/>
      <c r="R6342" s="644"/>
      <c r="S6342" s="1448"/>
      <c r="T6342" s="1446">
        <v>1200</v>
      </c>
      <c r="U6342" s="1424"/>
      <c r="V6342" s="1446"/>
    </row>
    <row r="6343" spans="7:22">
      <c r="G6343" s="48"/>
      <c r="H6343" s="48"/>
      <c r="I6343" s="1454"/>
      <c r="J6343" s="1081"/>
      <c r="K6343" s="1493" t="s">
        <v>4541</v>
      </c>
      <c r="L6343" s="1081">
        <v>590000</v>
      </c>
      <c r="M6343" s="1495"/>
      <c r="N6343" s="49"/>
      <c r="O6343" s="1383"/>
      <c r="P6343" s="644"/>
      <c r="Q6343" s="1422"/>
      <c r="R6343" s="644"/>
      <c r="S6343" s="1449"/>
      <c r="T6343" s="1446"/>
      <c r="U6343" s="1408"/>
      <c r="V6343" s="49"/>
    </row>
    <row r="6344" spans="7:22">
      <c r="G6344" s="48"/>
      <c r="H6344" s="48"/>
      <c r="I6344" s="1454"/>
      <c r="J6344" s="1081"/>
      <c r="K6344" s="1493" t="s">
        <v>5523</v>
      </c>
      <c r="L6344" s="1081">
        <v>3250000</v>
      </c>
      <c r="M6344" s="1495"/>
      <c r="N6344" s="49"/>
      <c r="O6344" s="1383"/>
      <c r="P6344" s="644"/>
      <c r="Q6344" s="1382"/>
      <c r="R6344" s="644"/>
      <c r="S6344" s="1449"/>
      <c r="T6344" s="1446"/>
      <c r="U6344" s="1416"/>
      <c r="V6344" s="49"/>
    </row>
    <row r="6345" spans="7:22">
      <c r="G6345" s="48"/>
      <c r="H6345" s="48"/>
      <c r="I6345" s="1447"/>
      <c r="J6345" s="1081"/>
      <c r="K6345" s="1493" t="s">
        <v>4913</v>
      </c>
      <c r="L6345" s="1081"/>
      <c r="M6345" s="1493"/>
      <c r="N6345" s="49"/>
      <c r="O6345" s="1383"/>
      <c r="P6345" s="644"/>
      <c r="Q6345" s="1383"/>
      <c r="R6345" s="644"/>
      <c r="S6345" s="1451"/>
      <c r="T6345" s="1446"/>
      <c r="U6345" s="1438"/>
      <c r="V6345" s="49"/>
    </row>
    <row r="6346" spans="7:22">
      <c r="G6346" s="48"/>
      <c r="H6346" s="48"/>
      <c r="I6346" s="1447"/>
      <c r="J6346" s="1081"/>
      <c r="K6346" s="1493" t="s">
        <v>5524</v>
      </c>
      <c r="L6346" s="1081">
        <f>1000000+4000000+3000000</f>
        <v>8000000</v>
      </c>
      <c r="M6346" s="1495"/>
      <c r="N6346" s="49"/>
      <c r="O6346" s="1383"/>
      <c r="P6346" s="644"/>
      <c r="Q6346" s="1385"/>
      <c r="R6346" s="644"/>
      <c r="S6346" s="48"/>
      <c r="T6346" s="1446"/>
      <c r="U6346" s="1416"/>
      <c r="V6346" s="49"/>
    </row>
    <row r="6347" spans="7:22">
      <c r="G6347" s="48"/>
      <c r="H6347" s="48"/>
      <c r="I6347" s="1447"/>
      <c r="J6347" s="1081"/>
      <c r="K6347" s="1493" t="s">
        <v>5525</v>
      </c>
      <c r="L6347" s="1081">
        <v>3000000</v>
      </c>
      <c r="M6347" s="1495"/>
      <c r="N6347" s="49"/>
      <c r="O6347" s="644"/>
      <c r="P6347" s="644"/>
      <c r="Q6347" s="1383"/>
      <c r="R6347" s="644"/>
      <c r="S6347" s="48"/>
      <c r="T6347" s="1446"/>
      <c r="U6347" s="1408"/>
      <c r="V6347" s="49"/>
    </row>
    <row r="6348" spans="7:22">
      <c r="G6348" s="48"/>
      <c r="H6348" s="48"/>
      <c r="I6348" s="1450"/>
      <c r="J6348" s="1081"/>
      <c r="K6348" s="1509" t="s">
        <v>5527</v>
      </c>
      <c r="L6348" s="1081">
        <v>2000000</v>
      </c>
      <c r="M6348" s="1498"/>
      <c r="N6348" s="49"/>
      <c r="O6348" s="644"/>
      <c r="P6348" s="644"/>
      <c r="Q6348" s="1290"/>
      <c r="R6348" s="644"/>
      <c r="S6348" s="48"/>
      <c r="T6348" s="1446"/>
      <c r="U6348" s="1408"/>
      <c r="V6348" s="49"/>
    </row>
    <row r="6349" spans="7:22">
      <c r="G6349" s="48"/>
      <c r="H6349" s="48"/>
      <c r="I6349" s="1450"/>
      <c r="J6349" s="1081"/>
      <c r="K6349" s="1493" t="s">
        <v>5528</v>
      </c>
      <c r="L6349" s="1081">
        <v>4500000</v>
      </c>
      <c r="M6349" s="1498"/>
      <c r="N6349" s="49"/>
      <c r="O6349" s="644"/>
      <c r="P6349" s="644"/>
      <c r="Q6349" s="1383"/>
      <c r="R6349" s="644"/>
      <c r="S6349" s="48"/>
      <c r="T6349" s="1446"/>
      <c r="U6349" s="48"/>
      <c r="V6349" s="48"/>
    </row>
    <row r="6350" spans="7:22">
      <c r="G6350" s="48"/>
      <c r="H6350" s="48"/>
      <c r="I6350" s="1450"/>
      <c r="J6350" s="1081"/>
      <c r="K6350" s="1509"/>
      <c r="L6350" s="1081"/>
      <c r="M6350" s="1498"/>
      <c r="N6350" s="49"/>
      <c r="O6350" s="644"/>
      <c r="P6350" s="644"/>
      <c r="Q6350" s="1290"/>
      <c r="R6350" s="644"/>
      <c r="S6350" s="48"/>
      <c r="T6350" s="1446"/>
      <c r="U6350" s="48"/>
      <c r="V6350" s="48"/>
    </row>
    <row r="6351" spans="7:22">
      <c r="G6351" s="48"/>
      <c r="H6351" s="48"/>
      <c r="I6351" s="1444"/>
      <c r="J6351" s="1081"/>
      <c r="K6351" s="1509"/>
      <c r="L6351" s="1081"/>
      <c r="M6351" s="1498"/>
      <c r="N6351" s="49"/>
      <c r="O6351" s="644"/>
      <c r="P6351" s="644"/>
      <c r="Q6351" s="1290"/>
      <c r="R6351" s="644"/>
      <c r="S6351" s="48"/>
      <c r="T6351" s="1446"/>
      <c r="U6351" s="48"/>
      <c r="V6351" s="48"/>
    </row>
    <row r="6352" spans="7:22">
      <c r="G6352" s="48"/>
      <c r="H6352" s="48"/>
      <c r="I6352" s="1432"/>
      <c r="J6352" s="49"/>
      <c r="K6352" s="1498"/>
      <c r="L6352" s="49"/>
      <c r="M6352" s="1498"/>
      <c r="N6352" s="49"/>
      <c r="O6352" s="644"/>
      <c r="P6352" s="644"/>
      <c r="Q6352" s="1290"/>
      <c r="R6352" s="644"/>
      <c r="S6352" s="48"/>
      <c r="T6352" s="1446"/>
      <c r="U6352" s="48"/>
      <c r="V6352" s="48"/>
    </row>
    <row r="6353" spans="7:22">
      <c r="G6353" s="48"/>
      <c r="H6353" s="48"/>
      <c r="I6353" s="1432"/>
      <c r="J6353" s="49"/>
      <c r="K6353" s="1498"/>
      <c r="L6353" s="49"/>
      <c r="M6353" s="1498"/>
      <c r="N6353" s="49"/>
      <c r="O6353" s="644"/>
      <c r="P6353" s="644"/>
      <c r="Q6353" s="1290"/>
      <c r="R6353" s="644"/>
      <c r="S6353" s="48"/>
      <c r="T6353" s="1446"/>
      <c r="U6353" s="48"/>
      <c r="V6353" s="48"/>
    </row>
    <row r="6354" spans="7:22">
      <c r="G6354" s="48"/>
      <c r="H6354" s="48"/>
      <c r="I6354" s="1432"/>
      <c r="J6354" s="49"/>
      <c r="K6354" s="1498"/>
      <c r="L6354" s="49"/>
      <c r="M6354" s="1498"/>
      <c r="N6354" s="49"/>
      <c r="O6354" s="644"/>
      <c r="P6354" s="644"/>
      <c r="Q6354" s="1290"/>
      <c r="R6354" s="644"/>
      <c r="S6354" s="48"/>
      <c r="T6354" s="1446"/>
      <c r="U6354" s="48"/>
      <c r="V6354" s="48"/>
    </row>
    <row r="6355" spans="7:22">
      <c r="G6355" s="48"/>
      <c r="H6355" s="48"/>
      <c r="I6355" s="48"/>
      <c r="J6355" s="49"/>
      <c r="K6355" s="1498"/>
      <c r="L6355" s="49"/>
      <c r="M6355" s="1498"/>
      <c r="N6355" s="49"/>
      <c r="O6355" s="644"/>
      <c r="P6355" s="644"/>
      <c r="Q6355" s="1290"/>
      <c r="R6355" s="644"/>
      <c r="S6355" s="48"/>
      <c r="T6355" s="1446"/>
      <c r="U6355" s="48"/>
      <c r="V6355" s="48"/>
    </row>
    <row r="6356" spans="7:22">
      <c r="G6356" s="48"/>
      <c r="H6356" s="48"/>
      <c r="I6356" s="48"/>
      <c r="J6356" s="49"/>
      <c r="K6356" s="1498"/>
      <c r="L6356" s="49"/>
      <c r="M6356" s="1498"/>
      <c r="N6356" s="49"/>
      <c r="O6356" s="644"/>
      <c r="P6356" s="644"/>
      <c r="Q6356" s="1290"/>
      <c r="R6356" s="644"/>
      <c r="S6356" s="48"/>
      <c r="T6356" s="1446"/>
      <c r="U6356" s="48"/>
      <c r="V6356" s="48"/>
    </row>
    <row r="6357" spans="7:22">
      <c r="G6357" s="48"/>
      <c r="H6357" s="48"/>
      <c r="I6357" s="48"/>
      <c r="J6357" s="49"/>
      <c r="K6357" s="1498"/>
      <c r="L6357" s="49"/>
      <c r="M6357" s="1498"/>
      <c r="N6357" s="49"/>
      <c r="O6357" s="644"/>
      <c r="P6357" s="644"/>
      <c r="Q6357" s="1290"/>
      <c r="R6357" s="644"/>
      <c r="S6357" s="48"/>
      <c r="T6357" s="1446"/>
      <c r="U6357" s="48"/>
      <c r="V6357" s="48"/>
    </row>
    <row r="6358" spans="7:22">
      <c r="G6358" s="48"/>
      <c r="H6358" s="48"/>
      <c r="I6358" s="48"/>
      <c r="J6358" s="49"/>
      <c r="K6358" s="1498"/>
      <c r="L6358" s="49"/>
      <c r="M6358" s="1498"/>
      <c r="N6358" s="49"/>
      <c r="O6358" s="644"/>
      <c r="P6358" s="644"/>
      <c r="Q6358" s="1290"/>
      <c r="R6358" s="644"/>
      <c r="S6358" s="48"/>
      <c r="T6358" s="1446"/>
      <c r="U6358" s="48"/>
      <c r="V6358" s="48"/>
    </row>
    <row r="6359" spans="7:22">
      <c r="G6359" s="48"/>
      <c r="H6359" s="48"/>
      <c r="I6359" s="48"/>
      <c r="J6359" s="954">
        <f>SUM(J6339:J6358)</f>
        <v>268700000</v>
      </c>
      <c r="K6359" s="954"/>
      <c r="L6359" s="954">
        <f>SUM(L6339:L6358)</f>
        <v>34190000</v>
      </c>
      <c r="M6359" s="1498"/>
      <c r="N6359" s="954">
        <f>SUM(N6339:N6358)</f>
        <v>855900000</v>
      </c>
      <c r="O6359" s="644"/>
      <c r="P6359" s="969">
        <f>SUM(P6339:P6346)</f>
        <v>0</v>
      </c>
      <c r="Q6359" s="969"/>
      <c r="R6359" s="969">
        <f>SUM(R6339:R6358)</f>
        <v>0</v>
      </c>
      <c r="S6359" s="48"/>
      <c r="T6359" s="1178">
        <f>SUM(T6339:T6358)</f>
        <v>14100</v>
      </c>
      <c r="U6359" s="48"/>
      <c r="V6359" s="878">
        <f>SUM(V6339:V6358)</f>
        <v>400</v>
      </c>
    </row>
    <row r="6360" spans="7:22">
      <c r="T6360" s="1445"/>
    </row>
    <row r="6361" spans="7:22">
      <c r="T6361" s="1445"/>
    </row>
    <row r="6362" spans="7:22">
      <c r="R6362" s="661"/>
      <c r="T6362" s="1445"/>
    </row>
    <row r="6363" spans="7:22">
      <c r="T6363" s="1445"/>
    </row>
    <row r="6364" spans="7:22">
      <c r="K6364" s="3" t="s">
        <v>5310</v>
      </c>
      <c r="T6364" s="1445"/>
    </row>
    <row r="6365" spans="7:22">
      <c r="I6365" s="946"/>
      <c r="M6365" s="1533" t="s">
        <v>3699</v>
      </c>
      <c r="O6365" s="1535" t="s">
        <v>3741</v>
      </c>
      <c r="P6365" s="1512">
        <f>P6359-R6359</f>
        <v>0</v>
      </c>
      <c r="S6365" s="906" t="s">
        <v>4049</v>
      </c>
      <c r="T6365" s="1107">
        <f>T6359-V6359</f>
        <v>13700</v>
      </c>
    </row>
    <row r="6366" spans="7:22">
      <c r="G6366" s="1574" t="s">
        <v>3530</v>
      </c>
      <c r="H6366" s="1574"/>
      <c r="I6366" s="1574"/>
      <c r="J6366" s="3">
        <f>J6359+L6359</f>
        <v>302890000</v>
      </c>
      <c r="K6366" s="1009"/>
      <c r="L6366" s="3"/>
      <c r="M6366" s="1533" t="s">
        <v>3664</v>
      </c>
      <c r="N6366" s="1527"/>
      <c r="O6366" s="1535" t="s">
        <v>4066</v>
      </c>
      <c r="P6366" s="1512"/>
      <c r="T6366" s="1445"/>
    </row>
    <row r="6367" spans="7:22">
      <c r="G6367" s="1574" t="s">
        <v>3512</v>
      </c>
      <c r="H6367" s="1574"/>
      <c r="I6367" s="1574"/>
      <c r="J6367" s="3">
        <f>N6359-J6366</f>
        <v>553010000</v>
      </c>
      <c r="K6367" s="1009"/>
      <c r="L6367" s="3"/>
      <c r="M6367" s="1528"/>
      <c r="O6367" s="1529"/>
      <c r="Q6367" s="661"/>
      <c r="T6367" s="1445"/>
    </row>
    <row r="6368" spans="7:22">
      <c r="G6368" s="1574" t="s">
        <v>3531</v>
      </c>
      <c r="H6368" s="1574"/>
      <c r="I6368" s="1574"/>
      <c r="J6368" s="3">
        <f>+T6365</f>
        <v>13700</v>
      </c>
      <c r="Q6368" s="3"/>
      <c r="T6368" s="1445"/>
    </row>
    <row r="6369" spans="7:22">
      <c r="G6369" s="1564" t="s">
        <v>4455</v>
      </c>
      <c r="H6369" s="1564"/>
      <c r="I6369" s="1564"/>
      <c r="J6369" s="3">
        <f>+P6365</f>
        <v>0</v>
      </c>
      <c r="R6369" s="3"/>
      <c r="T6369" s="1445"/>
    </row>
    <row r="6370" spans="7:22">
      <c r="T6370" s="1445"/>
    </row>
    <row r="6374" spans="7:22">
      <c r="T6374" s="1452"/>
    </row>
    <row r="6375" spans="7:22">
      <c r="T6375" s="1452"/>
    </row>
    <row r="6376" spans="7:22">
      <c r="G6376" s="1008">
        <v>46143</v>
      </c>
      <c r="H6376" s="1169"/>
      <c r="I6376" s="1575" t="s">
        <v>3510</v>
      </c>
      <c r="J6376" s="1576"/>
      <c r="K6376" s="1575" t="s">
        <v>3509</v>
      </c>
      <c r="L6376" s="1576"/>
      <c r="M6376" s="1575" t="s">
        <v>3541</v>
      </c>
      <c r="N6376" s="1576"/>
      <c r="O6376" s="1577" t="s">
        <v>3598</v>
      </c>
      <c r="P6376" s="1578"/>
      <c r="Q6376" s="1579" t="s">
        <v>3599</v>
      </c>
      <c r="R6376" s="1580"/>
      <c r="S6376" s="1581" t="s">
        <v>3953</v>
      </c>
      <c r="T6376" s="1582"/>
      <c r="U6376" s="1581" t="s">
        <v>3954</v>
      </c>
      <c r="V6376" s="1582"/>
    </row>
    <row r="6377" spans="7:22">
      <c r="G6377" s="1097"/>
      <c r="H6377" s="1261"/>
      <c r="I6377" s="1458" t="s">
        <v>5529</v>
      </c>
      <c r="J6377" s="1081">
        <v>30690000</v>
      </c>
      <c r="K6377" s="1493" t="s">
        <v>4597</v>
      </c>
      <c r="L6377" s="1081">
        <v>369500000</v>
      </c>
      <c r="M6377" s="1495" t="s">
        <v>4613</v>
      </c>
      <c r="N6377" s="1495">
        <v>553200000</v>
      </c>
      <c r="O6377" s="1383"/>
      <c r="P6377" s="644"/>
      <c r="Q6377" s="1279"/>
      <c r="R6377" s="644"/>
      <c r="S6377" s="1223"/>
      <c r="T6377" s="1191"/>
      <c r="U6377" s="1232"/>
      <c r="V6377" s="48"/>
    </row>
    <row r="6378" spans="7:22">
      <c r="G6378" s="1098"/>
      <c r="H6378" s="1172"/>
      <c r="I6378" s="1458" t="s">
        <v>5530</v>
      </c>
      <c r="J6378" s="1081">
        <v>30690000</v>
      </c>
      <c r="K6378" s="1493" t="s">
        <v>4541</v>
      </c>
      <c r="L6378" s="1081">
        <v>250000</v>
      </c>
      <c r="M6378" s="1493" t="s">
        <v>5532</v>
      </c>
      <c r="N6378" s="1081">
        <v>30000000</v>
      </c>
      <c r="O6378" s="1383" t="s">
        <v>5262</v>
      </c>
      <c r="P6378" s="644">
        <v>0</v>
      </c>
      <c r="Q6378" s="1410"/>
      <c r="R6378" s="1290"/>
      <c r="S6378" s="1389" t="s">
        <v>4613</v>
      </c>
      <c r="T6378" s="1191">
        <v>13700</v>
      </c>
      <c r="U6378" s="48"/>
      <c r="V6378" s="49"/>
    </row>
    <row r="6379" spans="7:22">
      <c r="G6379" s="48"/>
      <c r="H6379" s="48"/>
      <c r="I6379" s="1458" t="s">
        <v>5531</v>
      </c>
      <c r="J6379" s="1081">
        <v>30690000</v>
      </c>
      <c r="K6379" s="1493" t="s">
        <v>4439</v>
      </c>
      <c r="L6379" s="1081">
        <v>300000</v>
      </c>
      <c r="M6379" s="1495"/>
      <c r="N6379" s="49"/>
      <c r="O6379" s="1495"/>
      <c r="P6379" s="644"/>
      <c r="Q6379" s="1412"/>
      <c r="R6379" s="644"/>
      <c r="S6379" s="1455"/>
      <c r="T6379" s="1191"/>
      <c r="U6379" s="1449"/>
      <c r="V6379" s="1191">
        <v>13700</v>
      </c>
    </row>
    <row r="6380" spans="7:22">
      <c r="G6380" s="48"/>
      <c r="H6380" s="48"/>
      <c r="I6380" s="1458"/>
      <c r="J6380" s="1081"/>
      <c r="K6380" s="1493"/>
      <c r="L6380" s="1081"/>
      <c r="M6380" s="1495"/>
      <c r="N6380" s="49"/>
      <c r="O6380" s="1383"/>
      <c r="P6380" s="644"/>
      <c r="Q6380" s="1422"/>
      <c r="R6380" s="644"/>
      <c r="S6380" s="1448"/>
      <c r="T6380" s="1453"/>
      <c r="U6380" s="1424"/>
      <c r="V6380" s="1453"/>
    </row>
    <row r="6381" spans="7:22">
      <c r="G6381" s="48"/>
      <c r="H6381" s="48"/>
      <c r="I6381" s="1454"/>
      <c r="J6381" s="1081"/>
      <c r="K6381" s="1493"/>
      <c r="L6381" s="1081"/>
      <c r="M6381" s="1495"/>
      <c r="N6381" s="49"/>
      <c r="O6381" s="1383"/>
      <c r="P6381" s="644"/>
      <c r="Q6381" s="1422"/>
      <c r="R6381" s="644"/>
      <c r="S6381" s="1449"/>
      <c r="T6381" s="1453"/>
      <c r="U6381" s="1408"/>
      <c r="V6381" s="49"/>
    </row>
    <row r="6382" spans="7:22">
      <c r="G6382" s="48"/>
      <c r="H6382" s="48"/>
      <c r="I6382" s="1454"/>
      <c r="J6382" s="1081"/>
      <c r="K6382" s="1493"/>
      <c r="L6382" s="1081"/>
      <c r="M6382" s="1495"/>
      <c r="N6382" s="49"/>
      <c r="O6382" s="1383"/>
      <c r="P6382" s="644"/>
      <c r="Q6382" s="1382"/>
      <c r="R6382" s="644"/>
      <c r="S6382" s="1449"/>
      <c r="T6382" s="1453"/>
      <c r="U6382" s="1416"/>
      <c r="V6382" s="49"/>
    </row>
    <row r="6383" spans="7:22">
      <c r="G6383" s="48"/>
      <c r="H6383" s="48"/>
      <c r="I6383" s="1447"/>
      <c r="J6383" s="1081"/>
      <c r="K6383" s="1493"/>
      <c r="L6383" s="1081"/>
      <c r="M6383" s="1493"/>
      <c r="N6383" s="49"/>
      <c r="O6383" s="1383"/>
      <c r="P6383" s="644"/>
      <c r="Q6383" s="1383"/>
      <c r="R6383" s="644"/>
      <c r="S6383" s="1451"/>
      <c r="T6383" s="1453"/>
      <c r="U6383" s="1438"/>
      <c r="V6383" s="49"/>
    </row>
    <row r="6384" spans="7:22">
      <c r="G6384" s="48"/>
      <c r="H6384" s="48"/>
      <c r="I6384" s="1447"/>
      <c r="J6384" s="1081"/>
      <c r="K6384" s="1493"/>
      <c r="L6384" s="1081"/>
      <c r="M6384" s="1495"/>
      <c r="N6384" s="49"/>
      <c r="O6384" s="1383"/>
      <c r="P6384" s="644"/>
      <c r="Q6384" s="1385"/>
      <c r="R6384" s="644"/>
      <c r="S6384" s="48"/>
      <c r="T6384" s="1453"/>
      <c r="U6384" s="1416"/>
      <c r="V6384" s="49"/>
    </row>
    <row r="6385" spans="7:22">
      <c r="G6385" s="48"/>
      <c r="H6385" s="48"/>
      <c r="I6385" s="1447"/>
      <c r="J6385" s="1081"/>
      <c r="K6385" s="1493"/>
      <c r="L6385" s="1081"/>
      <c r="M6385" s="1495"/>
      <c r="N6385" s="49"/>
      <c r="O6385" s="644"/>
      <c r="P6385" s="644"/>
      <c r="Q6385" s="1383"/>
      <c r="R6385" s="644"/>
      <c r="S6385" s="48"/>
      <c r="T6385" s="1453"/>
      <c r="U6385" s="1408"/>
      <c r="V6385" s="49"/>
    </row>
    <row r="6386" spans="7:22">
      <c r="G6386" s="48"/>
      <c r="H6386" s="48"/>
      <c r="I6386" s="1450"/>
      <c r="J6386" s="1081"/>
      <c r="K6386" s="1509"/>
      <c r="L6386" s="1081"/>
      <c r="M6386" s="1498"/>
      <c r="N6386" s="49"/>
      <c r="O6386" s="644"/>
      <c r="P6386" s="644"/>
      <c r="Q6386" s="1290"/>
      <c r="R6386" s="644"/>
      <c r="S6386" s="48"/>
      <c r="T6386" s="1453"/>
      <c r="U6386" s="1408"/>
      <c r="V6386" s="49"/>
    </row>
    <row r="6387" spans="7:22">
      <c r="G6387" s="48"/>
      <c r="H6387" s="48"/>
      <c r="I6387" s="1450"/>
      <c r="J6387" s="1081"/>
      <c r="K6387" s="1493"/>
      <c r="L6387" s="1081"/>
      <c r="M6387" s="1498"/>
      <c r="N6387" s="49"/>
      <c r="O6387" s="644"/>
      <c r="P6387" s="644"/>
      <c r="Q6387" s="1383"/>
      <c r="R6387" s="644"/>
      <c r="S6387" s="48"/>
      <c r="T6387" s="1453"/>
      <c r="U6387" s="48"/>
      <c r="V6387" s="48"/>
    </row>
    <row r="6388" spans="7:22">
      <c r="G6388" s="48"/>
      <c r="H6388" s="48"/>
      <c r="I6388" s="1450"/>
      <c r="J6388" s="1081"/>
      <c r="K6388" s="1509"/>
      <c r="L6388" s="1081"/>
      <c r="M6388" s="1498"/>
      <c r="N6388" s="49"/>
      <c r="O6388" s="644"/>
      <c r="P6388" s="644"/>
      <c r="Q6388" s="1290"/>
      <c r="R6388" s="644"/>
      <c r="S6388" s="48"/>
      <c r="T6388" s="1453"/>
      <c r="U6388" s="48"/>
      <c r="V6388" s="48"/>
    </row>
    <row r="6389" spans="7:22">
      <c r="G6389" s="48"/>
      <c r="H6389" s="48"/>
      <c r="I6389" s="1444"/>
      <c r="J6389" s="1081"/>
      <c r="K6389" s="1509"/>
      <c r="L6389" s="1081"/>
      <c r="M6389" s="1498"/>
      <c r="N6389" s="49"/>
      <c r="O6389" s="644"/>
      <c r="P6389" s="644"/>
      <c r="Q6389" s="1290"/>
      <c r="R6389" s="644"/>
      <c r="S6389" s="48"/>
      <c r="T6389" s="1453"/>
      <c r="U6389" s="48"/>
      <c r="V6389" s="48"/>
    </row>
    <row r="6390" spans="7:22">
      <c r="G6390" s="48"/>
      <c r="H6390" s="48"/>
      <c r="I6390" s="1432"/>
      <c r="J6390" s="49"/>
      <c r="K6390" s="1498"/>
      <c r="L6390" s="49"/>
      <c r="M6390" s="1498"/>
      <c r="N6390" s="49"/>
      <c r="O6390" s="644"/>
      <c r="P6390" s="644"/>
      <c r="Q6390" s="1290"/>
      <c r="R6390" s="644"/>
      <c r="S6390" s="48"/>
      <c r="T6390" s="1453"/>
      <c r="U6390" s="48"/>
      <c r="V6390" s="48"/>
    </row>
    <row r="6391" spans="7:22">
      <c r="G6391" s="48"/>
      <c r="H6391" s="48"/>
      <c r="I6391" s="1432"/>
      <c r="J6391" s="49"/>
      <c r="K6391" s="1498"/>
      <c r="L6391" s="49"/>
      <c r="M6391" s="1498"/>
      <c r="N6391" s="49"/>
      <c r="O6391" s="644"/>
      <c r="P6391" s="644"/>
      <c r="Q6391" s="1290"/>
      <c r="R6391" s="644"/>
      <c r="S6391" s="48"/>
      <c r="T6391" s="1453"/>
      <c r="U6391" s="48"/>
      <c r="V6391" s="48"/>
    </row>
    <row r="6392" spans="7:22">
      <c r="G6392" s="48"/>
      <c r="H6392" s="48"/>
      <c r="I6392" s="1432"/>
      <c r="J6392" s="49"/>
      <c r="K6392" s="1498"/>
      <c r="L6392" s="49"/>
      <c r="M6392" s="1498"/>
      <c r="N6392" s="49"/>
      <c r="O6392" s="644"/>
      <c r="P6392" s="644"/>
      <c r="Q6392" s="1290"/>
      <c r="R6392" s="644"/>
      <c r="S6392" s="48"/>
      <c r="T6392" s="1453"/>
      <c r="U6392" s="48"/>
      <c r="V6392" s="48"/>
    </row>
    <row r="6393" spans="7:22">
      <c r="G6393" s="48"/>
      <c r="H6393" s="48"/>
      <c r="I6393" s="48"/>
      <c r="J6393" s="49"/>
      <c r="K6393" s="1498"/>
      <c r="L6393" s="49"/>
      <c r="M6393" s="1498"/>
      <c r="N6393" s="49"/>
      <c r="O6393" s="644"/>
      <c r="P6393" s="644"/>
      <c r="Q6393" s="1290"/>
      <c r="R6393" s="644"/>
      <c r="S6393" s="48"/>
      <c r="T6393" s="1453"/>
      <c r="U6393" s="48"/>
      <c r="V6393" s="48"/>
    </row>
    <row r="6394" spans="7:22">
      <c r="G6394" s="48"/>
      <c r="H6394" s="48"/>
      <c r="I6394" s="48"/>
      <c r="J6394" s="49"/>
      <c r="K6394" s="1498"/>
      <c r="L6394" s="49"/>
      <c r="M6394" s="1498"/>
      <c r="N6394" s="49"/>
      <c r="O6394" s="644"/>
      <c r="P6394" s="644"/>
      <c r="Q6394" s="1290"/>
      <c r="R6394" s="644"/>
      <c r="S6394" s="48"/>
      <c r="T6394" s="1453"/>
      <c r="U6394" s="48"/>
      <c r="V6394" s="48"/>
    </row>
    <row r="6395" spans="7:22">
      <c r="G6395" s="48"/>
      <c r="H6395" s="48"/>
      <c r="I6395" s="48"/>
      <c r="J6395" s="49"/>
      <c r="K6395" s="1498"/>
      <c r="L6395" s="49"/>
      <c r="M6395" s="1498"/>
      <c r="N6395" s="49"/>
      <c r="O6395" s="644"/>
      <c r="P6395" s="644"/>
      <c r="Q6395" s="1290"/>
      <c r="R6395" s="644"/>
      <c r="S6395" s="48"/>
      <c r="T6395" s="1453"/>
      <c r="U6395" s="48"/>
      <c r="V6395" s="48"/>
    </row>
    <row r="6396" spans="7:22">
      <c r="G6396" s="48"/>
      <c r="H6396" s="48"/>
      <c r="I6396" s="48"/>
      <c r="J6396" s="49"/>
      <c r="K6396" s="1498"/>
      <c r="L6396" s="49"/>
      <c r="M6396" s="1498"/>
      <c r="N6396" s="49"/>
      <c r="O6396" s="644"/>
      <c r="P6396" s="644"/>
      <c r="Q6396" s="1290"/>
      <c r="R6396" s="644"/>
      <c r="S6396" s="48"/>
      <c r="T6396" s="1453"/>
      <c r="U6396" s="48"/>
      <c r="V6396" s="48"/>
    </row>
    <row r="6397" spans="7:22">
      <c r="G6397" s="48"/>
      <c r="H6397" s="48"/>
      <c r="I6397" s="48"/>
      <c r="J6397" s="954">
        <f>SUM(J6377:J6396)</f>
        <v>92070000</v>
      </c>
      <c r="K6397" s="954"/>
      <c r="L6397" s="954">
        <f>SUM(L6377:L6396)</f>
        <v>370050000</v>
      </c>
      <c r="M6397" s="1498"/>
      <c r="N6397" s="954">
        <f>SUM(N6377:N6396)</f>
        <v>583200000</v>
      </c>
      <c r="O6397" s="644"/>
      <c r="P6397" s="969">
        <f>SUM(P6377:P6384)</f>
        <v>0</v>
      </c>
      <c r="Q6397" s="969"/>
      <c r="R6397" s="969">
        <f>SUM(R6377:R6396)</f>
        <v>0</v>
      </c>
      <c r="S6397" s="48"/>
      <c r="T6397" s="1178">
        <f>SUM(T6377:T6396)</f>
        <v>13700</v>
      </c>
      <c r="U6397" s="48"/>
      <c r="V6397" s="878">
        <f>SUM(V6377:V6396)</f>
        <v>13700</v>
      </c>
    </row>
    <row r="6398" spans="7:22">
      <c r="T6398" s="1452"/>
    </row>
    <row r="6399" spans="7:22">
      <c r="T6399" s="1452"/>
    </row>
    <row r="6400" spans="7:22">
      <c r="R6400" s="661"/>
      <c r="T6400" s="1452"/>
    </row>
    <row r="6401" spans="7:22">
      <c r="T6401" s="1452"/>
    </row>
    <row r="6402" spans="7:22">
      <c r="K6402" s="3" t="s">
        <v>5310</v>
      </c>
      <c r="T6402" s="1452"/>
    </row>
    <row r="6403" spans="7:22">
      <c r="I6403" s="946"/>
      <c r="M6403" s="1533" t="s">
        <v>3699</v>
      </c>
      <c r="O6403" s="1535" t="s">
        <v>3741</v>
      </c>
      <c r="P6403" s="1512">
        <f>P6397-R6397</f>
        <v>0</v>
      </c>
      <c r="S6403" s="906" t="s">
        <v>4049</v>
      </c>
      <c r="T6403" s="1107">
        <f>T6397-V6397</f>
        <v>0</v>
      </c>
    </row>
    <row r="6404" spans="7:22">
      <c r="G6404" s="1574" t="s">
        <v>3530</v>
      </c>
      <c r="H6404" s="1574"/>
      <c r="I6404" s="1574"/>
      <c r="J6404" s="3">
        <f>J6397+L6397</f>
        <v>462120000</v>
      </c>
      <c r="K6404" s="1009"/>
      <c r="L6404" s="3"/>
      <c r="M6404" s="1533" t="s">
        <v>3664</v>
      </c>
      <c r="N6404" s="1527"/>
      <c r="O6404" s="1535" t="s">
        <v>4066</v>
      </c>
      <c r="P6404" s="1512"/>
      <c r="T6404" s="1452"/>
    </row>
    <row r="6405" spans="7:22">
      <c r="G6405" s="1574" t="s">
        <v>3512</v>
      </c>
      <c r="H6405" s="1574"/>
      <c r="I6405" s="1574"/>
      <c r="J6405" s="3">
        <f>N6397-J6404</f>
        <v>121080000</v>
      </c>
      <c r="K6405" s="1009"/>
      <c r="L6405" s="3"/>
      <c r="M6405" s="1528"/>
      <c r="O6405" s="1529"/>
      <c r="Q6405" s="661"/>
      <c r="T6405" s="1452"/>
    </row>
    <row r="6406" spans="7:22">
      <c r="G6406" s="1574" t="s">
        <v>3531</v>
      </c>
      <c r="H6406" s="1574"/>
      <c r="I6406" s="1574"/>
      <c r="J6406" s="3">
        <f>+T6403</f>
        <v>0</v>
      </c>
      <c r="Q6406" s="3"/>
      <c r="T6406" s="1452"/>
    </row>
    <row r="6407" spans="7:22">
      <c r="G6407" s="1564" t="s">
        <v>4455</v>
      </c>
      <c r="H6407" s="1564"/>
      <c r="I6407" s="1564"/>
      <c r="J6407" s="3">
        <f>+P6403</f>
        <v>0</v>
      </c>
      <c r="R6407" s="3"/>
      <c r="T6407" s="1452"/>
    </row>
    <row r="6408" spans="7:22">
      <c r="T6408" s="1452"/>
    </row>
    <row r="6410" spans="7:22">
      <c r="T6410" s="1452"/>
    </row>
    <row r="6411" spans="7:22">
      <c r="T6411" s="1452"/>
    </row>
    <row r="6412" spans="7:22">
      <c r="G6412" s="1008">
        <v>46144</v>
      </c>
      <c r="H6412" s="1169"/>
      <c r="I6412" s="1575" t="s">
        <v>3510</v>
      </c>
      <c r="J6412" s="1576"/>
      <c r="K6412" s="1575" t="s">
        <v>3509</v>
      </c>
      <c r="L6412" s="1576"/>
      <c r="M6412" s="1575" t="s">
        <v>3541</v>
      </c>
      <c r="N6412" s="1576"/>
      <c r="O6412" s="1577" t="s">
        <v>3598</v>
      </c>
      <c r="P6412" s="1578"/>
      <c r="Q6412" s="1579" t="s">
        <v>3599</v>
      </c>
      <c r="R6412" s="1580"/>
      <c r="S6412" s="1581" t="s">
        <v>3953</v>
      </c>
      <c r="T6412" s="1582"/>
      <c r="U6412" s="1581" t="s">
        <v>3954</v>
      </c>
      <c r="V6412" s="1582"/>
    </row>
    <row r="6413" spans="7:22">
      <c r="G6413" s="1097"/>
      <c r="H6413" s="1261"/>
      <c r="I6413" s="1458" t="s">
        <v>5535</v>
      </c>
      <c r="J6413" s="1081">
        <v>6850000</v>
      </c>
      <c r="K6413" s="1493" t="s">
        <v>5536</v>
      </c>
      <c r="L6413" s="1081">
        <v>350000</v>
      </c>
      <c r="M6413" s="1495" t="s">
        <v>4613</v>
      </c>
      <c r="N6413" s="1495">
        <v>120800000</v>
      </c>
      <c r="O6413" s="1383"/>
      <c r="P6413" s="644"/>
      <c r="Q6413" s="1279"/>
      <c r="R6413" s="644"/>
      <c r="S6413" s="1223"/>
      <c r="T6413" s="1191"/>
      <c r="U6413" s="1232"/>
      <c r="V6413" s="48"/>
    </row>
    <row r="6414" spans="7:22">
      <c r="G6414" s="1098"/>
      <c r="H6414" s="1172"/>
      <c r="I6414" s="1458" t="s">
        <v>5537</v>
      </c>
      <c r="J6414" s="1081">
        <v>30360000</v>
      </c>
      <c r="K6414" s="1493" t="s">
        <v>4876</v>
      </c>
      <c r="L6414" s="1081">
        <v>240000</v>
      </c>
      <c r="M6414" s="1493"/>
      <c r="N6414" s="1081"/>
      <c r="O6414" s="1383" t="s">
        <v>5262</v>
      </c>
      <c r="P6414" s="644">
        <v>0</v>
      </c>
      <c r="Q6414" s="1410"/>
      <c r="R6414" s="1290"/>
      <c r="S6414" s="1389" t="s">
        <v>4613</v>
      </c>
      <c r="T6414" s="1191">
        <v>0</v>
      </c>
      <c r="U6414" s="48"/>
      <c r="V6414" s="49"/>
    </row>
    <row r="6415" spans="7:22">
      <c r="G6415" s="48"/>
      <c r="H6415" s="48"/>
      <c r="I6415" s="1458"/>
      <c r="J6415" s="1081"/>
      <c r="K6415" s="1493"/>
      <c r="L6415" s="1081"/>
      <c r="M6415" s="1495"/>
      <c r="N6415" s="49"/>
      <c r="O6415" s="1495"/>
      <c r="P6415" s="644"/>
      <c r="Q6415" s="1412"/>
      <c r="R6415" s="644"/>
      <c r="S6415" s="1459" t="s">
        <v>4788</v>
      </c>
      <c r="T6415" s="1191">
        <v>200</v>
      </c>
      <c r="U6415" s="1449"/>
      <c r="V6415" s="1191">
        <v>400</v>
      </c>
    </row>
    <row r="6416" spans="7:22">
      <c r="G6416" s="48"/>
      <c r="H6416" s="48"/>
      <c r="I6416" s="1458"/>
      <c r="J6416" s="1081"/>
      <c r="K6416" s="1493"/>
      <c r="L6416" s="1081"/>
      <c r="M6416" s="1495"/>
      <c r="N6416" s="49"/>
      <c r="O6416" s="1383"/>
      <c r="P6416" s="644"/>
      <c r="Q6416" s="1422"/>
      <c r="R6416" s="644"/>
      <c r="S6416" s="1459" t="s">
        <v>5534</v>
      </c>
      <c r="T6416" s="1453">
        <v>300</v>
      </c>
      <c r="U6416" s="1424"/>
      <c r="V6416" s="1453"/>
    </row>
    <row r="6417" spans="7:22">
      <c r="G6417" s="48"/>
      <c r="H6417" s="48"/>
      <c r="I6417" s="1454"/>
      <c r="J6417" s="1081"/>
      <c r="K6417" s="1493"/>
      <c r="L6417" s="1081"/>
      <c r="M6417" s="1495"/>
      <c r="N6417" s="49"/>
      <c r="O6417" s="1383"/>
      <c r="P6417" s="644"/>
      <c r="Q6417" s="1422"/>
      <c r="R6417" s="644"/>
      <c r="S6417" s="1449"/>
      <c r="T6417" s="1453"/>
      <c r="U6417" s="1408"/>
      <c r="V6417" s="49"/>
    </row>
    <row r="6418" spans="7:22">
      <c r="G6418" s="48"/>
      <c r="H6418" s="48"/>
      <c r="I6418" s="1454"/>
      <c r="J6418" s="1081"/>
      <c r="K6418" s="1493"/>
      <c r="L6418" s="1081"/>
      <c r="M6418" s="1495"/>
      <c r="N6418" s="49"/>
      <c r="O6418" s="1383"/>
      <c r="P6418" s="644"/>
      <c r="Q6418" s="1382"/>
      <c r="R6418" s="644"/>
      <c r="S6418" s="1449"/>
      <c r="T6418" s="1453"/>
      <c r="U6418" s="1416"/>
      <c r="V6418" s="49"/>
    </row>
    <row r="6419" spans="7:22">
      <c r="G6419" s="48"/>
      <c r="H6419" s="48"/>
      <c r="I6419" s="1447"/>
      <c r="J6419" s="1081"/>
      <c r="K6419" s="1493"/>
      <c r="L6419" s="1081"/>
      <c r="M6419" s="1493"/>
      <c r="N6419" s="49"/>
      <c r="O6419" s="1383"/>
      <c r="P6419" s="644"/>
      <c r="Q6419" s="1383"/>
      <c r="R6419" s="644"/>
      <c r="S6419" s="1451"/>
      <c r="T6419" s="1453"/>
      <c r="U6419" s="1438"/>
      <c r="V6419" s="49"/>
    </row>
    <row r="6420" spans="7:22">
      <c r="G6420" s="48"/>
      <c r="H6420" s="48"/>
      <c r="I6420" s="1447"/>
      <c r="J6420" s="1081"/>
      <c r="K6420" s="1493"/>
      <c r="L6420" s="1081"/>
      <c r="M6420" s="1495"/>
      <c r="N6420" s="49"/>
      <c r="O6420" s="1383"/>
      <c r="P6420" s="644"/>
      <c r="Q6420" s="1385"/>
      <c r="R6420" s="644"/>
      <c r="S6420" s="48"/>
      <c r="T6420" s="1453"/>
      <c r="U6420" s="1416"/>
      <c r="V6420" s="49"/>
    </row>
    <row r="6421" spans="7:22">
      <c r="G6421" s="48"/>
      <c r="H6421" s="48"/>
      <c r="I6421" s="1447"/>
      <c r="J6421" s="1081"/>
      <c r="K6421" s="1493"/>
      <c r="L6421" s="1081"/>
      <c r="M6421" s="1495"/>
      <c r="N6421" s="49"/>
      <c r="O6421" s="644"/>
      <c r="P6421" s="644"/>
      <c r="Q6421" s="1383"/>
      <c r="R6421" s="644"/>
      <c r="S6421" s="48"/>
      <c r="T6421" s="1453"/>
      <c r="U6421" s="1408"/>
      <c r="V6421" s="49"/>
    </row>
    <row r="6422" spans="7:22">
      <c r="G6422" s="48"/>
      <c r="H6422" s="48"/>
      <c r="I6422" s="1450"/>
      <c r="J6422" s="1081"/>
      <c r="K6422" s="1509"/>
      <c r="L6422" s="1081"/>
      <c r="M6422" s="1498"/>
      <c r="N6422" s="49"/>
      <c r="O6422" s="644"/>
      <c r="P6422" s="644"/>
      <c r="Q6422" s="1290"/>
      <c r="R6422" s="644"/>
      <c r="S6422" s="48"/>
      <c r="T6422" s="1453"/>
      <c r="U6422" s="1408"/>
      <c r="V6422" s="49"/>
    </row>
    <row r="6423" spans="7:22">
      <c r="G6423" s="48"/>
      <c r="H6423" s="48"/>
      <c r="I6423" s="1450"/>
      <c r="J6423" s="1081"/>
      <c r="K6423" s="1493"/>
      <c r="L6423" s="1081"/>
      <c r="M6423" s="1498"/>
      <c r="N6423" s="49"/>
      <c r="O6423" s="644"/>
      <c r="P6423" s="644"/>
      <c r="Q6423" s="1383"/>
      <c r="R6423" s="644"/>
      <c r="S6423" s="48"/>
      <c r="T6423" s="1453"/>
      <c r="U6423" s="48"/>
      <c r="V6423" s="48"/>
    </row>
    <row r="6424" spans="7:22">
      <c r="G6424" s="48"/>
      <c r="H6424" s="48"/>
      <c r="I6424" s="1450"/>
      <c r="J6424" s="1081"/>
      <c r="K6424" s="1509"/>
      <c r="L6424" s="1081"/>
      <c r="M6424" s="1498"/>
      <c r="N6424" s="49"/>
      <c r="O6424" s="644"/>
      <c r="P6424" s="644"/>
      <c r="Q6424" s="1290"/>
      <c r="R6424" s="644"/>
      <c r="S6424" s="48"/>
      <c r="T6424" s="1453"/>
      <c r="U6424" s="48"/>
      <c r="V6424" s="48"/>
    </row>
    <row r="6425" spans="7:22">
      <c r="G6425" s="48"/>
      <c r="H6425" s="48"/>
      <c r="I6425" s="1444"/>
      <c r="J6425" s="1081"/>
      <c r="K6425" s="1509"/>
      <c r="L6425" s="1081"/>
      <c r="M6425" s="1498"/>
      <c r="N6425" s="49"/>
      <c r="O6425" s="644"/>
      <c r="P6425" s="644"/>
      <c r="Q6425" s="1290"/>
      <c r="R6425" s="644"/>
      <c r="S6425" s="48"/>
      <c r="T6425" s="1453"/>
      <c r="U6425" s="48"/>
      <c r="V6425" s="48"/>
    </row>
    <row r="6426" spans="7:22">
      <c r="G6426" s="48"/>
      <c r="H6426" s="48"/>
      <c r="I6426" s="1432"/>
      <c r="J6426" s="49"/>
      <c r="K6426" s="1498"/>
      <c r="L6426" s="49"/>
      <c r="M6426" s="1498"/>
      <c r="N6426" s="49"/>
      <c r="O6426" s="644"/>
      <c r="P6426" s="644"/>
      <c r="Q6426" s="1290"/>
      <c r="R6426" s="644"/>
      <c r="S6426" s="48"/>
      <c r="T6426" s="1453"/>
      <c r="U6426" s="48"/>
      <c r="V6426" s="48"/>
    </row>
    <row r="6427" spans="7:22">
      <c r="G6427" s="48"/>
      <c r="H6427" s="48"/>
      <c r="I6427" s="1432"/>
      <c r="J6427" s="49"/>
      <c r="K6427" s="1498"/>
      <c r="L6427" s="49"/>
      <c r="M6427" s="1498"/>
      <c r="N6427" s="49"/>
      <c r="O6427" s="644"/>
      <c r="P6427" s="644"/>
      <c r="Q6427" s="1290"/>
      <c r="R6427" s="644"/>
      <c r="S6427" s="48"/>
      <c r="T6427" s="1453"/>
      <c r="U6427" s="48"/>
      <c r="V6427" s="48"/>
    </row>
    <row r="6428" spans="7:22">
      <c r="G6428" s="48"/>
      <c r="H6428" s="48"/>
      <c r="I6428" s="1432"/>
      <c r="J6428" s="49"/>
      <c r="K6428" s="1498"/>
      <c r="L6428" s="49"/>
      <c r="M6428" s="1498"/>
      <c r="N6428" s="49"/>
      <c r="O6428" s="644"/>
      <c r="P6428" s="644"/>
      <c r="Q6428" s="1290"/>
      <c r="R6428" s="644"/>
      <c r="S6428" s="48"/>
      <c r="T6428" s="1453"/>
      <c r="U6428" s="48"/>
      <c r="V6428" s="48"/>
    </row>
    <row r="6429" spans="7:22">
      <c r="G6429" s="48"/>
      <c r="H6429" s="48"/>
      <c r="I6429" s="48"/>
      <c r="J6429" s="49"/>
      <c r="K6429" s="1498"/>
      <c r="L6429" s="49"/>
      <c r="M6429" s="1498"/>
      <c r="N6429" s="49"/>
      <c r="O6429" s="644"/>
      <c r="P6429" s="644"/>
      <c r="Q6429" s="1290"/>
      <c r="R6429" s="644"/>
      <c r="S6429" s="48"/>
      <c r="T6429" s="1453"/>
      <c r="U6429" s="48"/>
      <c r="V6429" s="48"/>
    </row>
    <row r="6430" spans="7:22">
      <c r="G6430" s="48"/>
      <c r="H6430" s="48"/>
      <c r="I6430" s="48"/>
      <c r="J6430" s="49"/>
      <c r="K6430" s="1498"/>
      <c r="L6430" s="49"/>
      <c r="M6430" s="1498"/>
      <c r="N6430" s="49"/>
      <c r="O6430" s="644"/>
      <c r="P6430" s="644"/>
      <c r="Q6430" s="1290"/>
      <c r="R6430" s="644"/>
      <c r="S6430" s="48"/>
      <c r="T6430" s="1453"/>
      <c r="U6430" s="48"/>
      <c r="V6430" s="48"/>
    </row>
    <row r="6431" spans="7:22">
      <c r="G6431" s="48"/>
      <c r="H6431" s="48"/>
      <c r="I6431" s="48"/>
      <c r="J6431" s="49"/>
      <c r="K6431" s="1498"/>
      <c r="L6431" s="49"/>
      <c r="M6431" s="1498"/>
      <c r="N6431" s="49"/>
      <c r="O6431" s="644"/>
      <c r="P6431" s="644"/>
      <c r="Q6431" s="1290"/>
      <c r="R6431" s="644"/>
      <c r="S6431" s="48"/>
      <c r="T6431" s="1453"/>
      <c r="U6431" s="48"/>
      <c r="V6431" s="48"/>
    </row>
    <row r="6432" spans="7:22">
      <c r="G6432" s="48"/>
      <c r="H6432" s="48"/>
      <c r="I6432" s="48"/>
      <c r="J6432" s="49"/>
      <c r="K6432" s="1498"/>
      <c r="L6432" s="49"/>
      <c r="M6432" s="1498"/>
      <c r="N6432" s="49"/>
      <c r="O6432" s="644"/>
      <c r="P6432" s="644"/>
      <c r="Q6432" s="1290"/>
      <c r="R6432" s="644"/>
      <c r="S6432" s="48"/>
      <c r="T6432" s="1453"/>
      <c r="U6432" s="48"/>
      <c r="V6432" s="48"/>
    </row>
    <row r="6433" spans="7:22">
      <c r="G6433" s="48"/>
      <c r="H6433" s="48"/>
      <c r="I6433" s="48"/>
      <c r="J6433" s="954">
        <f>SUM(J6413:J6432)</f>
        <v>37210000</v>
      </c>
      <c r="K6433" s="954"/>
      <c r="L6433" s="954">
        <f>SUM(L6413:L6432)</f>
        <v>590000</v>
      </c>
      <c r="M6433" s="1498"/>
      <c r="N6433" s="954">
        <f>SUM(N6413:N6432)</f>
        <v>120800000</v>
      </c>
      <c r="O6433" s="644"/>
      <c r="P6433" s="969">
        <f>SUM(P6413:P6420)</f>
        <v>0</v>
      </c>
      <c r="Q6433" s="969"/>
      <c r="R6433" s="969">
        <f>SUM(R6413:R6432)</f>
        <v>0</v>
      </c>
      <c r="S6433" s="48"/>
      <c r="T6433" s="1178">
        <f>SUM(T6413:T6432)</f>
        <v>500</v>
      </c>
      <c r="U6433" s="48"/>
      <c r="V6433" s="878">
        <f>SUM(V6413:V6432)</f>
        <v>400</v>
      </c>
    </row>
    <row r="6434" spans="7:22">
      <c r="T6434" s="1452"/>
    </row>
    <row r="6435" spans="7:22">
      <c r="T6435" s="1452"/>
    </row>
    <row r="6436" spans="7:22">
      <c r="R6436" s="661"/>
      <c r="T6436" s="1452"/>
    </row>
    <row r="6437" spans="7:22">
      <c r="T6437" s="1452"/>
    </row>
    <row r="6438" spans="7:22">
      <c r="K6438" s="3" t="s">
        <v>5310</v>
      </c>
      <c r="T6438" s="1452"/>
    </row>
    <row r="6439" spans="7:22">
      <c r="I6439" s="946"/>
      <c r="M6439" s="1533" t="s">
        <v>3699</v>
      </c>
      <c r="O6439" s="1535" t="s">
        <v>3741</v>
      </c>
      <c r="P6439" s="1512">
        <f>P6433-R6433</f>
        <v>0</v>
      </c>
      <c r="S6439" s="906" t="s">
        <v>4049</v>
      </c>
      <c r="T6439" s="1107">
        <f>T6433-V6433</f>
        <v>100</v>
      </c>
    </row>
    <row r="6440" spans="7:22">
      <c r="G6440" s="1574" t="s">
        <v>3530</v>
      </c>
      <c r="H6440" s="1574"/>
      <c r="I6440" s="1574"/>
      <c r="J6440" s="3">
        <f>J6433+L6433</f>
        <v>37800000</v>
      </c>
      <c r="K6440" s="1009"/>
      <c r="L6440" s="3"/>
      <c r="M6440" s="1533" t="s">
        <v>3664</v>
      </c>
      <c r="N6440" s="1527"/>
      <c r="O6440" s="1535" t="s">
        <v>4066</v>
      </c>
      <c r="P6440" s="1512"/>
      <c r="T6440" s="1452"/>
    </row>
    <row r="6441" spans="7:22">
      <c r="G6441" s="1574" t="s">
        <v>3512</v>
      </c>
      <c r="H6441" s="1574"/>
      <c r="I6441" s="1574"/>
      <c r="J6441" s="3">
        <f>N6433-J6440</f>
        <v>83000000</v>
      </c>
      <c r="K6441" s="1009"/>
      <c r="L6441" s="3"/>
      <c r="M6441" s="1528"/>
      <c r="O6441" s="1529"/>
      <c r="Q6441" s="661"/>
      <c r="T6441" s="1452"/>
    </row>
    <row r="6442" spans="7:22">
      <c r="G6442" s="1574" t="s">
        <v>3531</v>
      </c>
      <c r="H6442" s="1574"/>
      <c r="I6442" s="1574"/>
      <c r="J6442" s="3">
        <f>+T6439</f>
        <v>100</v>
      </c>
      <c r="Q6442" s="3"/>
      <c r="T6442" s="1452"/>
    </row>
    <row r="6443" spans="7:22">
      <c r="G6443" s="1564" t="s">
        <v>4455</v>
      </c>
      <c r="H6443" s="1564"/>
      <c r="I6443" s="1564"/>
      <c r="J6443" s="3">
        <f>+P6439</f>
        <v>0</v>
      </c>
      <c r="R6443" s="3"/>
      <c r="T6443" s="1452"/>
    </row>
    <row r="6444" spans="7:22">
      <c r="T6444" s="1452"/>
    </row>
    <row r="6445" spans="7:22">
      <c r="T6445" s="1456"/>
    </row>
    <row r="6446" spans="7:22">
      <c r="T6446" s="1456"/>
    </row>
    <row r="6447" spans="7:22">
      <c r="G6447" s="1008">
        <v>46146</v>
      </c>
      <c r="H6447" s="1169"/>
      <c r="I6447" s="1575" t="s">
        <v>3510</v>
      </c>
      <c r="J6447" s="1576"/>
      <c r="K6447" s="1575" t="s">
        <v>3509</v>
      </c>
      <c r="L6447" s="1576"/>
      <c r="M6447" s="1575" t="s">
        <v>3541</v>
      </c>
      <c r="N6447" s="1576"/>
      <c r="O6447" s="1577" t="s">
        <v>3598</v>
      </c>
      <c r="P6447" s="1578"/>
      <c r="Q6447" s="1579" t="s">
        <v>3599</v>
      </c>
      <c r="R6447" s="1580"/>
      <c r="S6447" s="1581" t="s">
        <v>3953</v>
      </c>
      <c r="T6447" s="1582"/>
      <c r="U6447" s="1581" t="s">
        <v>3954</v>
      </c>
      <c r="V6447" s="1582"/>
    </row>
    <row r="6448" spans="7:22">
      <c r="G6448" s="1097"/>
      <c r="H6448" s="1261"/>
      <c r="I6448" s="1463" t="s">
        <v>5539</v>
      </c>
      <c r="J6448" s="1081">
        <v>15640000</v>
      </c>
      <c r="K6448" s="1493"/>
      <c r="L6448" s="1081"/>
      <c r="M6448" s="1495" t="s">
        <v>4613</v>
      </c>
      <c r="N6448" s="1495">
        <v>79800000</v>
      </c>
      <c r="O6448" s="1383"/>
      <c r="P6448" s="644"/>
      <c r="Q6448" s="1279"/>
      <c r="R6448" s="644"/>
      <c r="S6448" s="1223"/>
      <c r="T6448" s="1191">
        <v>1400</v>
      </c>
      <c r="U6448" s="1232"/>
      <c r="V6448" s="48"/>
    </row>
    <row r="6449" spans="7:22">
      <c r="G6449" s="1098"/>
      <c r="H6449" s="1172"/>
      <c r="I6449" s="1463" t="s">
        <v>5540</v>
      </c>
      <c r="J6449" s="1081">
        <v>45500000</v>
      </c>
      <c r="K6449" s="1493"/>
      <c r="L6449" s="1081"/>
      <c r="M6449" s="1493" t="s">
        <v>5543</v>
      </c>
      <c r="N6449" s="1081">
        <v>350000000</v>
      </c>
      <c r="O6449" s="1383" t="s">
        <v>5262</v>
      </c>
      <c r="P6449" s="644">
        <v>0</v>
      </c>
      <c r="Q6449" s="1410"/>
      <c r="R6449" s="1290"/>
      <c r="S6449" s="1389"/>
      <c r="T6449" s="1191"/>
      <c r="U6449" s="48"/>
      <c r="V6449" s="49"/>
    </row>
    <row r="6450" spans="7:22">
      <c r="G6450" s="48"/>
      <c r="H6450" s="48"/>
      <c r="I6450" s="1463" t="s">
        <v>5541</v>
      </c>
      <c r="J6450" s="1081">
        <v>36400000</v>
      </c>
      <c r="K6450" s="1493"/>
      <c r="L6450" s="1081"/>
      <c r="M6450" s="1495"/>
      <c r="N6450" s="49"/>
      <c r="O6450" s="1495"/>
      <c r="P6450" s="644"/>
      <c r="Q6450" s="1412"/>
      <c r="R6450" s="644"/>
      <c r="S6450" s="1459"/>
      <c r="T6450" s="1191"/>
      <c r="U6450" s="1449"/>
      <c r="V6450" s="1191"/>
    </row>
    <row r="6451" spans="7:22">
      <c r="G6451" s="48"/>
      <c r="H6451" s="48"/>
      <c r="I6451" s="1463" t="s">
        <v>5542</v>
      </c>
      <c r="J6451" s="1081">
        <v>36400000</v>
      </c>
      <c r="K6451" s="1493"/>
      <c r="L6451" s="1081"/>
      <c r="M6451" s="1495"/>
      <c r="N6451" s="49"/>
      <c r="O6451" s="1383"/>
      <c r="P6451" s="644"/>
      <c r="Q6451" s="1422"/>
      <c r="R6451" s="644"/>
      <c r="S6451" s="1459"/>
      <c r="T6451" s="1457"/>
      <c r="U6451" s="1424"/>
      <c r="V6451" s="1457"/>
    </row>
    <row r="6452" spans="7:22">
      <c r="G6452" s="48"/>
      <c r="H6452" s="48"/>
      <c r="I6452" s="1454"/>
      <c r="J6452" s="1081"/>
      <c r="K6452" s="1493"/>
      <c r="L6452" s="1081"/>
      <c r="M6452" s="1495"/>
      <c r="N6452" s="49"/>
      <c r="O6452" s="1383"/>
      <c r="P6452" s="644"/>
      <c r="Q6452" s="1422"/>
      <c r="R6452" s="644"/>
      <c r="S6452" s="1449"/>
      <c r="T6452" s="1457"/>
      <c r="U6452" s="1408"/>
      <c r="V6452" s="49"/>
    </row>
    <row r="6453" spans="7:22">
      <c r="G6453" s="48"/>
      <c r="H6453" s="48"/>
      <c r="I6453" s="1454"/>
      <c r="J6453" s="1081"/>
      <c r="K6453" s="1493"/>
      <c r="L6453" s="1081"/>
      <c r="M6453" s="1495"/>
      <c r="N6453" s="49"/>
      <c r="O6453" s="1383"/>
      <c r="P6453" s="644"/>
      <c r="Q6453" s="1382"/>
      <c r="R6453" s="644"/>
      <c r="S6453" s="1449"/>
      <c r="T6453" s="1457"/>
      <c r="U6453" s="1416"/>
      <c r="V6453" s="49"/>
    </row>
    <row r="6454" spans="7:22">
      <c r="G6454" s="48"/>
      <c r="H6454" s="48"/>
      <c r="I6454" s="1447"/>
      <c r="J6454" s="1081"/>
      <c r="K6454" s="1493"/>
      <c r="L6454" s="1081"/>
      <c r="M6454" s="1493"/>
      <c r="N6454" s="49"/>
      <c r="O6454" s="1383"/>
      <c r="P6454" s="644"/>
      <c r="Q6454" s="1383"/>
      <c r="R6454" s="644"/>
      <c r="S6454" s="1451"/>
      <c r="T6454" s="1457"/>
      <c r="U6454" s="1438"/>
      <c r="V6454" s="49"/>
    </row>
    <row r="6455" spans="7:22">
      <c r="G6455" s="48"/>
      <c r="H6455" s="48"/>
      <c r="I6455" s="1447"/>
      <c r="J6455" s="1081"/>
      <c r="K6455" s="1493"/>
      <c r="L6455" s="1081"/>
      <c r="M6455" s="1495"/>
      <c r="N6455" s="49"/>
      <c r="O6455" s="1383"/>
      <c r="P6455" s="644"/>
      <c r="Q6455" s="1385"/>
      <c r="R6455" s="644"/>
      <c r="S6455" s="48"/>
      <c r="T6455" s="1457"/>
      <c r="U6455" s="1416"/>
      <c r="V6455" s="49"/>
    </row>
    <row r="6456" spans="7:22">
      <c r="G6456" s="48"/>
      <c r="H6456" s="48"/>
      <c r="I6456" s="1447"/>
      <c r="J6456" s="1081"/>
      <c r="K6456" s="1493"/>
      <c r="L6456" s="1081"/>
      <c r="M6456" s="1495"/>
      <c r="N6456" s="49"/>
      <c r="O6456" s="644"/>
      <c r="P6456" s="644"/>
      <c r="Q6456" s="1383"/>
      <c r="R6456" s="644"/>
      <c r="S6456" s="48"/>
      <c r="T6456" s="1457"/>
      <c r="U6456" s="1408"/>
      <c r="V6456" s="49"/>
    </row>
    <row r="6457" spans="7:22">
      <c r="G6457" s="48"/>
      <c r="H6457" s="48"/>
      <c r="I6457" s="1450"/>
      <c r="J6457" s="1081"/>
      <c r="K6457" s="1509"/>
      <c r="L6457" s="1081"/>
      <c r="M6457" s="1498"/>
      <c r="N6457" s="49"/>
      <c r="O6457" s="644"/>
      <c r="P6457" s="644"/>
      <c r="Q6457" s="1290"/>
      <c r="R6457" s="644"/>
      <c r="S6457" s="48"/>
      <c r="T6457" s="1457"/>
      <c r="U6457" s="1408"/>
      <c r="V6457" s="49"/>
    </row>
    <row r="6458" spans="7:22">
      <c r="G6458" s="48"/>
      <c r="H6458" s="48"/>
      <c r="I6458" s="1450"/>
      <c r="J6458" s="1081"/>
      <c r="K6458" s="1493"/>
      <c r="L6458" s="1081"/>
      <c r="M6458" s="1498"/>
      <c r="N6458" s="49"/>
      <c r="O6458" s="644"/>
      <c r="P6458" s="644"/>
      <c r="Q6458" s="1383"/>
      <c r="R6458" s="644"/>
      <c r="S6458" s="48"/>
      <c r="T6458" s="1457"/>
      <c r="U6458" s="48"/>
      <c r="V6458" s="48"/>
    </row>
    <row r="6459" spans="7:22">
      <c r="G6459" s="48"/>
      <c r="H6459" s="48"/>
      <c r="I6459" s="1450"/>
      <c r="J6459" s="1081"/>
      <c r="K6459" s="1509"/>
      <c r="L6459" s="1081"/>
      <c r="M6459" s="1498"/>
      <c r="N6459" s="49"/>
      <c r="O6459" s="644"/>
      <c r="P6459" s="644"/>
      <c r="Q6459" s="1290"/>
      <c r="R6459" s="644"/>
      <c r="S6459" s="48"/>
      <c r="T6459" s="1457"/>
      <c r="U6459" s="48"/>
      <c r="V6459" s="48"/>
    </row>
    <row r="6460" spans="7:22">
      <c r="G6460" s="48"/>
      <c r="H6460" s="48"/>
      <c r="I6460" s="1444"/>
      <c r="J6460" s="1081"/>
      <c r="K6460" s="1509"/>
      <c r="L6460" s="1081"/>
      <c r="M6460" s="1498"/>
      <c r="N6460" s="49"/>
      <c r="O6460" s="644"/>
      <c r="P6460" s="644"/>
      <c r="Q6460" s="1290"/>
      <c r="R6460" s="644"/>
      <c r="S6460" s="48"/>
      <c r="T6460" s="1457"/>
      <c r="U6460" s="48"/>
      <c r="V6460" s="48"/>
    </row>
    <row r="6461" spans="7:22">
      <c r="G6461" s="48"/>
      <c r="H6461" s="48"/>
      <c r="I6461" s="1432"/>
      <c r="J6461" s="49"/>
      <c r="K6461" s="1498"/>
      <c r="L6461" s="49"/>
      <c r="M6461" s="1498"/>
      <c r="N6461" s="49"/>
      <c r="O6461" s="644"/>
      <c r="P6461" s="644"/>
      <c r="Q6461" s="1290"/>
      <c r="R6461" s="644"/>
      <c r="S6461" s="48"/>
      <c r="T6461" s="1457"/>
      <c r="U6461" s="48"/>
      <c r="V6461" s="48"/>
    </row>
    <row r="6462" spans="7:22">
      <c r="G6462" s="48"/>
      <c r="H6462" s="48"/>
      <c r="I6462" s="1432"/>
      <c r="J6462" s="49"/>
      <c r="K6462" s="1498"/>
      <c r="L6462" s="49"/>
      <c r="M6462" s="1498"/>
      <c r="N6462" s="49"/>
      <c r="O6462" s="644"/>
      <c r="P6462" s="644"/>
      <c r="Q6462" s="1290"/>
      <c r="R6462" s="644"/>
      <c r="S6462" s="48"/>
      <c r="T6462" s="1457"/>
      <c r="U6462" s="48"/>
      <c r="V6462" s="48"/>
    </row>
    <row r="6463" spans="7:22">
      <c r="G6463" s="48"/>
      <c r="H6463" s="48"/>
      <c r="I6463" s="1432"/>
      <c r="J6463" s="49"/>
      <c r="K6463" s="1498"/>
      <c r="L6463" s="49"/>
      <c r="M6463" s="1498"/>
      <c r="N6463" s="49"/>
      <c r="O6463" s="644"/>
      <c r="P6463" s="644"/>
      <c r="Q6463" s="1290"/>
      <c r="R6463" s="644"/>
      <c r="S6463" s="48"/>
      <c r="T6463" s="1457"/>
      <c r="U6463" s="48"/>
      <c r="V6463" s="48"/>
    </row>
    <row r="6464" spans="7:22">
      <c r="G6464" s="48"/>
      <c r="H6464" s="48"/>
      <c r="I6464" s="48"/>
      <c r="J6464" s="49"/>
      <c r="K6464" s="1498"/>
      <c r="L6464" s="49"/>
      <c r="M6464" s="1498"/>
      <c r="N6464" s="49"/>
      <c r="O6464" s="644"/>
      <c r="P6464" s="644"/>
      <c r="Q6464" s="1290"/>
      <c r="R6464" s="644"/>
      <c r="S6464" s="48"/>
      <c r="T6464" s="1457"/>
      <c r="U6464" s="48"/>
      <c r="V6464" s="48"/>
    </row>
    <row r="6465" spans="7:22">
      <c r="G6465" s="48"/>
      <c r="H6465" s="48"/>
      <c r="I6465" s="48"/>
      <c r="J6465" s="49"/>
      <c r="K6465" s="1498"/>
      <c r="L6465" s="49"/>
      <c r="M6465" s="1498"/>
      <c r="N6465" s="49"/>
      <c r="O6465" s="644"/>
      <c r="P6465" s="644"/>
      <c r="Q6465" s="1290"/>
      <c r="R6465" s="644"/>
      <c r="S6465" s="48"/>
      <c r="T6465" s="1457"/>
      <c r="U6465" s="48"/>
      <c r="V6465" s="48"/>
    </row>
    <row r="6466" spans="7:22">
      <c r="G6466" s="48"/>
      <c r="H6466" s="48"/>
      <c r="I6466" s="48"/>
      <c r="J6466" s="49"/>
      <c r="K6466" s="1498"/>
      <c r="L6466" s="49"/>
      <c r="M6466" s="1498"/>
      <c r="N6466" s="49"/>
      <c r="O6466" s="644"/>
      <c r="P6466" s="644"/>
      <c r="Q6466" s="1290"/>
      <c r="R6466" s="644"/>
      <c r="S6466" s="48"/>
      <c r="T6466" s="1457"/>
      <c r="U6466" s="48"/>
      <c r="V6466" s="48"/>
    </row>
    <row r="6467" spans="7:22">
      <c r="G6467" s="48"/>
      <c r="H6467" s="48"/>
      <c r="I6467" s="48"/>
      <c r="J6467" s="49"/>
      <c r="K6467" s="1498"/>
      <c r="L6467" s="49"/>
      <c r="M6467" s="1498"/>
      <c r="N6467" s="49"/>
      <c r="O6467" s="644"/>
      <c r="P6467" s="644"/>
      <c r="Q6467" s="1290"/>
      <c r="R6467" s="644"/>
      <c r="S6467" s="48"/>
      <c r="T6467" s="1457"/>
      <c r="U6467" s="48"/>
      <c r="V6467" s="48"/>
    </row>
    <row r="6468" spans="7:22">
      <c r="G6468" s="48"/>
      <c r="H6468" s="48"/>
      <c r="I6468" s="48"/>
      <c r="J6468" s="954">
        <f>SUM(J6448:J6467)</f>
        <v>133940000</v>
      </c>
      <c r="K6468" s="954"/>
      <c r="L6468" s="954">
        <f>SUM(L6448:L6467)</f>
        <v>0</v>
      </c>
      <c r="M6468" s="1498"/>
      <c r="N6468" s="954">
        <f>SUM(N6448:N6467)</f>
        <v>429800000</v>
      </c>
      <c r="O6468" s="644"/>
      <c r="P6468" s="969">
        <f>SUM(P6448:P6455)</f>
        <v>0</v>
      </c>
      <c r="Q6468" s="969"/>
      <c r="R6468" s="969">
        <f>SUM(R6448:R6467)</f>
        <v>0</v>
      </c>
      <c r="S6468" s="48"/>
      <c r="T6468" s="1178">
        <f>SUM(T6448:T6467)</f>
        <v>1400</v>
      </c>
      <c r="U6468" s="48"/>
      <c r="V6468" s="878">
        <f>SUM(V6448:V6467)</f>
        <v>0</v>
      </c>
    </row>
    <row r="6469" spans="7:22">
      <c r="T6469" s="1456"/>
    </row>
    <row r="6470" spans="7:22">
      <c r="T6470" s="1456"/>
    </row>
    <row r="6471" spans="7:22">
      <c r="R6471" s="661"/>
      <c r="T6471" s="1456"/>
    </row>
    <row r="6472" spans="7:22">
      <c r="T6472" s="1456"/>
    </row>
    <row r="6473" spans="7:22">
      <c r="K6473" s="3" t="s">
        <v>5310</v>
      </c>
      <c r="T6473" s="1456"/>
    </row>
    <row r="6474" spans="7:22">
      <c r="I6474" s="946"/>
      <c r="M6474" s="1533" t="s">
        <v>3699</v>
      </c>
      <c r="O6474" s="1535" t="s">
        <v>3741</v>
      </c>
      <c r="P6474" s="1512">
        <f>P6468-R6468</f>
        <v>0</v>
      </c>
      <c r="S6474" s="906" t="s">
        <v>4049</v>
      </c>
      <c r="T6474" s="1107">
        <f>T6468-V6468</f>
        <v>1400</v>
      </c>
    </row>
    <row r="6475" spans="7:22">
      <c r="G6475" s="1574" t="s">
        <v>3530</v>
      </c>
      <c r="H6475" s="1574"/>
      <c r="I6475" s="1574"/>
      <c r="J6475" s="3">
        <f>J6468+L6468</f>
        <v>133940000</v>
      </c>
      <c r="K6475" s="1009"/>
      <c r="L6475" s="3"/>
      <c r="M6475" s="1533" t="s">
        <v>3664</v>
      </c>
      <c r="N6475" s="1527"/>
      <c r="O6475" s="1535" t="s">
        <v>4066</v>
      </c>
      <c r="P6475" s="1512"/>
      <c r="T6475" s="1456"/>
    </row>
    <row r="6476" spans="7:22">
      <c r="G6476" s="1574" t="s">
        <v>3512</v>
      </c>
      <c r="H6476" s="1574"/>
      <c r="I6476" s="1574"/>
      <c r="J6476" s="3">
        <f>N6468-J6475</f>
        <v>295860000</v>
      </c>
      <c r="K6476" s="1009"/>
      <c r="L6476" s="3"/>
      <c r="M6476" s="1528"/>
      <c r="O6476" s="1529"/>
      <c r="Q6476" s="661"/>
      <c r="T6476" s="1456"/>
    </row>
    <row r="6477" spans="7:22">
      <c r="G6477" s="1574" t="s">
        <v>3531</v>
      </c>
      <c r="H6477" s="1574"/>
      <c r="I6477" s="1574"/>
      <c r="J6477" s="3">
        <f>+T6474</f>
        <v>1400</v>
      </c>
      <c r="Q6477" s="3"/>
      <c r="T6477" s="1456"/>
    </row>
    <row r="6478" spans="7:22">
      <c r="G6478" s="1564" t="s">
        <v>4455</v>
      </c>
      <c r="H6478" s="1564"/>
      <c r="I6478" s="1564"/>
      <c r="J6478" s="3">
        <f>+P6474</f>
        <v>0</v>
      </c>
      <c r="R6478" s="3"/>
      <c r="T6478" s="1456"/>
    </row>
    <row r="6479" spans="7:22">
      <c r="T6479" s="1456"/>
    </row>
    <row r="6481" spans="7:22">
      <c r="T6481" s="1456"/>
    </row>
    <row r="6482" spans="7:22">
      <c r="T6482" s="1456"/>
    </row>
    <row r="6483" spans="7:22">
      <c r="G6483" s="1008">
        <v>46147</v>
      </c>
      <c r="H6483" s="1169"/>
      <c r="I6483" s="1575" t="s">
        <v>3510</v>
      </c>
      <c r="J6483" s="1576"/>
      <c r="K6483" s="1575" t="s">
        <v>3509</v>
      </c>
      <c r="L6483" s="1576"/>
      <c r="M6483" s="1575" t="s">
        <v>3541</v>
      </c>
      <c r="N6483" s="1576"/>
      <c r="O6483" s="1577" t="s">
        <v>3598</v>
      </c>
      <c r="P6483" s="1578"/>
      <c r="Q6483" s="1579" t="s">
        <v>3599</v>
      </c>
      <c r="R6483" s="1580"/>
      <c r="S6483" s="1581" t="s">
        <v>3953</v>
      </c>
      <c r="T6483" s="1582"/>
      <c r="U6483" s="1581" t="s">
        <v>3954</v>
      </c>
      <c r="V6483" s="1582"/>
    </row>
    <row r="6484" spans="7:22">
      <c r="G6484" s="1097"/>
      <c r="H6484" s="1261"/>
      <c r="I6484" s="1463" t="s">
        <v>5548</v>
      </c>
      <c r="J6484" s="1081">
        <v>27000000</v>
      </c>
      <c r="K6484" s="1493"/>
      <c r="L6484" s="1081"/>
      <c r="M6484" s="1495" t="s">
        <v>4613</v>
      </c>
      <c r="N6484" s="1495">
        <v>295200000</v>
      </c>
      <c r="O6484" s="1383"/>
      <c r="P6484" s="644"/>
      <c r="Q6484" s="1279"/>
      <c r="R6484" s="644"/>
      <c r="S6484" s="1223"/>
      <c r="T6484" s="1191">
        <v>1400</v>
      </c>
      <c r="U6484" s="1232"/>
      <c r="V6484" s="48"/>
    </row>
    <row r="6485" spans="7:22">
      <c r="G6485" s="1098"/>
      <c r="H6485" s="1172"/>
      <c r="I6485" s="1463" t="s">
        <v>5549</v>
      </c>
      <c r="J6485" s="1081">
        <v>24300000</v>
      </c>
      <c r="K6485" s="1493"/>
      <c r="L6485" s="1081"/>
      <c r="M6485" s="1493" t="s">
        <v>5545</v>
      </c>
      <c r="N6485" s="1081">
        <v>500000000</v>
      </c>
      <c r="O6485" s="1383" t="s">
        <v>5262</v>
      </c>
      <c r="P6485" s="644">
        <v>49600000</v>
      </c>
      <c r="Q6485" s="1410"/>
      <c r="R6485" s="1290"/>
      <c r="S6485" s="1389"/>
      <c r="T6485" s="1191"/>
      <c r="U6485" s="48"/>
      <c r="V6485" s="49"/>
    </row>
    <row r="6486" spans="7:22">
      <c r="G6486" s="48"/>
      <c r="H6486" s="48"/>
      <c r="I6486" s="1463" t="s">
        <v>5550</v>
      </c>
      <c r="J6486" s="1081">
        <v>93000000</v>
      </c>
      <c r="K6486" s="1493"/>
      <c r="L6486" s="1081"/>
      <c r="M6486" s="1493" t="s">
        <v>5546</v>
      </c>
      <c r="N6486" s="49">
        <v>11000000</v>
      </c>
      <c r="O6486" s="1495"/>
      <c r="P6486" s="644"/>
      <c r="Q6486" s="1412"/>
      <c r="R6486" s="644"/>
      <c r="S6486" s="1459"/>
      <c r="T6486" s="1191"/>
      <c r="U6486" s="1449"/>
      <c r="V6486" s="1191"/>
    </row>
    <row r="6487" spans="7:22">
      <c r="G6487" s="48"/>
      <c r="H6487" s="48"/>
      <c r="I6487" s="1463" t="s">
        <v>5551</v>
      </c>
      <c r="J6487" s="1081">
        <v>21390000</v>
      </c>
      <c r="K6487" s="1493"/>
      <c r="L6487" s="1081"/>
      <c r="M6487" s="1495" t="s">
        <v>5547</v>
      </c>
      <c r="N6487" s="49">
        <v>2200000</v>
      </c>
      <c r="O6487" s="1383"/>
      <c r="P6487" s="644"/>
      <c r="Q6487" s="1422"/>
      <c r="R6487" s="644"/>
      <c r="S6487" s="1459"/>
      <c r="T6487" s="1457"/>
      <c r="U6487" s="1424"/>
      <c r="V6487" s="1457"/>
    </row>
    <row r="6488" spans="7:22">
      <c r="G6488" s="48"/>
      <c r="H6488" s="48"/>
      <c r="I6488" s="1463" t="s">
        <v>5552</v>
      </c>
      <c r="J6488" s="1081">
        <v>32400000</v>
      </c>
      <c r="K6488" s="1493"/>
      <c r="L6488" s="1081"/>
      <c r="M6488" s="1495"/>
      <c r="N6488" s="49"/>
      <c r="O6488" s="1383"/>
      <c r="P6488" s="644"/>
      <c r="Q6488" s="1422"/>
      <c r="R6488" s="644"/>
      <c r="S6488" s="1449"/>
      <c r="T6488" s="1457"/>
      <c r="U6488" s="1408"/>
      <c r="V6488" s="49"/>
    </row>
    <row r="6489" spans="7:22">
      <c r="G6489" s="48"/>
      <c r="H6489" s="48"/>
      <c r="I6489" s="1463" t="s">
        <v>4919</v>
      </c>
      <c r="J6489" s="1081">
        <v>34700000</v>
      </c>
      <c r="K6489" s="1493"/>
      <c r="L6489" s="1081"/>
      <c r="M6489" s="1495"/>
      <c r="N6489" s="49"/>
      <c r="O6489" s="1383"/>
      <c r="P6489" s="644"/>
      <c r="Q6489" s="1382"/>
      <c r="R6489" s="644"/>
      <c r="S6489" s="1449"/>
      <c r="T6489" s="1457"/>
      <c r="U6489" s="1416"/>
      <c r="V6489" s="49"/>
    </row>
    <row r="6490" spans="7:22">
      <c r="G6490" s="48"/>
      <c r="H6490" s="48"/>
      <c r="I6490" s="1447"/>
      <c r="J6490" s="1081"/>
      <c r="K6490" s="1493"/>
      <c r="L6490" s="1081"/>
      <c r="M6490" s="1493"/>
      <c r="N6490" s="49"/>
      <c r="O6490" s="1383"/>
      <c r="P6490" s="644"/>
      <c r="Q6490" s="1383"/>
      <c r="R6490" s="644"/>
      <c r="S6490" s="1451"/>
      <c r="T6490" s="1457"/>
      <c r="U6490" s="1438"/>
      <c r="V6490" s="49"/>
    </row>
    <row r="6491" spans="7:22">
      <c r="G6491" s="48"/>
      <c r="H6491" s="48"/>
      <c r="I6491" s="1447"/>
      <c r="J6491" s="1081"/>
      <c r="K6491" s="1493"/>
      <c r="L6491" s="1081"/>
      <c r="M6491" s="1495"/>
      <c r="N6491" s="49"/>
      <c r="O6491" s="1383"/>
      <c r="P6491" s="644"/>
      <c r="Q6491" s="1385"/>
      <c r="R6491" s="644"/>
      <c r="S6491" s="48"/>
      <c r="T6491" s="1457"/>
      <c r="U6491" s="1416"/>
      <c r="V6491" s="49"/>
    </row>
    <row r="6492" spans="7:22">
      <c r="G6492" s="48"/>
      <c r="H6492" s="48"/>
      <c r="I6492" s="1447"/>
      <c r="J6492" s="1081"/>
      <c r="K6492" s="1493"/>
      <c r="L6492" s="1081"/>
      <c r="M6492" s="1495"/>
      <c r="N6492" s="49"/>
      <c r="O6492" s="644"/>
      <c r="P6492" s="644"/>
      <c r="Q6492" s="1383"/>
      <c r="R6492" s="644"/>
      <c r="S6492" s="48"/>
      <c r="T6492" s="1457"/>
      <c r="U6492" s="1408"/>
      <c r="V6492" s="49"/>
    </row>
    <row r="6493" spans="7:22">
      <c r="G6493" s="48"/>
      <c r="H6493" s="48"/>
      <c r="I6493" s="1450"/>
      <c r="J6493" s="1081"/>
      <c r="K6493" s="1509"/>
      <c r="L6493" s="1081"/>
      <c r="M6493" s="1498"/>
      <c r="N6493" s="49"/>
      <c r="O6493" s="644"/>
      <c r="P6493" s="644"/>
      <c r="Q6493" s="1290"/>
      <c r="R6493" s="644"/>
      <c r="S6493" s="48"/>
      <c r="T6493" s="1457"/>
      <c r="U6493" s="1408"/>
      <c r="V6493" s="49"/>
    </row>
    <row r="6494" spans="7:22">
      <c r="G6494" s="48"/>
      <c r="H6494" s="48"/>
      <c r="I6494" s="1450"/>
      <c r="J6494" s="1081"/>
      <c r="K6494" s="1493"/>
      <c r="L6494" s="1081"/>
      <c r="M6494" s="1498"/>
      <c r="N6494" s="49"/>
      <c r="O6494" s="644"/>
      <c r="P6494" s="644"/>
      <c r="Q6494" s="1383"/>
      <c r="R6494" s="644"/>
      <c r="S6494" s="48"/>
      <c r="T6494" s="1457"/>
      <c r="U6494" s="48"/>
      <c r="V6494" s="48"/>
    </row>
    <row r="6495" spans="7:22">
      <c r="G6495" s="48"/>
      <c r="H6495" s="48"/>
      <c r="I6495" s="1450"/>
      <c r="J6495" s="1081"/>
      <c r="K6495" s="1509"/>
      <c r="L6495" s="1081"/>
      <c r="M6495" s="1498"/>
      <c r="N6495" s="49"/>
      <c r="O6495" s="644"/>
      <c r="P6495" s="644"/>
      <c r="Q6495" s="1290"/>
      <c r="R6495" s="644"/>
      <c r="S6495" s="48"/>
      <c r="T6495" s="1457"/>
      <c r="U6495" s="48"/>
      <c r="V6495" s="48"/>
    </row>
    <row r="6496" spans="7:22">
      <c r="G6496" s="48"/>
      <c r="H6496" s="48"/>
      <c r="I6496" s="1444"/>
      <c r="J6496" s="1081"/>
      <c r="K6496" s="1509"/>
      <c r="L6496" s="1081"/>
      <c r="M6496" s="1498"/>
      <c r="N6496" s="49"/>
      <c r="O6496" s="644"/>
      <c r="P6496" s="644"/>
      <c r="Q6496" s="1290"/>
      <c r="R6496" s="644"/>
      <c r="S6496" s="48"/>
      <c r="T6496" s="1457"/>
      <c r="U6496" s="48"/>
      <c r="V6496" s="48"/>
    </row>
    <row r="6497" spans="7:22">
      <c r="G6497" s="48"/>
      <c r="H6497" s="48"/>
      <c r="I6497" s="1432"/>
      <c r="J6497" s="49"/>
      <c r="K6497" s="1498"/>
      <c r="L6497" s="49"/>
      <c r="M6497" s="1498"/>
      <c r="N6497" s="49"/>
      <c r="O6497" s="644"/>
      <c r="P6497" s="644"/>
      <c r="Q6497" s="1290"/>
      <c r="R6497" s="644"/>
      <c r="S6497" s="48"/>
      <c r="T6497" s="1457"/>
      <c r="U6497" s="48"/>
      <c r="V6497" s="48"/>
    </row>
    <row r="6498" spans="7:22">
      <c r="G6498" s="48"/>
      <c r="H6498" s="48"/>
      <c r="I6498" s="1432"/>
      <c r="J6498" s="49"/>
      <c r="K6498" s="1498"/>
      <c r="L6498" s="49"/>
      <c r="M6498" s="1498"/>
      <c r="N6498" s="49"/>
      <c r="O6498" s="644"/>
      <c r="P6498" s="644"/>
      <c r="Q6498" s="1290"/>
      <c r="R6498" s="644"/>
      <c r="S6498" s="48"/>
      <c r="T6498" s="1457"/>
      <c r="U6498" s="48"/>
      <c r="V6498" s="48"/>
    </row>
    <row r="6499" spans="7:22">
      <c r="G6499" s="48"/>
      <c r="H6499" s="48"/>
      <c r="I6499" s="1432"/>
      <c r="J6499" s="49"/>
      <c r="K6499" s="1498"/>
      <c r="L6499" s="49"/>
      <c r="M6499" s="1498"/>
      <c r="N6499" s="49"/>
      <c r="O6499" s="644"/>
      <c r="P6499" s="644"/>
      <c r="Q6499" s="1290"/>
      <c r="R6499" s="644"/>
      <c r="S6499" s="48"/>
      <c r="T6499" s="1457"/>
      <c r="U6499" s="48"/>
      <c r="V6499" s="48"/>
    </row>
    <row r="6500" spans="7:22">
      <c r="G6500" s="48"/>
      <c r="H6500" s="48"/>
      <c r="I6500" s="48"/>
      <c r="J6500" s="49"/>
      <c r="K6500" s="1498"/>
      <c r="L6500" s="49"/>
      <c r="M6500" s="1498"/>
      <c r="N6500" s="49"/>
      <c r="O6500" s="644"/>
      <c r="P6500" s="644"/>
      <c r="Q6500" s="1290"/>
      <c r="R6500" s="644"/>
      <c r="S6500" s="48"/>
      <c r="T6500" s="1457"/>
      <c r="U6500" s="48"/>
      <c r="V6500" s="48"/>
    </row>
    <row r="6501" spans="7:22">
      <c r="G6501" s="48"/>
      <c r="H6501" s="48"/>
      <c r="I6501" s="48"/>
      <c r="J6501" s="49"/>
      <c r="K6501" s="1498"/>
      <c r="L6501" s="49"/>
      <c r="M6501" s="1498"/>
      <c r="N6501" s="49"/>
      <c r="O6501" s="644"/>
      <c r="P6501" s="644"/>
      <c r="Q6501" s="1290"/>
      <c r="R6501" s="644"/>
      <c r="S6501" s="48"/>
      <c r="T6501" s="1457"/>
      <c r="U6501" s="48"/>
      <c r="V6501" s="48"/>
    </row>
    <row r="6502" spans="7:22">
      <c r="G6502" s="48"/>
      <c r="H6502" s="48"/>
      <c r="I6502" s="48"/>
      <c r="J6502" s="49"/>
      <c r="K6502" s="1498"/>
      <c r="L6502" s="49"/>
      <c r="M6502" s="1498"/>
      <c r="N6502" s="49"/>
      <c r="O6502" s="644"/>
      <c r="P6502" s="644"/>
      <c r="Q6502" s="1290"/>
      <c r="R6502" s="644"/>
      <c r="S6502" s="48"/>
      <c r="T6502" s="1457"/>
      <c r="U6502" s="48"/>
      <c r="V6502" s="48"/>
    </row>
    <row r="6503" spans="7:22">
      <c r="G6503" s="48"/>
      <c r="H6503" s="48"/>
      <c r="I6503" s="48"/>
      <c r="J6503" s="49"/>
      <c r="K6503" s="1498"/>
      <c r="L6503" s="49"/>
      <c r="M6503" s="1498"/>
      <c r="N6503" s="49"/>
      <c r="O6503" s="644"/>
      <c r="P6503" s="644"/>
      <c r="Q6503" s="1290"/>
      <c r="R6503" s="644"/>
      <c r="S6503" s="48"/>
      <c r="T6503" s="1457"/>
      <c r="U6503" s="48"/>
      <c r="V6503" s="48"/>
    </row>
    <row r="6504" spans="7:22">
      <c r="G6504" s="48"/>
      <c r="H6504" s="48"/>
      <c r="I6504" s="48"/>
      <c r="J6504" s="954">
        <f>SUM(J6484:J6503)</f>
        <v>232790000</v>
      </c>
      <c r="K6504" s="954"/>
      <c r="L6504" s="954">
        <f>SUM(L6484:L6503)</f>
        <v>0</v>
      </c>
      <c r="M6504" s="1498"/>
      <c r="N6504" s="954">
        <f>SUM(N6484:N6503)</f>
        <v>808400000</v>
      </c>
      <c r="O6504" s="644"/>
      <c r="P6504" s="969">
        <f>SUM(P6484:P6491)</f>
        <v>49600000</v>
      </c>
      <c r="Q6504" s="969"/>
      <c r="R6504" s="969">
        <f>SUM(R6484:R6503)</f>
        <v>0</v>
      </c>
      <c r="S6504" s="48"/>
      <c r="T6504" s="1178">
        <f>SUM(T6484:T6503)</f>
        <v>1400</v>
      </c>
      <c r="U6504" s="48"/>
      <c r="V6504" s="878">
        <f>SUM(V6484:V6503)</f>
        <v>0</v>
      </c>
    </row>
    <row r="6505" spans="7:22">
      <c r="T6505" s="1456"/>
    </row>
    <row r="6506" spans="7:22">
      <c r="T6506" s="1456"/>
    </row>
    <row r="6507" spans="7:22">
      <c r="R6507" s="661"/>
      <c r="T6507" s="1456"/>
    </row>
    <row r="6508" spans="7:22">
      <c r="T6508" s="1456"/>
    </row>
    <row r="6509" spans="7:22">
      <c r="K6509" s="3" t="s">
        <v>5310</v>
      </c>
      <c r="T6509" s="1456"/>
    </row>
    <row r="6510" spans="7:22">
      <c r="I6510" s="946"/>
      <c r="M6510" s="1533" t="s">
        <v>3699</v>
      </c>
      <c r="O6510" s="1535" t="s">
        <v>3741</v>
      </c>
      <c r="P6510" s="1512">
        <f>P6504-R6504</f>
        <v>49600000</v>
      </c>
      <c r="S6510" s="906" t="s">
        <v>4049</v>
      </c>
      <c r="T6510" s="1107">
        <f>T6504-V6504</f>
        <v>1400</v>
      </c>
    </row>
    <row r="6511" spans="7:22">
      <c r="G6511" s="1574" t="s">
        <v>3530</v>
      </c>
      <c r="H6511" s="1574"/>
      <c r="I6511" s="1574"/>
      <c r="J6511" s="3">
        <f>J6504+L6504</f>
        <v>232790000</v>
      </c>
      <c r="K6511" s="1009"/>
      <c r="L6511" s="3"/>
      <c r="M6511" s="1533" t="s">
        <v>3664</v>
      </c>
      <c r="N6511" s="1527"/>
      <c r="O6511" s="1535" t="s">
        <v>4066</v>
      </c>
      <c r="P6511" s="1512"/>
      <c r="T6511" s="1456"/>
    </row>
    <row r="6512" spans="7:22">
      <c r="G6512" s="1574" t="s">
        <v>3512</v>
      </c>
      <c r="H6512" s="1574"/>
      <c r="I6512" s="1574"/>
      <c r="J6512" s="3">
        <f>N6504-J6511</f>
        <v>575610000</v>
      </c>
      <c r="K6512" s="1009"/>
      <c r="L6512" s="3"/>
      <c r="M6512" s="1528"/>
      <c r="O6512" s="1529"/>
      <c r="Q6512" s="661"/>
      <c r="T6512" s="1456"/>
    </row>
    <row r="6513" spans="7:22">
      <c r="G6513" s="1574" t="s">
        <v>3531</v>
      </c>
      <c r="H6513" s="1574"/>
      <c r="I6513" s="1574"/>
      <c r="J6513" s="3">
        <f>+T6510</f>
        <v>1400</v>
      </c>
      <c r="Q6513" s="3"/>
      <c r="T6513" s="1456"/>
    </row>
    <row r="6514" spans="7:22">
      <c r="G6514" s="1564" t="s">
        <v>4455</v>
      </c>
      <c r="H6514" s="1564"/>
      <c r="I6514" s="1564"/>
      <c r="J6514" s="3">
        <f>+P6510</f>
        <v>49600000</v>
      </c>
      <c r="R6514" s="3"/>
      <c r="T6514" s="1456"/>
    </row>
    <row r="6515" spans="7:22">
      <c r="T6515" s="1456"/>
    </row>
    <row r="6517" spans="7:22">
      <c r="T6517" s="1461"/>
    </row>
    <row r="6518" spans="7:22">
      <c r="T6518" s="1461"/>
    </row>
    <row r="6519" spans="7:22">
      <c r="G6519" s="1008">
        <v>46147</v>
      </c>
      <c r="H6519" s="1169"/>
      <c r="I6519" s="1575" t="s">
        <v>3510</v>
      </c>
      <c r="J6519" s="1576"/>
      <c r="K6519" s="1575" t="s">
        <v>3509</v>
      </c>
      <c r="L6519" s="1576"/>
      <c r="M6519" s="1575" t="s">
        <v>3541</v>
      </c>
      <c r="N6519" s="1576"/>
      <c r="O6519" s="1577" t="s">
        <v>3598</v>
      </c>
      <c r="P6519" s="1578"/>
      <c r="Q6519" s="1579" t="s">
        <v>3599</v>
      </c>
      <c r="R6519" s="1580"/>
      <c r="S6519" s="1581" t="s">
        <v>3953</v>
      </c>
      <c r="T6519" s="1582"/>
      <c r="U6519" s="1581" t="s">
        <v>3954</v>
      </c>
      <c r="V6519" s="1582"/>
    </row>
    <row r="6520" spans="7:22">
      <c r="G6520" s="1097"/>
      <c r="H6520" s="1261"/>
      <c r="I6520" s="1467" t="s">
        <v>5553</v>
      </c>
      <c r="J6520" s="1081">
        <v>45000000</v>
      </c>
      <c r="K6520" s="1493" t="s">
        <v>4876</v>
      </c>
      <c r="L6520" s="1081">
        <v>800000</v>
      </c>
      <c r="M6520" s="1495" t="s">
        <v>4613</v>
      </c>
      <c r="N6520" s="1495">
        <v>575250000</v>
      </c>
      <c r="O6520" s="1383"/>
      <c r="P6520" s="644"/>
      <c r="Q6520" s="1279"/>
      <c r="R6520" s="644"/>
      <c r="S6520" s="1223"/>
      <c r="T6520" s="1191">
        <v>1400</v>
      </c>
      <c r="U6520" s="1232"/>
      <c r="V6520" s="48"/>
    </row>
    <row r="6521" spans="7:22">
      <c r="G6521" s="1098"/>
      <c r="H6521" s="1172"/>
      <c r="I6521" s="1467" t="s">
        <v>5554</v>
      </c>
      <c r="J6521" s="1081">
        <v>45500000</v>
      </c>
      <c r="K6521" s="1493"/>
      <c r="L6521" s="1081"/>
      <c r="M6521" s="1493" t="s">
        <v>5561</v>
      </c>
      <c r="N6521" s="1081">
        <v>10000000</v>
      </c>
      <c r="O6521" s="1383" t="s">
        <v>5262</v>
      </c>
      <c r="P6521" s="644">
        <v>49600000</v>
      </c>
      <c r="Q6521" s="1410"/>
      <c r="R6521" s="1290"/>
      <c r="S6521" s="1389"/>
      <c r="T6521" s="1191"/>
      <c r="U6521" s="48"/>
      <c r="V6521" s="49"/>
    </row>
    <row r="6522" spans="7:22">
      <c r="G6522" s="48"/>
      <c r="H6522" s="48"/>
      <c r="I6522" s="1467" t="s">
        <v>5555</v>
      </c>
      <c r="J6522" s="1081">
        <v>36400000</v>
      </c>
      <c r="K6522" s="1493"/>
      <c r="L6522" s="1081"/>
      <c r="M6522" s="1493"/>
      <c r="N6522" s="49"/>
      <c r="O6522" s="1495"/>
      <c r="P6522" s="644"/>
      <c r="Q6522" s="1412"/>
      <c r="R6522" s="644"/>
      <c r="S6522" s="1459"/>
      <c r="T6522" s="1191"/>
      <c r="U6522" s="1449"/>
      <c r="V6522" s="1191"/>
    </row>
    <row r="6523" spans="7:22">
      <c r="G6523" s="48"/>
      <c r="H6523" s="48"/>
      <c r="I6523" s="1467" t="s">
        <v>5556</v>
      </c>
      <c r="J6523" s="1081">
        <v>36400000</v>
      </c>
      <c r="K6523" s="1493"/>
      <c r="L6523" s="1081"/>
      <c r="M6523" s="1495"/>
      <c r="N6523" s="49"/>
      <c r="O6523" s="1383"/>
      <c r="P6523" s="644"/>
      <c r="Q6523" s="1422"/>
      <c r="R6523" s="644"/>
      <c r="S6523" s="1459"/>
      <c r="T6523" s="1462"/>
      <c r="U6523" s="1424"/>
      <c r="V6523" s="1462"/>
    </row>
    <row r="6524" spans="7:22">
      <c r="G6524" s="48"/>
      <c r="H6524" s="48"/>
      <c r="I6524" s="1467" t="s">
        <v>5557</v>
      </c>
      <c r="J6524" s="1081">
        <v>36400000</v>
      </c>
      <c r="K6524" s="1493"/>
      <c r="L6524" s="1081"/>
      <c r="M6524" s="1495"/>
      <c r="N6524" s="49"/>
      <c r="O6524" s="1383"/>
      <c r="P6524" s="644"/>
      <c r="Q6524" s="1422"/>
      <c r="R6524" s="644"/>
      <c r="S6524" s="1449"/>
      <c r="T6524" s="1462"/>
      <c r="U6524" s="1408"/>
      <c r="V6524" s="49"/>
    </row>
    <row r="6525" spans="7:22">
      <c r="G6525" s="48"/>
      <c r="H6525" s="48"/>
      <c r="I6525" s="1467" t="s">
        <v>5558</v>
      </c>
      <c r="J6525" s="1081">
        <v>18200000</v>
      </c>
      <c r="K6525" s="1493"/>
      <c r="L6525" s="1081"/>
      <c r="M6525" s="1495"/>
      <c r="N6525" s="49"/>
      <c r="O6525" s="1383"/>
      <c r="P6525" s="644"/>
      <c r="Q6525" s="1382"/>
      <c r="R6525" s="644"/>
      <c r="S6525" s="1449"/>
      <c r="T6525" s="1462"/>
      <c r="U6525" s="1416"/>
      <c r="V6525" s="49"/>
    </row>
    <row r="6526" spans="7:22">
      <c r="G6526" s="48"/>
      <c r="H6526" s="48"/>
      <c r="I6526" s="1467" t="s">
        <v>5559</v>
      </c>
      <c r="J6526" s="1081">
        <f>40000000*0.92</f>
        <v>36800000</v>
      </c>
      <c r="K6526" s="1493"/>
      <c r="L6526" s="1081"/>
      <c r="M6526" s="1493"/>
      <c r="N6526" s="49"/>
      <c r="O6526" s="1383"/>
      <c r="P6526" s="644"/>
      <c r="Q6526" s="1383"/>
      <c r="R6526" s="644"/>
      <c r="S6526" s="1451"/>
      <c r="T6526" s="1462"/>
      <c r="U6526" s="1438"/>
      <c r="V6526" s="49"/>
    </row>
    <row r="6527" spans="7:22">
      <c r="G6527" s="48"/>
      <c r="H6527" s="48"/>
      <c r="I6527" s="1467" t="s">
        <v>5560</v>
      </c>
      <c r="J6527" s="1081">
        <f>23000000*0.92</f>
        <v>21160000</v>
      </c>
      <c r="K6527" s="1493"/>
      <c r="L6527" s="1081"/>
      <c r="M6527" s="1495"/>
      <c r="N6527" s="49"/>
      <c r="O6527" s="1383"/>
      <c r="P6527" s="644"/>
      <c r="Q6527" s="1385"/>
      <c r="R6527" s="644"/>
      <c r="S6527" s="48"/>
      <c r="T6527" s="1462"/>
      <c r="U6527" s="1416"/>
      <c r="V6527" s="49"/>
    </row>
    <row r="6528" spans="7:22">
      <c r="G6528" s="48"/>
      <c r="H6528" s="48"/>
      <c r="I6528" s="1467" t="s">
        <v>5562</v>
      </c>
      <c r="J6528" s="1081">
        <f>33000000*0.92</f>
        <v>30360000</v>
      </c>
      <c r="K6528" s="1493"/>
      <c r="L6528" s="1081"/>
      <c r="M6528" s="1495"/>
      <c r="N6528" s="49"/>
      <c r="O6528" s="644"/>
      <c r="P6528" s="644"/>
      <c r="Q6528" s="1383"/>
      <c r="R6528" s="644"/>
      <c r="S6528" s="48"/>
      <c r="T6528" s="1462"/>
      <c r="U6528" s="1408"/>
      <c r="V6528" s="49"/>
    </row>
    <row r="6529" spans="7:22">
      <c r="G6529" s="48"/>
      <c r="H6529" s="48"/>
      <c r="I6529" s="1468" t="s">
        <v>5563</v>
      </c>
      <c r="J6529" s="1081">
        <f>24000000*0.92</f>
        <v>22080000</v>
      </c>
      <c r="K6529" s="1509"/>
      <c r="L6529" s="1081"/>
      <c r="M6529" s="1498"/>
      <c r="N6529" s="49"/>
      <c r="O6529" s="644"/>
      <c r="P6529" s="644"/>
      <c r="Q6529" s="1290"/>
      <c r="R6529" s="644"/>
      <c r="S6529" s="48"/>
      <c r="T6529" s="1462"/>
      <c r="U6529" s="1408"/>
      <c r="V6529" s="49"/>
    </row>
    <row r="6530" spans="7:22">
      <c r="G6530" s="48"/>
      <c r="H6530" s="48"/>
      <c r="I6530" s="1468" t="s">
        <v>5564</v>
      </c>
      <c r="J6530" s="1081">
        <f>50000000*0.92</f>
        <v>46000000</v>
      </c>
      <c r="K6530" s="1493"/>
      <c r="L6530" s="1081"/>
      <c r="M6530" s="1498"/>
      <c r="N6530" s="49"/>
      <c r="O6530" s="644"/>
      <c r="P6530" s="644"/>
      <c r="Q6530" s="1383"/>
      <c r="R6530" s="644"/>
      <c r="S6530" s="48"/>
      <c r="T6530" s="1462"/>
      <c r="U6530" s="48"/>
      <c r="V6530" s="48"/>
    </row>
    <row r="6531" spans="7:22">
      <c r="G6531" s="48"/>
      <c r="H6531" s="48"/>
      <c r="I6531" s="1468" t="s">
        <v>5565</v>
      </c>
      <c r="J6531" s="1081">
        <v>46500000</v>
      </c>
      <c r="K6531" s="1509"/>
      <c r="L6531" s="1081"/>
      <c r="M6531" s="1498"/>
      <c r="N6531" s="49"/>
      <c r="O6531" s="644"/>
      <c r="P6531" s="644"/>
      <c r="Q6531" s="1290"/>
      <c r="R6531" s="644"/>
      <c r="S6531" s="48"/>
      <c r="T6531" s="1462"/>
      <c r="U6531" s="48"/>
      <c r="V6531" s="48"/>
    </row>
    <row r="6532" spans="7:22">
      <c r="G6532" s="48"/>
      <c r="H6532" s="48"/>
      <c r="I6532" s="1444"/>
      <c r="J6532" s="1081"/>
      <c r="K6532" s="1509"/>
      <c r="L6532" s="1081"/>
      <c r="M6532" s="1498"/>
      <c r="N6532" s="49"/>
      <c r="O6532" s="644"/>
      <c r="P6532" s="644"/>
      <c r="Q6532" s="1290"/>
      <c r="R6532" s="644"/>
      <c r="S6532" s="48"/>
      <c r="T6532" s="1462"/>
      <c r="U6532" s="48"/>
      <c r="V6532" s="48"/>
    </row>
    <row r="6533" spans="7:22">
      <c r="G6533" s="48"/>
      <c r="H6533" s="48"/>
      <c r="I6533" s="1432"/>
      <c r="J6533" s="49"/>
      <c r="K6533" s="1498"/>
      <c r="L6533" s="49"/>
      <c r="M6533" s="1498"/>
      <c r="N6533" s="49"/>
      <c r="O6533" s="644"/>
      <c r="P6533" s="644"/>
      <c r="Q6533" s="1290"/>
      <c r="R6533" s="644"/>
      <c r="S6533" s="48"/>
      <c r="T6533" s="1462"/>
      <c r="U6533" s="48"/>
      <c r="V6533" s="48"/>
    </row>
    <row r="6534" spans="7:22">
      <c r="G6534" s="48"/>
      <c r="H6534" s="48"/>
      <c r="I6534" s="1432"/>
      <c r="J6534" s="49"/>
      <c r="K6534" s="1498"/>
      <c r="L6534" s="49"/>
      <c r="M6534" s="1498"/>
      <c r="N6534" s="49"/>
      <c r="O6534" s="644"/>
      <c r="P6534" s="644"/>
      <c r="Q6534" s="1290"/>
      <c r="R6534" s="644"/>
      <c r="S6534" s="48"/>
      <c r="T6534" s="1462"/>
      <c r="U6534" s="48"/>
      <c r="V6534" s="48"/>
    </row>
    <row r="6535" spans="7:22">
      <c r="G6535" s="48"/>
      <c r="H6535" s="48"/>
      <c r="I6535" s="1432"/>
      <c r="J6535" s="49"/>
      <c r="K6535" s="1498"/>
      <c r="L6535" s="49"/>
      <c r="M6535" s="1498"/>
      <c r="N6535" s="49"/>
      <c r="O6535" s="644"/>
      <c r="P6535" s="644"/>
      <c r="Q6535" s="1290"/>
      <c r="R6535" s="644"/>
      <c r="S6535" s="48"/>
      <c r="T6535" s="1462"/>
      <c r="U6535" s="48"/>
      <c r="V6535" s="48"/>
    </row>
    <row r="6536" spans="7:22">
      <c r="G6536" s="48"/>
      <c r="H6536" s="48"/>
      <c r="I6536" s="48"/>
      <c r="J6536" s="49"/>
      <c r="K6536" s="1498"/>
      <c r="L6536" s="49"/>
      <c r="M6536" s="1498"/>
      <c r="N6536" s="49"/>
      <c r="O6536" s="644"/>
      <c r="P6536" s="644"/>
      <c r="Q6536" s="1290"/>
      <c r="R6536" s="644"/>
      <c r="S6536" s="48"/>
      <c r="T6536" s="1462"/>
      <c r="U6536" s="48"/>
      <c r="V6536" s="48"/>
    </row>
    <row r="6537" spans="7:22">
      <c r="G6537" s="48"/>
      <c r="H6537" s="48"/>
      <c r="I6537" s="48"/>
      <c r="J6537" s="49"/>
      <c r="K6537" s="1498"/>
      <c r="L6537" s="49"/>
      <c r="M6537" s="1498"/>
      <c r="N6537" s="49"/>
      <c r="O6537" s="644"/>
      <c r="P6537" s="644"/>
      <c r="Q6537" s="1290"/>
      <c r="R6537" s="644"/>
      <c r="S6537" s="48"/>
      <c r="T6537" s="1462"/>
      <c r="U6537" s="48"/>
      <c r="V6537" s="48"/>
    </row>
    <row r="6538" spans="7:22">
      <c r="G6538" s="48"/>
      <c r="H6538" s="48"/>
      <c r="I6538" s="48"/>
      <c r="J6538" s="49"/>
      <c r="K6538" s="1498"/>
      <c r="L6538" s="49"/>
      <c r="M6538" s="1498"/>
      <c r="N6538" s="49"/>
      <c r="O6538" s="644"/>
      <c r="P6538" s="644"/>
      <c r="Q6538" s="1290"/>
      <c r="R6538" s="644"/>
      <c r="S6538" s="48"/>
      <c r="T6538" s="1462"/>
      <c r="U6538" s="48"/>
      <c r="V6538" s="48"/>
    </row>
    <row r="6539" spans="7:22">
      <c r="G6539" s="48"/>
      <c r="H6539" s="48"/>
      <c r="I6539" s="48"/>
      <c r="J6539" s="49"/>
      <c r="K6539" s="1498"/>
      <c r="L6539" s="49"/>
      <c r="M6539" s="1498"/>
      <c r="N6539" s="49"/>
      <c r="O6539" s="644"/>
      <c r="P6539" s="644"/>
      <c r="Q6539" s="1290"/>
      <c r="R6539" s="644"/>
      <c r="S6539" s="48"/>
      <c r="T6539" s="1462"/>
      <c r="U6539" s="48"/>
      <c r="V6539" s="48"/>
    </row>
    <row r="6540" spans="7:22">
      <c r="G6540" s="48"/>
      <c r="H6540" s="48"/>
      <c r="I6540" s="48"/>
      <c r="J6540" s="954">
        <f>SUM(J6520:J6539)</f>
        <v>420800000</v>
      </c>
      <c r="K6540" s="954"/>
      <c r="L6540" s="954">
        <f>SUM(L6520:L6539)</f>
        <v>800000</v>
      </c>
      <c r="M6540" s="1498"/>
      <c r="N6540" s="954">
        <f>SUM(N6520:N6539)</f>
        <v>585250000</v>
      </c>
      <c r="O6540" s="644"/>
      <c r="P6540" s="969">
        <f>SUM(P6520:P6527)</f>
        <v>49600000</v>
      </c>
      <c r="Q6540" s="969"/>
      <c r="R6540" s="969">
        <f>SUM(R6520:R6539)</f>
        <v>0</v>
      </c>
      <c r="S6540" s="48"/>
      <c r="T6540" s="1178">
        <f>SUM(T6520:T6539)</f>
        <v>1400</v>
      </c>
      <c r="U6540" s="48"/>
      <c r="V6540" s="878">
        <f>SUM(V6520:V6539)</f>
        <v>0</v>
      </c>
    </row>
    <row r="6541" spans="7:22">
      <c r="T6541" s="1461"/>
    </row>
    <row r="6542" spans="7:22">
      <c r="T6542" s="1461"/>
    </row>
    <row r="6543" spans="7:22">
      <c r="R6543" s="661"/>
      <c r="T6543" s="1461"/>
    </row>
    <row r="6544" spans="7:22">
      <c r="T6544" s="1461"/>
    </row>
    <row r="6545" spans="7:22">
      <c r="K6545" s="3" t="s">
        <v>5310</v>
      </c>
      <c r="T6545" s="1461"/>
    </row>
    <row r="6546" spans="7:22">
      <c r="I6546" s="946"/>
      <c r="M6546" s="1533" t="s">
        <v>3699</v>
      </c>
      <c r="O6546" s="1535" t="s">
        <v>3741</v>
      </c>
      <c r="P6546" s="1512">
        <f>P6540-R6540</f>
        <v>49600000</v>
      </c>
      <c r="S6546" s="906" t="s">
        <v>4049</v>
      </c>
      <c r="T6546" s="1107">
        <f>T6540-V6540</f>
        <v>1400</v>
      </c>
    </row>
    <row r="6547" spans="7:22">
      <c r="G6547" s="1574" t="s">
        <v>3530</v>
      </c>
      <c r="H6547" s="1574"/>
      <c r="I6547" s="1574"/>
      <c r="J6547" s="3">
        <f>J6540+L6540</f>
        <v>421600000</v>
      </c>
      <c r="K6547" s="1009"/>
      <c r="L6547" s="3"/>
      <c r="M6547" s="1533" t="s">
        <v>3664</v>
      </c>
      <c r="N6547" s="1527"/>
      <c r="O6547" s="1535" t="s">
        <v>4066</v>
      </c>
      <c r="P6547" s="1512"/>
      <c r="T6547" s="1461"/>
    </row>
    <row r="6548" spans="7:22">
      <c r="G6548" s="1574" t="s">
        <v>3512</v>
      </c>
      <c r="H6548" s="1574"/>
      <c r="I6548" s="1574"/>
      <c r="J6548" s="3">
        <f>N6540-J6547</f>
        <v>163650000</v>
      </c>
      <c r="K6548" s="1009"/>
      <c r="L6548" s="3"/>
      <c r="M6548" s="1528"/>
      <c r="O6548" s="1529"/>
      <c r="Q6548" s="661"/>
      <c r="T6548" s="1461"/>
    </row>
    <row r="6549" spans="7:22">
      <c r="G6549" s="1574" t="s">
        <v>3531</v>
      </c>
      <c r="H6549" s="1574"/>
      <c r="I6549" s="1574"/>
      <c r="J6549" s="3">
        <f>+T6546</f>
        <v>1400</v>
      </c>
      <c r="Q6549" s="3"/>
      <c r="T6549" s="1461"/>
    </row>
    <row r="6550" spans="7:22">
      <c r="G6550" s="1564" t="s">
        <v>4455</v>
      </c>
      <c r="H6550" s="1564"/>
      <c r="I6550" s="1564"/>
      <c r="J6550" s="3">
        <f>+P6546</f>
        <v>49600000</v>
      </c>
      <c r="R6550" s="3"/>
      <c r="T6550" s="1461"/>
    </row>
    <row r="6551" spans="7:22">
      <c r="T6551" s="1461"/>
    </row>
    <row r="6553" spans="7:22">
      <c r="T6553" s="1461"/>
    </row>
    <row r="6554" spans="7:22">
      <c r="T6554" s="1461"/>
    </row>
    <row r="6555" spans="7:22">
      <c r="G6555" s="1008">
        <v>46149</v>
      </c>
      <c r="H6555" s="1169"/>
      <c r="I6555" s="1575" t="s">
        <v>3510</v>
      </c>
      <c r="J6555" s="1576"/>
      <c r="K6555" s="1575" t="s">
        <v>3509</v>
      </c>
      <c r="L6555" s="1576"/>
      <c r="M6555" s="1575" t="s">
        <v>3541</v>
      </c>
      <c r="N6555" s="1576"/>
      <c r="O6555" s="1577" t="s">
        <v>3598</v>
      </c>
      <c r="P6555" s="1578"/>
      <c r="Q6555" s="1579" t="s">
        <v>3599</v>
      </c>
      <c r="R6555" s="1580"/>
      <c r="S6555" s="1581" t="s">
        <v>3953</v>
      </c>
      <c r="T6555" s="1582"/>
      <c r="U6555" s="1581" t="s">
        <v>3954</v>
      </c>
      <c r="V6555" s="1582"/>
    </row>
    <row r="6556" spans="7:22">
      <c r="G6556" s="1097"/>
      <c r="H6556" s="1261"/>
      <c r="I6556" s="1467" t="s">
        <v>5567</v>
      </c>
      <c r="J6556" s="1081">
        <v>18400000</v>
      </c>
      <c r="K6556" s="1493" t="s">
        <v>5586</v>
      </c>
      <c r="L6556" s="1081">
        <v>2500000</v>
      </c>
      <c r="M6556" s="1495" t="s">
        <v>4613</v>
      </c>
      <c r="N6556" s="1495">
        <v>463500000</v>
      </c>
      <c r="O6556" s="1383"/>
      <c r="P6556" s="644"/>
      <c r="Q6556" s="1279"/>
      <c r="R6556" s="644"/>
      <c r="S6556" s="1223"/>
      <c r="T6556" s="1191">
        <v>1400</v>
      </c>
      <c r="U6556" s="1232"/>
      <c r="V6556" s="48"/>
    </row>
    <row r="6557" spans="7:22">
      <c r="G6557" s="1098"/>
      <c r="H6557" s="1172"/>
      <c r="I6557" s="1467" t="s">
        <v>5569</v>
      </c>
      <c r="J6557" s="1081">
        <v>25000000</v>
      </c>
      <c r="K6557" s="1493" t="s">
        <v>4541</v>
      </c>
      <c r="L6557" s="1081">
        <v>350000</v>
      </c>
      <c r="M6557" s="1493" t="s">
        <v>5568</v>
      </c>
      <c r="N6557" s="1081">
        <v>456000000</v>
      </c>
      <c r="O6557" s="1383" t="s">
        <v>5262</v>
      </c>
      <c r="P6557" s="644">
        <v>51900000</v>
      </c>
      <c r="Q6557" s="1410"/>
      <c r="R6557" s="1290"/>
      <c r="S6557" s="1389"/>
      <c r="T6557" s="1191"/>
      <c r="U6557" s="48"/>
      <c r="V6557" s="49"/>
    </row>
    <row r="6558" spans="7:22">
      <c r="G6558" s="48"/>
      <c r="H6558" s="48"/>
      <c r="I6558" s="1467"/>
      <c r="J6558" s="1081"/>
      <c r="K6558" s="1493" t="s">
        <v>5593</v>
      </c>
      <c r="L6558" s="1081">
        <v>500000</v>
      </c>
      <c r="M6558" s="1493" t="s">
        <v>5101</v>
      </c>
      <c r="N6558" s="49">
        <v>700000000</v>
      </c>
      <c r="O6558" s="1495"/>
      <c r="P6558" s="644"/>
      <c r="Q6558" s="1412"/>
      <c r="R6558" s="644"/>
      <c r="S6558" s="1459"/>
      <c r="T6558" s="1191"/>
      <c r="U6558" s="1449"/>
      <c r="V6558" s="1191"/>
    </row>
    <row r="6559" spans="7:22">
      <c r="G6559" s="48"/>
      <c r="H6559" s="48"/>
      <c r="I6559" s="1467" t="s">
        <v>5571</v>
      </c>
      <c r="J6559" s="1081">
        <v>30360000</v>
      </c>
      <c r="K6559" s="1493" t="s">
        <v>5596</v>
      </c>
      <c r="L6559" s="1081">
        <v>800000</v>
      </c>
      <c r="M6559" s="1495" t="s">
        <v>5570</v>
      </c>
      <c r="N6559" s="49">
        <v>5000000</v>
      </c>
      <c r="O6559" s="1383"/>
      <c r="P6559" s="644"/>
      <c r="Q6559" s="1422"/>
      <c r="R6559" s="644"/>
      <c r="S6559" s="1459"/>
      <c r="T6559" s="1462"/>
      <c r="U6559" s="1424"/>
      <c r="V6559" s="1462"/>
    </row>
    <row r="6560" spans="7:22">
      <c r="G6560" s="48"/>
      <c r="H6560" s="48"/>
      <c r="I6560" s="1467" t="s">
        <v>5573</v>
      </c>
      <c r="J6560" s="1081">
        <v>45000000</v>
      </c>
      <c r="K6560" s="1493" t="s">
        <v>5598</v>
      </c>
      <c r="L6560" s="1081">
        <v>2000000</v>
      </c>
      <c r="M6560" s="1495"/>
      <c r="N6560" s="49"/>
      <c r="O6560" s="1383"/>
      <c r="P6560" s="644"/>
      <c r="Q6560" s="1422"/>
      <c r="R6560" s="644"/>
      <c r="S6560" s="1449"/>
      <c r="T6560" s="1462"/>
      <c r="U6560" s="1408"/>
      <c r="V6560" s="49"/>
    </row>
    <row r="6561" spans="7:22">
      <c r="G6561" s="48"/>
      <c r="H6561" s="48"/>
      <c r="I6561" s="1467" t="s">
        <v>5574</v>
      </c>
      <c r="J6561" s="1081">
        <v>45000000</v>
      </c>
      <c r="K6561" s="1493" t="s">
        <v>5599</v>
      </c>
      <c r="L6561" s="1081">
        <v>2140000</v>
      </c>
      <c r="M6561" s="1495" t="s">
        <v>5584</v>
      </c>
      <c r="N6561" s="49">
        <v>2000000</v>
      </c>
      <c r="O6561" s="1383"/>
      <c r="P6561" s="644"/>
      <c r="Q6561" s="1382"/>
      <c r="R6561" s="644"/>
      <c r="S6561" s="1449"/>
      <c r="T6561" s="1462"/>
      <c r="U6561" s="1416"/>
      <c r="V6561" s="49"/>
    </row>
    <row r="6562" spans="7:22">
      <c r="G6562" s="48"/>
      <c r="H6562" s="48"/>
      <c r="I6562" s="1467" t="s">
        <v>5575</v>
      </c>
      <c r="J6562" s="1081">
        <v>27000000</v>
      </c>
      <c r="K6562" s="1493" t="s">
        <v>5601</v>
      </c>
      <c r="L6562" s="1081">
        <v>10000000</v>
      </c>
      <c r="M6562" s="1493" t="s">
        <v>5585</v>
      </c>
      <c r="N6562" s="49">
        <v>3000000</v>
      </c>
      <c r="O6562" s="1383"/>
      <c r="P6562" s="644"/>
      <c r="Q6562" s="1383"/>
      <c r="R6562" s="644"/>
      <c r="S6562" s="1451"/>
      <c r="T6562" s="1462"/>
      <c r="U6562" s="1438"/>
      <c r="V6562" s="49"/>
    </row>
    <row r="6563" spans="7:22">
      <c r="G6563" s="48"/>
      <c r="H6563" s="48"/>
      <c r="I6563" s="1467" t="s">
        <v>5576</v>
      </c>
      <c r="J6563" s="1081">
        <v>26100000</v>
      </c>
      <c r="K6563" s="1493"/>
      <c r="L6563" s="1081"/>
      <c r="M6563" s="1495" t="s">
        <v>5513</v>
      </c>
      <c r="N6563" s="49">
        <v>6500000</v>
      </c>
      <c r="O6563" s="1383"/>
      <c r="P6563" s="644"/>
      <c r="Q6563" s="1385"/>
      <c r="R6563" s="644"/>
      <c r="S6563" s="48"/>
      <c r="T6563" s="1462"/>
      <c r="U6563" s="1416"/>
      <c r="V6563" s="49"/>
    </row>
    <row r="6564" spans="7:22">
      <c r="G6564" s="48"/>
      <c r="H6564" s="48"/>
      <c r="I6564" s="1467" t="s">
        <v>5577</v>
      </c>
      <c r="J6564" s="1081">
        <v>45500000</v>
      </c>
      <c r="K6564" s="1493"/>
      <c r="L6564" s="1081"/>
      <c r="M6564" s="1495"/>
      <c r="N6564" s="49"/>
      <c r="O6564" s="644"/>
      <c r="P6564" s="644"/>
      <c r="Q6564" s="1383"/>
      <c r="R6564" s="644"/>
      <c r="S6564" s="48"/>
      <c r="T6564" s="1462"/>
      <c r="U6564" s="1408"/>
      <c r="V6564" s="49"/>
    </row>
    <row r="6565" spans="7:22">
      <c r="G6565" s="48"/>
      <c r="H6565" s="48"/>
      <c r="I6565" s="1468"/>
      <c r="J6565" s="1081"/>
      <c r="K6565" s="1509"/>
      <c r="L6565" s="1081"/>
      <c r="M6565" s="1498"/>
      <c r="N6565" s="49"/>
      <c r="O6565" s="644"/>
      <c r="P6565" s="644"/>
      <c r="Q6565" s="1290"/>
      <c r="R6565" s="644"/>
      <c r="S6565" s="48"/>
      <c r="T6565" s="1462"/>
      <c r="U6565" s="1408"/>
      <c r="V6565" s="49"/>
    </row>
    <row r="6566" spans="7:22">
      <c r="G6566" s="48"/>
      <c r="H6566" s="48"/>
      <c r="I6566" s="1468" t="s">
        <v>5578</v>
      </c>
      <c r="J6566" s="1081">
        <v>36400000</v>
      </c>
      <c r="K6566" s="1493"/>
      <c r="L6566" s="1081"/>
      <c r="M6566" s="1498"/>
      <c r="N6566" s="49"/>
      <c r="O6566" s="644"/>
      <c r="P6566" s="644"/>
      <c r="Q6566" s="1383"/>
      <c r="R6566" s="644"/>
      <c r="S6566" s="48"/>
      <c r="T6566" s="1462"/>
      <c r="U6566" s="48"/>
      <c r="V6566" s="48"/>
    </row>
    <row r="6567" spans="7:22">
      <c r="G6567" s="48"/>
      <c r="H6567" s="48"/>
      <c r="I6567" s="1468" t="s">
        <v>5579</v>
      </c>
      <c r="J6567" s="1081">
        <f>20000000*0.91</f>
        <v>18200000</v>
      </c>
      <c r="K6567" s="1509"/>
      <c r="L6567" s="1081"/>
      <c r="M6567" s="1498"/>
      <c r="N6567" s="49"/>
      <c r="O6567" s="644"/>
      <c r="P6567" s="644"/>
      <c r="Q6567" s="1290"/>
      <c r="R6567" s="644"/>
      <c r="S6567" s="48"/>
      <c r="T6567" s="1462"/>
      <c r="U6567" s="48"/>
      <c r="V6567" s="48"/>
    </row>
    <row r="6568" spans="7:22">
      <c r="G6568" s="48"/>
      <c r="H6568" s="48"/>
      <c r="I6568" s="1468" t="s">
        <v>5580</v>
      </c>
      <c r="J6568" s="1081">
        <v>9100000</v>
      </c>
      <c r="K6568" s="1509"/>
      <c r="L6568" s="1081"/>
      <c r="M6568" s="1498"/>
      <c r="N6568" s="49"/>
      <c r="O6568" s="644"/>
      <c r="P6568" s="644"/>
      <c r="Q6568" s="1290"/>
      <c r="R6568" s="644"/>
      <c r="S6568" s="48"/>
      <c r="T6568" s="1462"/>
      <c r="U6568" s="48"/>
      <c r="V6568" s="48"/>
    </row>
    <row r="6569" spans="7:22">
      <c r="G6569" s="48"/>
      <c r="H6569" s="48"/>
      <c r="I6569" s="1469" t="s">
        <v>5581</v>
      </c>
      <c r="J6569" s="49">
        <f>23000000*0.91</f>
        <v>20930000</v>
      </c>
      <c r="K6569" s="1498"/>
      <c r="L6569" s="49"/>
      <c r="M6569" s="1498"/>
      <c r="N6569" s="49"/>
      <c r="O6569" s="644"/>
      <c r="P6569" s="644"/>
      <c r="Q6569" s="1290"/>
      <c r="R6569" s="644"/>
      <c r="S6569" s="48"/>
      <c r="T6569" s="1462"/>
      <c r="U6569" s="48"/>
      <c r="V6569" s="48"/>
    </row>
    <row r="6570" spans="7:22">
      <c r="G6570" s="48"/>
      <c r="H6570" s="48"/>
      <c r="I6570" s="1469" t="s">
        <v>5583</v>
      </c>
      <c r="J6570" s="49">
        <v>20930000</v>
      </c>
      <c r="K6570" s="1498"/>
      <c r="L6570" s="49"/>
      <c r="M6570" s="1498"/>
      <c r="N6570" s="49"/>
      <c r="O6570" s="644"/>
      <c r="P6570" s="644"/>
      <c r="Q6570" s="1290"/>
      <c r="R6570" s="644"/>
      <c r="S6570" s="48"/>
      <c r="T6570" s="1462"/>
      <c r="U6570" s="48"/>
      <c r="V6570" s="48"/>
    </row>
    <row r="6571" spans="7:22">
      <c r="G6571" s="48"/>
      <c r="H6571" s="48"/>
      <c r="I6571" s="1469" t="s">
        <v>5582</v>
      </c>
      <c r="J6571" s="49">
        <f>40000000*0.91</f>
        <v>36400000</v>
      </c>
      <c r="K6571" s="1498"/>
      <c r="L6571" s="49"/>
      <c r="M6571" s="1498"/>
      <c r="N6571" s="49"/>
      <c r="O6571" s="644"/>
      <c r="P6571" s="644"/>
      <c r="Q6571" s="1290"/>
      <c r="R6571" s="644"/>
      <c r="S6571" s="48"/>
      <c r="T6571" s="1462"/>
      <c r="U6571" s="48"/>
      <c r="V6571" s="48"/>
    </row>
    <row r="6572" spans="7:22">
      <c r="G6572" s="48"/>
      <c r="H6572" s="48"/>
      <c r="I6572" s="1469" t="s">
        <v>5590</v>
      </c>
      <c r="J6572" s="49">
        <v>46500000</v>
      </c>
      <c r="K6572" s="1498"/>
      <c r="L6572" s="49"/>
      <c r="M6572" s="1498"/>
      <c r="N6572" s="49"/>
      <c r="O6572" s="644"/>
      <c r="P6572" s="644"/>
      <c r="Q6572" s="1290"/>
      <c r="R6572" s="644"/>
      <c r="S6572" s="48"/>
      <c r="T6572" s="1462"/>
      <c r="U6572" s="48"/>
      <c r="V6572" s="48"/>
    </row>
    <row r="6573" spans="7:22">
      <c r="G6573" s="48"/>
      <c r="H6573" s="48"/>
      <c r="I6573" s="48" t="s">
        <v>5587</v>
      </c>
      <c r="J6573" s="49">
        <f>33000000*0.93</f>
        <v>30690000</v>
      </c>
      <c r="K6573" s="1498"/>
      <c r="L6573" s="49"/>
      <c r="M6573" s="1498"/>
      <c r="N6573" s="49"/>
      <c r="O6573" s="644"/>
      <c r="P6573" s="644"/>
      <c r="Q6573" s="1290"/>
      <c r="R6573" s="644"/>
      <c r="S6573" s="48"/>
      <c r="T6573" s="1462"/>
      <c r="U6573" s="48"/>
      <c r="V6573" s="48"/>
    </row>
    <row r="6574" spans="7:22">
      <c r="G6574" s="48"/>
      <c r="H6574" s="48"/>
      <c r="I6574" s="48" t="s">
        <v>5588</v>
      </c>
      <c r="J6574" s="49">
        <f>40000000*0.93</f>
        <v>37200000</v>
      </c>
      <c r="K6574" s="1498"/>
      <c r="L6574" s="49"/>
      <c r="M6574" s="1498"/>
      <c r="N6574" s="49"/>
      <c r="O6574" s="644"/>
      <c r="P6574" s="644"/>
      <c r="Q6574" s="1290"/>
      <c r="R6574" s="644"/>
      <c r="S6574" s="48"/>
      <c r="T6574" s="1462"/>
      <c r="U6574" s="48"/>
      <c r="V6574" s="48"/>
    </row>
    <row r="6575" spans="7:22">
      <c r="G6575" s="48"/>
      <c r="H6575" s="48"/>
      <c r="I6575" s="48" t="s">
        <v>5589</v>
      </c>
      <c r="J6575" s="49">
        <f>20000000*0.93</f>
        <v>18600000</v>
      </c>
      <c r="K6575" s="1498"/>
      <c r="L6575" s="49"/>
      <c r="M6575" s="1498"/>
      <c r="N6575" s="49"/>
      <c r="O6575" s="644"/>
      <c r="P6575" s="644"/>
      <c r="Q6575" s="1290"/>
      <c r="R6575" s="644"/>
      <c r="S6575" s="48"/>
      <c r="T6575" s="1462"/>
      <c r="U6575" s="48"/>
      <c r="V6575" s="48"/>
    </row>
    <row r="6576" spans="7:22">
      <c r="G6576" s="48"/>
      <c r="H6576" s="48"/>
      <c r="I6576" s="48" t="s">
        <v>5591</v>
      </c>
      <c r="J6576" s="49">
        <f>50000000*0.93</f>
        <v>46500000</v>
      </c>
      <c r="K6576" s="1498"/>
      <c r="L6576" s="49"/>
      <c r="M6576" s="1498"/>
      <c r="N6576" s="49"/>
      <c r="O6576" s="644"/>
      <c r="P6576" s="644"/>
      <c r="Q6576" s="1290"/>
      <c r="R6576" s="644"/>
      <c r="S6576" s="48"/>
      <c r="T6576" s="1462"/>
      <c r="U6576" s="48"/>
      <c r="V6576" s="48"/>
    </row>
    <row r="6577" spans="7:22">
      <c r="G6577" s="48"/>
      <c r="H6577" s="48"/>
      <c r="I6577" s="48" t="s">
        <v>5592</v>
      </c>
      <c r="J6577" s="49">
        <v>46500000</v>
      </c>
      <c r="K6577" s="1498"/>
      <c r="L6577" s="49"/>
      <c r="M6577" s="1498"/>
      <c r="N6577" s="49"/>
      <c r="O6577" s="644"/>
      <c r="P6577" s="644"/>
      <c r="Q6577" s="1290"/>
      <c r="R6577" s="644"/>
      <c r="S6577" s="48"/>
      <c r="T6577" s="1462"/>
      <c r="U6577" s="48"/>
      <c r="V6577" s="48"/>
    </row>
    <row r="6578" spans="7:22">
      <c r="G6578" s="48"/>
      <c r="H6578" s="48"/>
      <c r="I6578" s="48" t="s">
        <v>5594</v>
      </c>
      <c r="J6578" s="49">
        <v>46000000</v>
      </c>
      <c r="K6578" s="1498"/>
      <c r="L6578" s="49"/>
      <c r="M6578" s="1498"/>
      <c r="N6578" s="49"/>
      <c r="O6578" s="644"/>
      <c r="P6578" s="644"/>
      <c r="Q6578" s="1290"/>
      <c r="R6578" s="644"/>
      <c r="S6578" s="48"/>
      <c r="T6578" s="1462"/>
      <c r="U6578" s="48"/>
      <c r="V6578" s="48"/>
    </row>
    <row r="6579" spans="7:22">
      <c r="G6579" s="48"/>
      <c r="H6579" s="48"/>
      <c r="I6579" s="48" t="s">
        <v>5595</v>
      </c>
      <c r="J6579" s="49">
        <f>35000000*0.92</f>
        <v>32200000</v>
      </c>
      <c r="K6579" s="1498"/>
      <c r="L6579" s="49"/>
      <c r="M6579" s="1498"/>
      <c r="N6579" s="49"/>
      <c r="O6579" s="644"/>
      <c r="P6579" s="644"/>
      <c r="Q6579" s="1290"/>
      <c r="R6579" s="644"/>
      <c r="S6579" s="48"/>
      <c r="T6579" s="1462"/>
      <c r="U6579" s="48"/>
      <c r="V6579" s="48"/>
    </row>
    <row r="6580" spans="7:22">
      <c r="G6580" s="48"/>
      <c r="H6580" s="48"/>
      <c r="I6580" s="48" t="s">
        <v>5569</v>
      </c>
      <c r="J6580" s="49">
        <f>48000000*0.92-25000000</f>
        <v>19160000</v>
      </c>
      <c r="K6580" s="1498"/>
      <c r="L6580" s="49"/>
      <c r="M6580" s="1498"/>
      <c r="N6580" s="49"/>
      <c r="O6580" s="644"/>
      <c r="P6580" s="644"/>
      <c r="Q6580" s="1290"/>
      <c r="R6580" s="644"/>
      <c r="S6580" s="48"/>
      <c r="T6580" s="1462"/>
      <c r="U6580" s="48"/>
      <c r="V6580" s="48"/>
    </row>
    <row r="6581" spans="7:22">
      <c r="G6581" s="48"/>
      <c r="H6581" s="48"/>
      <c r="I6581" s="48" t="s">
        <v>5597</v>
      </c>
      <c r="J6581" s="49">
        <v>46000000</v>
      </c>
      <c r="K6581" s="1498"/>
      <c r="L6581" s="49"/>
      <c r="M6581" s="1498"/>
      <c r="N6581" s="49"/>
      <c r="O6581" s="644"/>
      <c r="P6581" s="644"/>
      <c r="Q6581" s="1290"/>
      <c r="R6581" s="644"/>
      <c r="S6581" s="48"/>
      <c r="T6581" s="1462"/>
      <c r="U6581" s="48"/>
      <c r="V6581" s="48"/>
    </row>
    <row r="6582" spans="7:22">
      <c r="G6582" s="48"/>
      <c r="H6582" s="48"/>
      <c r="I6582" s="48" t="s">
        <v>5600</v>
      </c>
      <c r="J6582" s="49">
        <v>23000000</v>
      </c>
      <c r="K6582" s="1498"/>
      <c r="L6582" s="49"/>
      <c r="M6582" s="1498"/>
      <c r="N6582" s="49"/>
      <c r="O6582" s="644"/>
      <c r="P6582" s="644"/>
      <c r="Q6582" s="1290"/>
      <c r="R6582" s="644"/>
      <c r="S6582" s="48"/>
      <c r="T6582" s="1462"/>
      <c r="U6582" s="48"/>
      <c r="V6582" s="48"/>
    </row>
    <row r="6583" spans="7:22">
      <c r="G6583" s="48"/>
      <c r="H6583" s="48"/>
      <c r="I6583" s="48" t="s">
        <v>5602</v>
      </c>
      <c r="J6583" s="49">
        <v>37200000</v>
      </c>
      <c r="K6583" s="1498"/>
      <c r="L6583" s="49"/>
      <c r="M6583" s="1498"/>
      <c r="N6583" s="49"/>
      <c r="O6583" s="644"/>
      <c r="P6583" s="644"/>
      <c r="Q6583" s="1290"/>
      <c r="R6583" s="644"/>
      <c r="S6583" s="48"/>
      <c r="T6583" s="1462"/>
      <c r="U6583" s="48"/>
      <c r="V6583" s="48"/>
    </row>
    <row r="6584" spans="7:22">
      <c r="G6584" s="48"/>
      <c r="H6584" s="48"/>
      <c r="I6584" s="48" t="s">
        <v>5603</v>
      </c>
      <c r="J6584" s="49">
        <v>37200000</v>
      </c>
      <c r="K6584" s="1498"/>
      <c r="L6584" s="49"/>
      <c r="M6584" s="1498"/>
      <c r="N6584" s="49"/>
      <c r="O6584" s="644"/>
      <c r="P6584" s="644"/>
      <c r="Q6584" s="1290"/>
      <c r="R6584" s="644"/>
      <c r="S6584" s="48"/>
      <c r="T6584" s="1462"/>
      <c r="U6584" s="48"/>
      <c r="V6584" s="48"/>
    </row>
    <row r="6585" spans="7:22">
      <c r="G6585" s="48"/>
      <c r="H6585" s="48"/>
      <c r="I6585" s="48"/>
      <c r="J6585" s="49"/>
      <c r="K6585" s="1498"/>
      <c r="L6585" s="49"/>
      <c r="M6585" s="1498"/>
      <c r="N6585" s="49"/>
      <c r="O6585" s="644"/>
      <c r="P6585" s="644"/>
      <c r="Q6585" s="1290"/>
      <c r="R6585" s="644"/>
      <c r="S6585" s="48"/>
      <c r="T6585" s="1462"/>
      <c r="U6585" s="48"/>
      <c r="V6585" s="48"/>
    </row>
    <row r="6586" spans="7:22">
      <c r="G6586" s="48"/>
      <c r="H6586" s="48"/>
      <c r="I6586" s="48"/>
      <c r="J6586" s="49"/>
      <c r="K6586" s="1498"/>
      <c r="L6586" s="49"/>
      <c r="M6586" s="1498"/>
      <c r="N6586" s="49"/>
      <c r="O6586" s="644"/>
      <c r="P6586" s="644"/>
      <c r="Q6586" s="1290"/>
      <c r="R6586" s="644"/>
      <c r="S6586" s="48"/>
      <c r="T6586" s="1462"/>
      <c r="U6586" s="48"/>
      <c r="V6586" s="48"/>
    </row>
    <row r="6587" spans="7:22">
      <c r="G6587" s="48"/>
      <c r="H6587" s="48"/>
      <c r="I6587" s="48"/>
      <c r="J6587" s="49"/>
      <c r="K6587" s="1498"/>
      <c r="L6587" s="49"/>
      <c r="M6587" s="1498"/>
      <c r="N6587" s="49"/>
      <c r="O6587" s="644"/>
      <c r="P6587" s="644"/>
      <c r="Q6587" s="1290"/>
      <c r="R6587" s="644"/>
      <c r="S6587" s="48"/>
      <c r="T6587" s="1462"/>
      <c r="U6587" s="48"/>
      <c r="V6587" s="48"/>
    </row>
    <row r="6588" spans="7:22">
      <c r="G6588" s="48"/>
      <c r="H6588" s="48"/>
      <c r="I6588" s="48"/>
      <c r="J6588" s="954">
        <f>SUM(J6556:J6587)</f>
        <v>871070000</v>
      </c>
      <c r="K6588" s="954"/>
      <c r="L6588" s="954">
        <f>SUM(L6556:L6587)</f>
        <v>18290000</v>
      </c>
      <c r="M6588" s="1498"/>
      <c r="N6588" s="954">
        <f>SUM(N6556:N6587)</f>
        <v>1636000000</v>
      </c>
      <c r="O6588" s="644"/>
      <c r="P6588" s="969">
        <f>SUM(P6556:P6563)</f>
        <v>51900000</v>
      </c>
      <c r="Q6588" s="969"/>
      <c r="R6588" s="969">
        <f>SUM(R6556:R6587)</f>
        <v>0</v>
      </c>
      <c r="S6588" s="48"/>
      <c r="T6588" s="1178">
        <f>SUM(T6556:T6587)</f>
        <v>1400</v>
      </c>
      <c r="U6588" s="48"/>
      <c r="V6588" s="878">
        <f>SUM(V6556:V6587)</f>
        <v>0</v>
      </c>
    </row>
    <row r="6589" spans="7:22">
      <c r="T6589" s="1461"/>
    </row>
    <row r="6590" spans="7:22">
      <c r="T6590" s="1461"/>
    </row>
    <row r="6591" spans="7:22">
      <c r="R6591" s="661"/>
      <c r="T6591" s="1461"/>
    </row>
    <row r="6592" spans="7:22">
      <c r="T6592" s="1461"/>
    </row>
    <row r="6593" spans="7:22">
      <c r="K6593" s="3" t="s">
        <v>5310</v>
      </c>
      <c r="T6593" s="1461"/>
    </row>
    <row r="6594" spans="7:22">
      <c r="I6594" s="946"/>
      <c r="M6594" s="1533" t="s">
        <v>3699</v>
      </c>
      <c r="O6594" s="1535" t="s">
        <v>3741</v>
      </c>
      <c r="P6594" s="1512">
        <f>P6588-R6588</f>
        <v>51900000</v>
      </c>
      <c r="S6594" s="906" t="s">
        <v>4049</v>
      </c>
      <c r="T6594" s="1107">
        <f>T6588-V6588</f>
        <v>1400</v>
      </c>
    </row>
    <row r="6595" spans="7:22">
      <c r="G6595" s="1574" t="s">
        <v>3530</v>
      </c>
      <c r="H6595" s="1574"/>
      <c r="I6595" s="1574"/>
      <c r="J6595" s="3">
        <f>J6588+L6588</f>
        <v>889360000</v>
      </c>
      <c r="K6595" s="1009"/>
      <c r="L6595" s="3"/>
      <c r="M6595" s="1533" t="s">
        <v>3664</v>
      </c>
      <c r="N6595" s="1527"/>
      <c r="O6595" s="1535" t="s">
        <v>4066</v>
      </c>
      <c r="P6595" s="1512"/>
      <c r="T6595" s="1461"/>
    </row>
    <row r="6596" spans="7:22">
      <c r="G6596" s="1574" t="s">
        <v>3512</v>
      </c>
      <c r="H6596" s="1574"/>
      <c r="I6596" s="1574"/>
      <c r="J6596" s="3">
        <f>N6588-J6595</f>
        <v>746640000</v>
      </c>
      <c r="K6596" s="1009"/>
      <c r="L6596" s="3"/>
      <c r="M6596" s="1528"/>
      <c r="O6596" s="1529"/>
      <c r="Q6596" s="661"/>
      <c r="T6596" s="1461"/>
    </row>
    <row r="6597" spans="7:22">
      <c r="G6597" s="1574" t="s">
        <v>3531</v>
      </c>
      <c r="H6597" s="1574"/>
      <c r="I6597" s="1574"/>
      <c r="J6597" s="3">
        <f>+T6594</f>
        <v>1400</v>
      </c>
      <c r="Q6597" s="3"/>
      <c r="T6597" s="1461"/>
    </row>
    <row r="6598" spans="7:22">
      <c r="G6598" s="1564" t="s">
        <v>4455</v>
      </c>
      <c r="H6598" s="1564"/>
      <c r="I6598" s="1564"/>
      <c r="J6598" s="3">
        <f>+P6594</f>
        <v>51900000</v>
      </c>
      <c r="R6598" s="3"/>
      <c r="T6598" s="1461"/>
    </row>
    <row r="6599" spans="7:22">
      <c r="T6599" s="1461"/>
    </row>
    <row r="6603" spans="7:22">
      <c r="T6603" s="1461"/>
    </row>
    <row r="6604" spans="7:22">
      <c r="T6604" s="1461"/>
    </row>
    <row r="6605" spans="7:22">
      <c r="G6605" s="1008">
        <v>46150</v>
      </c>
      <c r="H6605" s="1169"/>
      <c r="I6605" s="1575" t="s">
        <v>3510</v>
      </c>
      <c r="J6605" s="1576"/>
      <c r="K6605" s="1575" t="s">
        <v>3509</v>
      </c>
      <c r="L6605" s="1576"/>
      <c r="M6605" s="1575" t="s">
        <v>3541</v>
      </c>
      <c r="N6605" s="1576"/>
      <c r="O6605" s="1577" t="s">
        <v>3598</v>
      </c>
      <c r="P6605" s="1578"/>
      <c r="Q6605" s="1579" t="s">
        <v>3599</v>
      </c>
      <c r="R6605" s="1580"/>
      <c r="S6605" s="1581" t="s">
        <v>3953</v>
      </c>
      <c r="T6605" s="1582"/>
      <c r="U6605" s="1581" t="s">
        <v>3954</v>
      </c>
      <c r="V6605" s="1582"/>
    </row>
    <row r="6606" spans="7:22">
      <c r="G6606" s="1097"/>
      <c r="H6606" s="1261"/>
      <c r="I6606" s="1472" t="s">
        <v>5605</v>
      </c>
      <c r="J6606" s="1081">
        <v>27000000</v>
      </c>
      <c r="K6606" s="1493" t="s">
        <v>5604</v>
      </c>
      <c r="L6606" s="1081">
        <v>680500000</v>
      </c>
      <c r="M6606" s="1495" t="s">
        <v>4613</v>
      </c>
      <c r="N6606" s="1495">
        <v>746700000</v>
      </c>
      <c r="O6606" s="1383"/>
      <c r="P6606" s="644"/>
      <c r="Q6606" s="1279"/>
      <c r="R6606" s="644"/>
      <c r="S6606" s="1223"/>
      <c r="T6606" s="1191">
        <v>1400</v>
      </c>
      <c r="U6606" s="1232"/>
      <c r="V6606" s="48"/>
    </row>
    <row r="6607" spans="7:22">
      <c r="G6607" s="1098"/>
      <c r="H6607" s="1172"/>
      <c r="I6607" s="1472" t="s">
        <v>5606</v>
      </c>
      <c r="J6607" s="1081">
        <v>45000000</v>
      </c>
      <c r="K6607" s="1493" t="s">
        <v>4555</v>
      </c>
      <c r="L6607" s="1081">
        <v>5000000</v>
      </c>
      <c r="M6607" s="1493" t="s">
        <v>5608</v>
      </c>
      <c r="N6607" s="1081">
        <v>50000000</v>
      </c>
      <c r="O6607" s="1383" t="s">
        <v>5262</v>
      </c>
      <c r="P6607" s="644">
        <v>45000000</v>
      </c>
      <c r="Q6607" s="1410"/>
      <c r="R6607" s="1290"/>
      <c r="S6607" s="1473" t="s">
        <v>5609</v>
      </c>
      <c r="T6607" s="1191">
        <v>500</v>
      </c>
      <c r="U6607" s="48"/>
      <c r="V6607" s="49"/>
    </row>
    <row r="6608" spans="7:22">
      <c r="G6608" s="48"/>
      <c r="H6608" s="48"/>
      <c r="I6608" s="1472" t="s">
        <v>5607</v>
      </c>
      <c r="J6608" s="1081">
        <v>37200000</v>
      </c>
      <c r="K6608" s="1493" t="s">
        <v>4876</v>
      </c>
      <c r="L6608" s="1081">
        <v>230000</v>
      </c>
      <c r="M6608" s="1493" t="s">
        <v>5611</v>
      </c>
      <c r="N6608" s="49">
        <v>970500000</v>
      </c>
      <c r="O6608" s="1495"/>
      <c r="P6608" s="644"/>
      <c r="Q6608" s="1412"/>
      <c r="R6608" s="644"/>
      <c r="S6608" s="1476" t="s">
        <v>4440</v>
      </c>
      <c r="T6608" s="1191">
        <v>1500</v>
      </c>
      <c r="U6608" s="1449"/>
      <c r="V6608" s="1191"/>
    </row>
    <row r="6609" spans="7:22">
      <c r="G6609" s="48"/>
      <c r="H6609" s="48"/>
      <c r="I6609" s="1467"/>
      <c r="J6609" s="1081"/>
      <c r="K6609" s="1493"/>
      <c r="L6609" s="1081"/>
      <c r="M6609" s="1495" t="s">
        <v>5277</v>
      </c>
      <c r="N6609" s="49">
        <v>500000</v>
      </c>
      <c r="O6609" s="1383"/>
      <c r="P6609" s="644"/>
      <c r="Q6609" s="1422"/>
      <c r="R6609" s="644"/>
      <c r="S6609" s="1459"/>
      <c r="T6609" s="1462"/>
      <c r="U6609" s="1475" t="s">
        <v>4788</v>
      </c>
      <c r="V6609" s="1462">
        <v>1900</v>
      </c>
    </row>
    <row r="6610" spans="7:22">
      <c r="G6610" s="48"/>
      <c r="H6610" s="48"/>
      <c r="I6610" s="1472" t="s">
        <v>5612</v>
      </c>
      <c r="J6610" s="1081">
        <v>36800000</v>
      </c>
      <c r="K6610" s="1493" t="s">
        <v>4965</v>
      </c>
      <c r="L6610" s="1081">
        <v>21000000</v>
      </c>
      <c r="M6610" s="1495" t="s">
        <v>4440</v>
      </c>
      <c r="N6610" s="49">
        <v>2000000</v>
      </c>
      <c r="O6610" s="1383"/>
      <c r="P6610" s="644"/>
      <c r="Q6610" s="1422"/>
      <c r="R6610" s="644"/>
      <c r="S6610" s="1449"/>
      <c r="T6610" s="1462"/>
      <c r="U6610" s="1408"/>
      <c r="V6610" s="49"/>
    </row>
    <row r="6611" spans="7:22">
      <c r="G6611" s="48"/>
      <c r="H6611" s="48"/>
      <c r="I6611" s="1472" t="s">
        <v>5613</v>
      </c>
      <c r="J6611" s="1081">
        <v>27600000</v>
      </c>
      <c r="K6611" s="1493" t="s">
        <v>5623</v>
      </c>
      <c r="L6611" s="1081">
        <v>1000000</v>
      </c>
      <c r="M6611" s="1495"/>
      <c r="N6611" s="49"/>
      <c r="O6611" s="1383"/>
      <c r="P6611" s="644"/>
      <c r="Q6611" s="1382"/>
      <c r="R6611" s="644"/>
      <c r="S6611" s="1449"/>
      <c r="T6611" s="1462"/>
      <c r="U6611" s="1416"/>
      <c r="V6611" s="49"/>
    </row>
    <row r="6612" spans="7:22">
      <c r="G6612" s="48"/>
      <c r="H6612" s="48"/>
      <c r="I6612" s="1472" t="s">
        <v>5614</v>
      </c>
      <c r="J6612" s="1081">
        <v>45500000</v>
      </c>
      <c r="K6612" s="1493"/>
      <c r="L6612" s="1081"/>
      <c r="M6612" s="1493"/>
      <c r="N6612" s="49"/>
      <c r="O6612" s="1383"/>
      <c r="P6612" s="644"/>
      <c r="Q6612" s="1383"/>
      <c r="R6612" s="644"/>
      <c r="S6612" s="1451"/>
      <c r="T6612" s="1462"/>
      <c r="U6612" s="1438"/>
      <c r="V6612" s="49"/>
    </row>
    <row r="6613" spans="7:22">
      <c r="G6613" s="48"/>
      <c r="H6613" s="48"/>
      <c r="I6613" s="1472" t="s">
        <v>5615</v>
      </c>
      <c r="J6613" s="1081">
        <v>46000000</v>
      </c>
      <c r="K6613" s="1493" t="s">
        <v>4913</v>
      </c>
      <c r="L6613" s="1081">
        <v>10500000</v>
      </c>
      <c r="M6613" s="1495"/>
      <c r="N6613" s="49"/>
      <c r="O6613" s="1383"/>
      <c r="P6613" s="644"/>
      <c r="Q6613" s="1385"/>
      <c r="R6613" s="644"/>
      <c r="S6613" s="48"/>
      <c r="T6613" s="1462"/>
      <c r="U6613" s="1416"/>
      <c r="V6613" s="49"/>
    </row>
    <row r="6614" spans="7:22">
      <c r="G6614" s="48"/>
      <c r="H6614" s="48"/>
      <c r="I6614" s="1472" t="s">
        <v>5616</v>
      </c>
      <c r="J6614" s="1081">
        <v>46000000</v>
      </c>
      <c r="K6614" s="1493" t="s">
        <v>4747</v>
      </c>
      <c r="L6614" s="1081">
        <v>10000000</v>
      </c>
      <c r="M6614" s="1495"/>
      <c r="N6614" s="49"/>
      <c r="O6614" s="644"/>
      <c r="P6614" s="644"/>
      <c r="Q6614" s="1383"/>
      <c r="R6614" s="644"/>
      <c r="S6614" s="48"/>
      <c r="T6614" s="1462"/>
      <c r="U6614" s="1408"/>
      <c r="V6614" s="49"/>
    </row>
    <row r="6615" spans="7:22">
      <c r="G6615" s="48"/>
      <c r="H6615" s="48"/>
      <c r="I6615" s="1468"/>
      <c r="J6615" s="1081"/>
      <c r="K6615" s="1509"/>
      <c r="L6615" s="1081"/>
      <c r="M6615" s="1498"/>
      <c r="N6615" s="49"/>
      <c r="O6615" s="644"/>
      <c r="P6615" s="644"/>
      <c r="Q6615" s="1290"/>
      <c r="R6615" s="644"/>
      <c r="S6615" s="48"/>
      <c r="T6615" s="1462"/>
      <c r="U6615" s="1408"/>
      <c r="V6615" s="49"/>
    </row>
    <row r="6616" spans="7:22">
      <c r="G6616" s="48"/>
      <c r="H6616" s="48"/>
      <c r="I6616" s="1474" t="s">
        <v>5617</v>
      </c>
      <c r="J6616" s="1081">
        <f>34000000*0.93</f>
        <v>31620000</v>
      </c>
      <c r="K6616" s="1493"/>
      <c r="L6616" s="1081"/>
      <c r="M6616" s="1498"/>
      <c r="N6616" s="49"/>
      <c r="O6616" s="644"/>
      <c r="P6616" s="644"/>
      <c r="Q6616" s="1383"/>
      <c r="R6616" s="644"/>
      <c r="S6616" s="48"/>
      <c r="T6616" s="1462"/>
      <c r="U6616" s="48"/>
      <c r="V6616" s="48"/>
    </row>
    <row r="6617" spans="7:22">
      <c r="G6617" s="48"/>
      <c r="H6617" s="48"/>
      <c r="I6617" s="1474" t="s">
        <v>5618</v>
      </c>
      <c r="J6617" s="1081">
        <f>50000000*0.93</f>
        <v>46500000</v>
      </c>
      <c r="K6617" s="1509"/>
      <c r="L6617" s="1081"/>
      <c r="M6617" s="1498"/>
      <c r="N6617" s="49"/>
      <c r="O6617" s="644"/>
      <c r="P6617" s="644"/>
      <c r="Q6617" s="1290"/>
      <c r="R6617" s="644"/>
      <c r="S6617" s="48"/>
      <c r="T6617" s="1462"/>
      <c r="U6617" s="48"/>
      <c r="V6617" s="48"/>
    </row>
    <row r="6618" spans="7:22">
      <c r="G6618" s="48"/>
      <c r="H6618" s="48"/>
      <c r="I6618" s="1474" t="s">
        <v>5619</v>
      </c>
      <c r="J6618" s="1081">
        <f>35000000*0.93</f>
        <v>32550000</v>
      </c>
      <c r="K6618" s="1509"/>
      <c r="L6618" s="1081"/>
      <c r="M6618" s="1498"/>
      <c r="N6618" s="49"/>
      <c r="O6618" s="644"/>
      <c r="P6618" s="644"/>
      <c r="Q6618" s="1290"/>
      <c r="R6618" s="644"/>
      <c r="S6618" s="48"/>
      <c r="T6618" s="1462"/>
      <c r="U6618" s="48"/>
      <c r="V6618" s="48"/>
    </row>
    <row r="6619" spans="7:22">
      <c r="G6619" s="48"/>
      <c r="H6619" s="48"/>
      <c r="I6619" s="1475" t="s">
        <v>5620</v>
      </c>
      <c r="J6619" s="49">
        <f>40000000*0.93</f>
        <v>37200000</v>
      </c>
      <c r="K6619" s="1498"/>
      <c r="L6619" s="49"/>
      <c r="M6619" s="1498"/>
      <c r="N6619" s="49"/>
      <c r="O6619" s="644"/>
      <c r="P6619" s="644"/>
      <c r="Q6619" s="1290"/>
      <c r="R6619" s="644"/>
      <c r="S6619" s="48"/>
      <c r="T6619" s="1462"/>
      <c r="U6619" s="48"/>
      <c r="V6619" s="48"/>
    </row>
    <row r="6620" spans="7:22">
      <c r="G6620" s="48"/>
      <c r="H6620" s="48"/>
      <c r="I6620" s="1475" t="s">
        <v>5621</v>
      </c>
      <c r="J6620" s="49">
        <v>46000000</v>
      </c>
      <c r="K6620" s="1498"/>
      <c r="L6620" s="49"/>
      <c r="M6620" s="1498"/>
      <c r="N6620" s="49"/>
      <c r="O6620" s="644"/>
      <c r="P6620" s="644"/>
      <c r="Q6620" s="1290"/>
      <c r="R6620" s="644"/>
      <c r="S6620" s="48"/>
      <c r="T6620" s="1462"/>
      <c r="U6620" s="48"/>
      <c r="V6620" s="48"/>
    </row>
    <row r="6621" spans="7:22">
      <c r="G6621" s="48"/>
      <c r="H6621" s="48"/>
      <c r="I6621" s="1475" t="s">
        <v>5622</v>
      </c>
      <c r="J6621" s="49">
        <f>33000000*0.92</f>
        <v>30360000</v>
      </c>
      <c r="K6621" s="1498"/>
      <c r="L6621" s="49"/>
      <c r="M6621" s="1498"/>
      <c r="N6621" s="49"/>
      <c r="O6621" s="644"/>
      <c r="P6621" s="644"/>
      <c r="Q6621" s="1290"/>
      <c r="R6621" s="644"/>
      <c r="S6621" s="48"/>
      <c r="T6621" s="1462"/>
      <c r="U6621" s="48"/>
      <c r="V6621" s="48"/>
    </row>
    <row r="6622" spans="7:22">
      <c r="G6622" s="48"/>
      <c r="H6622" s="48"/>
      <c r="I6622" s="1475" t="s">
        <v>5624</v>
      </c>
      <c r="J6622" s="49">
        <v>21160000</v>
      </c>
      <c r="K6622" s="1498"/>
      <c r="L6622" s="49"/>
      <c r="M6622" s="1498"/>
      <c r="N6622" s="49"/>
      <c r="O6622" s="644"/>
      <c r="P6622" s="644"/>
      <c r="Q6622" s="1290"/>
      <c r="R6622" s="644"/>
      <c r="S6622" s="48"/>
      <c r="T6622" s="1462"/>
      <c r="U6622" s="48"/>
      <c r="V6622" s="48"/>
    </row>
    <row r="6623" spans="7:22">
      <c r="G6623" s="48"/>
      <c r="H6623" s="48"/>
      <c r="I6623" s="1475" t="s">
        <v>5625</v>
      </c>
      <c r="J6623" s="49">
        <v>25000000</v>
      </c>
      <c r="K6623" s="1498"/>
      <c r="L6623" s="49"/>
      <c r="M6623" s="1498"/>
      <c r="N6623" s="49"/>
      <c r="O6623" s="644"/>
      <c r="P6623" s="644"/>
      <c r="Q6623" s="1290"/>
      <c r="R6623" s="644"/>
      <c r="S6623" s="48"/>
      <c r="T6623" s="1462"/>
      <c r="U6623" s="48"/>
      <c r="V6623" s="48"/>
    </row>
    <row r="6624" spans="7:22">
      <c r="G6624" s="48"/>
      <c r="H6624" s="48"/>
      <c r="I6624" s="48"/>
      <c r="J6624" s="49"/>
      <c r="K6624" s="1498"/>
      <c r="L6624" s="49"/>
      <c r="M6624" s="1498"/>
      <c r="N6624" s="49"/>
      <c r="O6624" s="644"/>
      <c r="P6624" s="644"/>
      <c r="Q6624" s="1290"/>
      <c r="R6624" s="644"/>
      <c r="S6624" s="48"/>
      <c r="T6624" s="1462"/>
      <c r="U6624" s="48"/>
      <c r="V6624" s="48"/>
    </row>
    <row r="6625" spans="7:22">
      <c r="G6625" s="48"/>
      <c r="H6625" s="48"/>
      <c r="I6625" s="48"/>
      <c r="J6625" s="954">
        <f>SUM(J6606:J6624)</f>
        <v>581490000</v>
      </c>
      <c r="K6625" s="954"/>
      <c r="L6625" s="954">
        <f>SUM(L6606:L6624)</f>
        <v>728230000</v>
      </c>
      <c r="M6625" s="1498"/>
      <c r="N6625" s="954">
        <f>SUM(N6606:N6624)</f>
        <v>1769700000</v>
      </c>
      <c r="O6625" s="644"/>
      <c r="P6625" s="969">
        <f>SUM(P6606:P6613)</f>
        <v>45000000</v>
      </c>
      <c r="Q6625" s="969"/>
      <c r="R6625" s="969">
        <f>SUM(R6606:R6624)</f>
        <v>0</v>
      </c>
      <c r="S6625" s="48"/>
      <c r="T6625" s="1178">
        <f>SUM(T6606:T6624)</f>
        <v>3400</v>
      </c>
      <c r="U6625" s="48"/>
      <c r="V6625" s="878">
        <f>SUM(V6606:V6624)</f>
        <v>1900</v>
      </c>
    </row>
    <row r="6626" spans="7:22">
      <c r="T6626" s="1461"/>
    </row>
    <row r="6627" spans="7:22">
      <c r="T6627" s="1461"/>
    </row>
    <row r="6628" spans="7:22">
      <c r="R6628" s="661"/>
      <c r="T6628" s="1461"/>
    </row>
    <row r="6629" spans="7:22">
      <c r="T6629" s="1461"/>
    </row>
    <row r="6630" spans="7:22">
      <c r="K6630" s="3" t="s">
        <v>5310</v>
      </c>
      <c r="T6630" s="1461"/>
    </row>
    <row r="6631" spans="7:22">
      <c r="I6631" s="946"/>
      <c r="M6631" s="1533" t="s">
        <v>3699</v>
      </c>
      <c r="O6631" s="1535" t="s">
        <v>3741</v>
      </c>
      <c r="P6631" s="1512">
        <f>P6625-R6625</f>
        <v>45000000</v>
      </c>
      <c r="S6631" s="906" t="s">
        <v>4049</v>
      </c>
      <c r="T6631" s="1107">
        <f>T6625-V6625</f>
        <v>1500</v>
      </c>
    </row>
    <row r="6632" spans="7:22">
      <c r="G6632" s="1574" t="s">
        <v>3530</v>
      </c>
      <c r="H6632" s="1574"/>
      <c r="I6632" s="1574"/>
      <c r="J6632" s="3">
        <f>J6625+L6625</f>
        <v>1309720000</v>
      </c>
      <c r="K6632" s="1009"/>
      <c r="L6632" s="3"/>
      <c r="M6632" s="1533" t="s">
        <v>3664</v>
      </c>
      <c r="N6632" s="1527"/>
      <c r="O6632" s="1535" t="s">
        <v>4066</v>
      </c>
      <c r="P6632" s="1512"/>
      <c r="T6632" s="1461"/>
    </row>
    <row r="6633" spans="7:22">
      <c r="G6633" s="1574" t="s">
        <v>3512</v>
      </c>
      <c r="H6633" s="1574"/>
      <c r="I6633" s="1574"/>
      <c r="J6633" s="3">
        <f>N6625-J6632</f>
        <v>459980000</v>
      </c>
      <c r="K6633" s="1009"/>
      <c r="L6633" s="3"/>
      <c r="M6633" s="1528"/>
      <c r="O6633" s="1529"/>
      <c r="Q6633" s="661"/>
      <c r="T6633" s="1461"/>
    </row>
    <row r="6634" spans="7:22">
      <c r="G6634" s="1574" t="s">
        <v>3531</v>
      </c>
      <c r="H6634" s="1574"/>
      <c r="I6634" s="1574"/>
      <c r="J6634" s="3">
        <f>+T6631</f>
        <v>1500</v>
      </c>
      <c r="Q6634" s="3"/>
      <c r="T6634" s="1461"/>
    </row>
    <row r="6635" spans="7:22">
      <c r="G6635" s="1564" t="s">
        <v>4455</v>
      </c>
      <c r="H6635" s="1564"/>
      <c r="I6635" s="1564"/>
      <c r="J6635" s="3">
        <f>+P6631</f>
        <v>45000000</v>
      </c>
      <c r="R6635" s="3"/>
      <c r="T6635" s="1461"/>
    </row>
    <row r="6636" spans="7:22">
      <c r="T6636" s="1461"/>
    </row>
    <row r="6639" spans="7:22">
      <c r="T6639" s="1465"/>
    </row>
    <row r="6640" spans="7:22">
      <c r="G6640" s="1008">
        <v>46151</v>
      </c>
      <c r="H6640" s="1169"/>
      <c r="I6640" s="1575" t="s">
        <v>3510</v>
      </c>
      <c r="J6640" s="1576"/>
      <c r="K6640" s="1575" t="s">
        <v>3509</v>
      </c>
      <c r="L6640" s="1576"/>
      <c r="M6640" s="1575" t="s">
        <v>3541</v>
      </c>
      <c r="N6640" s="1576"/>
      <c r="O6640" s="1577" t="s">
        <v>3598</v>
      </c>
      <c r="P6640" s="1578"/>
      <c r="Q6640" s="1579" t="s">
        <v>3599</v>
      </c>
      <c r="R6640" s="1580"/>
      <c r="S6640" s="1581" t="s">
        <v>3953</v>
      </c>
      <c r="T6640" s="1582"/>
      <c r="U6640" s="1581" t="s">
        <v>3954</v>
      </c>
      <c r="V6640" s="1582"/>
    </row>
    <row r="6641" spans="7:22">
      <c r="G6641" s="1097"/>
      <c r="H6641" s="1261"/>
      <c r="I6641" s="1472" t="s">
        <v>5627</v>
      </c>
      <c r="J6641" s="1081">
        <f>33000000*0.93</f>
        <v>30690000</v>
      </c>
      <c r="K6641" s="1493" t="s">
        <v>5626</v>
      </c>
      <c r="L6641" s="1081">
        <v>15000000</v>
      </c>
      <c r="M6641" s="1495" t="s">
        <v>4613</v>
      </c>
      <c r="N6641" s="1495">
        <f>440000000+15000000+4750000</f>
        <v>459750000</v>
      </c>
      <c r="O6641" s="1383"/>
      <c r="P6641" s="644"/>
      <c r="Q6641" s="1279"/>
      <c r="R6641" s="644"/>
      <c r="S6641" s="1223"/>
      <c r="T6641" s="1191">
        <v>1500</v>
      </c>
      <c r="U6641" s="1232"/>
      <c r="V6641" s="48"/>
    </row>
    <row r="6642" spans="7:22">
      <c r="G6642" s="1098"/>
      <c r="H6642" s="1172"/>
      <c r="I6642" s="1472" t="s">
        <v>5628</v>
      </c>
      <c r="J6642" s="1081">
        <f>50000000*0.93</f>
        <v>46500000</v>
      </c>
      <c r="K6642" s="1493" t="s">
        <v>4463</v>
      </c>
      <c r="L6642" s="1081">
        <v>30000000</v>
      </c>
      <c r="M6642" s="1493"/>
      <c r="N6642" s="1081"/>
      <c r="O6642" s="1383" t="s">
        <v>5262</v>
      </c>
      <c r="P6642" s="644">
        <v>45000000</v>
      </c>
      <c r="Q6642" s="1410"/>
      <c r="R6642" s="1290"/>
      <c r="S6642" s="1473" t="s">
        <v>4463</v>
      </c>
      <c r="T6642" s="1191">
        <v>13000</v>
      </c>
      <c r="U6642" s="48"/>
      <c r="V6642" s="49"/>
    </row>
    <row r="6643" spans="7:22">
      <c r="G6643" s="48"/>
      <c r="H6643" s="48"/>
      <c r="I6643" s="1472" t="s">
        <v>5629</v>
      </c>
      <c r="J6643" s="1081">
        <v>46500000</v>
      </c>
      <c r="K6643" s="1493" t="s">
        <v>4551</v>
      </c>
      <c r="L6643" s="1081">
        <v>2000000</v>
      </c>
      <c r="M6643" s="1493"/>
      <c r="N6643" s="49"/>
      <c r="O6643" s="1495"/>
      <c r="P6643" s="644"/>
      <c r="Q6643" s="1412"/>
      <c r="R6643" s="644"/>
      <c r="S6643" s="1476" t="s">
        <v>5660</v>
      </c>
      <c r="T6643" s="1191">
        <v>500</v>
      </c>
      <c r="U6643" s="1449"/>
      <c r="V6643" s="1191"/>
    </row>
    <row r="6644" spans="7:22">
      <c r="G6644" s="48"/>
      <c r="H6644" s="48"/>
      <c r="I6644" s="1467"/>
      <c r="J6644" s="1081"/>
      <c r="K6644" s="1493"/>
      <c r="L6644" s="1081"/>
      <c r="M6644" s="1495"/>
      <c r="N6644" s="49"/>
      <c r="O6644" s="1383"/>
      <c r="P6644" s="644"/>
      <c r="Q6644" s="1422"/>
      <c r="R6644" s="644"/>
      <c r="S6644" s="1459"/>
      <c r="T6644" s="1466"/>
      <c r="U6644" s="1475"/>
      <c r="V6644" s="1466"/>
    </row>
    <row r="6645" spans="7:22">
      <c r="G6645" s="48"/>
      <c r="H6645" s="48"/>
      <c r="I6645" s="1472"/>
      <c r="J6645" s="1081"/>
      <c r="K6645" s="1493"/>
      <c r="L6645" s="1081"/>
      <c r="M6645" s="1495"/>
      <c r="N6645" s="49"/>
      <c r="O6645" s="1383"/>
      <c r="P6645" s="644"/>
      <c r="Q6645" s="1422"/>
      <c r="R6645" s="644"/>
      <c r="S6645" s="1449"/>
      <c r="T6645" s="1466"/>
      <c r="U6645" s="1408"/>
      <c r="V6645" s="49"/>
    </row>
    <row r="6646" spans="7:22">
      <c r="G6646" s="48"/>
      <c r="H6646" s="48"/>
      <c r="I6646" s="1472"/>
      <c r="J6646" s="1081"/>
      <c r="K6646" s="1493"/>
      <c r="L6646" s="1081"/>
      <c r="M6646" s="1495"/>
      <c r="N6646" s="49"/>
      <c r="O6646" s="1383"/>
      <c r="P6646" s="644"/>
      <c r="Q6646" s="1382"/>
      <c r="R6646" s="644"/>
      <c r="S6646" s="1449"/>
      <c r="T6646" s="1466"/>
      <c r="U6646" s="1416"/>
      <c r="V6646" s="49"/>
    </row>
    <row r="6647" spans="7:22">
      <c r="G6647" s="48"/>
      <c r="H6647" s="48"/>
      <c r="I6647" s="1472"/>
      <c r="J6647" s="1081"/>
      <c r="K6647" s="1493"/>
      <c r="L6647" s="1081"/>
      <c r="M6647" s="1493"/>
      <c r="N6647" s="49"/>
      <c r="O6647" s="1383"/>
      <c r="P6647" s="644"/>
      <c r="Q6647" s="1383"/>
      <c r="R6647" s="644"/>
      <c r="S6647" s="1451"/>
      <c r="T6647" s="1466"/>
      <c r="U6647" s="1438"/>
      <c r="V6647" s="49"/>
    </row>
    <row r="6648" spans="7:22">
      <c r="G6648" s="48"/>
      <c r="H6648" s="48"/>
      <c r="I6648" s="1472"/>
      <c r="J6648" s="1081"/>
      <c r="K6648" s="1493"/>
      <c r="L6648" s="1081"/>
      <c r="M6648" s="1495"/>
      <c r="N6648" s="49"/>
      <c r="O6648" s="1383"/>
      <c r="P6648" s="644"/>
      <c r="Q6648" s="1385"/>
      <c r="R6648" s="644"/>
      <c r="S6648" s="48"/>
      <c r="T6648" s="1466"/>
      <c r="U6648" s="1416"/>
      <c r="V6648" s="49"/>
    </row>
    <row r="6649" spans="7:22">
      <c r="G6649" s="48"/>
      <c r="H6649" s="48"/>
      <c r="I6649" s="1472"/>
      <c r="J6649" s="1081"/>
      <c r="K6649" s="1493"/>
      <c r="L6649" s="1081"/>
      <c r="M6649" s="1495"/>
      <c r="N6649" s="49"/>
      <c r="O6649" s="644"/>
      <c r="P6649" s="644"/>
      <c r="Q6649" s="1383"/>
      <c r="R6649" s="644"/>
      <c r="S6649" s="48"/>
      <c r="T6649" s="1466"/>
      <c r="U6649" s="1408"/>
      <c r="V6649" s="49"/>
    </row>
    <row r="6650" spans="7:22">
      <c r="G6650" s="48"/>
      <c r="H6650" s="48"/>
      <c r="I6650" s="1468"/>
      <c r="J6650" s="1081"/>
      <c r="K6650" s="1509"/>
      <c r="L6650" s="1081"/>
      <c r="M6650" s="1498"/>
      <c r="N6650" s="49"/>
      <c r="O6650" s="644"/>
      <c r="P6650" s="644"/>
      <c r="Q6650" s="1290"/>
      <c r="R6650" s="644"/>
      <c r="S6650" s="48"/>
      <c r="T6650" s="1466"/>
      <c r="U6650" s="1408"/>
      <c r="V6650" s="49"/>
    </row>
    <row r="6651" spans="7:22">
      <c r="G6651" s="48"/>
      <c r="H6651" s="48"/>
      <c r="I6651" s="1474"/>
      <c r="J6651" s="1081"/>
      <c r="K6651" s="1493"/>
      <c r="L6651" s="1081"/>
      <c r="M6651" s="1498"/>
      <c r="N6651" s="49"/>
      <c r="O6651" s="644"/>
      <c r="P6651" s="644"/>
      <c r="Q6651" s="1383"/>
      <c r="R6651" s="644"/>
      <c r="S6651" s="48"/>
      <c r="T6651" s="1466"/>
      <c r="U6651" s="48"/>
      <c r="V6651" s="48"/>
    </row>
    <row r="6652" spans="7:22">
      <c r="G6652" s="48"/>
      <c r="H6652" s="48"/>
      <c r="I6652" s="1474"/>
      <c r="J6652" s="1081"/>
      <c r="K6652" s="1509"/>
      <c r="L6652" s="1081"/>
      <c r="M6652" s="1498"/>
      <c r="N6652" s="49"/>
      <c r="O6652" s="644"/>
      <c r="P6652" s="644"/>
      <c r="Q6652" s="1290"/>
      <c r="R6652" s="644"/>
      <c r="S6652" s="48"/>
      <c r="T6652" s="1466"/>
      <c r="U6652" s="48"/>
      <c r="V6652" s="48"/>
    </row>
    <row r="6653" spans="7:22">
      <c r="G6653" s="48"/>
      <c r="H6653" s="48"/>
      <c r="I6653" s="1474"/>
      <c r="J6653" s="1081"/>
      <c r="K6653" s="1509"/>
      <c r="L6653" s="1081"/>
      <c r="M6653" s="1498"/>
      <c r="N6653" s="49"/>
      <c r="O6653" s="644"/>
      <c r="P6653" s="644"/>
      <c r="Q6653" s="1290"/>
      <c r="R6653" s="644"/>
      <c r="S6653" s="48"/>
      <c r="T6653" s="1466"/>
      <c r="U6653" s="48"/>
      <c r="V6653" s="48"/>
    </row>
    <row r="6654" spans="7:22">
      <c r="G6654" s="48"/>
      <c r="H6654" s="48"/>
      <c r="I6654" s="1475"/>
      <c r="J6654" s="49"/>
      <c r="K6654" s="1498"/>
      <c r="L6654" s="49"/>
      <c r="M6654" s="1498"/>
      <c r="N6654" s="49"/>
      <c r="O6654" s="644"/>
      <c r="P6654" s="644"/>
      <c r="Q6654" s="1290"/>
      <c r="R6654" s="644"/>
      <c r="S6654" s="48"/>
      <c r="T6654" s="1466"/>
      <c r="U6654" s="48"/>
      <c r="V6654" s="48"/>
    </row>
    <row r="6655" spans="7:22">
      <c r="G6655" s="48"/>
      <c r="H6655" s="48"/>
      <c r="I6655" s="1475"/>
      <c r="J6655" s="49"/>
      <c r="K6655" s="1498"/>
      <c r="L6655" s="49"/>
      <c r="M6655" s="1498"/>
      <c r="N6655" s="49"/>
      <c r="O6655" s="644"/>
      <c r="P6655" s="644"/>
      <c r="Q6655" s="1290"/>
      <c r="R6655" s="644"/>
      <c r="S6655" s="48"/>
      <c r="T6655" s="1466"/>
      <c r="U6655" s="48"/>
      <c r="V6655" s="48"/>
    </row>
    <row r="6656" spans="7:22">
      <c r="G6656" s="48"/>
      <c r="H6656" s="48"/>
      <c r="I6656" s="1475"/>
      <c r="J6656" s="49"/>
      <c r="K6656" s="1498"/>
      <c r="L6656" s="49"/>
      <c r="M6656" s="1498"/>
      <c r="N6656" s="49"/>
      <c r="O6656" s="644"/>
      <c r="P6656" s="644"/>
      <c r="Q6656" s="1290"/>
      <c r="R6656" s="644"/>
      <c r="S6656" s="48"/>
      <c r="T6656" s="1466"/>
      <c r="U6656" s="48"/>
      <c r="V6656" s="48"/>
    </row>
    <row r="6657" spans="7:22">
      <c r="G6657" s="48"/>
      <c r="H6657" s="48"/>
      <c r="I6657" s="1475"/>
      <c r="J6657" s="49"/>
      <c r="K6657" s="1498"/>
      <c r="L6657" s="49"/>
      <c r="M6657" s="1498"/>
      <c r="N6657" s="49"/>
      <c r="O6657" s="644"/>
      <c r="P6657" s="644"/>
      <c r="Q6657" s="1290"/>
      <c r="R6657" s="644"/>
      <c r="S6657" s="48"/>
      <c r="T6657" s="1466"/>
      <c r="U6657" s="48"/>
      <c r="V6657" s="48"/>
    </row>
    <row r="6658" spans="7:22">
      <c r="G6658" s="48"/>
      <c r="H6658" s="48"/>
      <c r="I6658" s="1475"/>
      <c r="J6658" s="49"/>
      <c r="K6658" s="1498"/>
      <c r="L6658" s="49"/>
      <c r="M6658" s="1498"/>
      <c r="N6658" s="49"/>
      <c r="O6658" s="644"/>
      <c r="P6658" s="644"/>
      <c r="Q6658" s="1290"/>
      <c r="R6658" s="644"/>
      <c r="S6658" s="48"/>
      <c r="T6658" s="1466"/>
      <c r="U6658" s="48"/>
      <c r="V6658" s="48"/>
    </row>
    <row r="6659" spans="7:22">
      <c r="G6659" s="48"/>
      <c r="H6659" s="48"/>
      <c r="I6659" s="48"/>
      <c r="J6659" s="49"/>
      <c r="K6659" s="1498"/>
      <c r="L6659" s="49"/>
      <c r="M6659" s="1498"/>
      <c r="N6659" s="49"/>
      <c r="O6659" s="644"/>
      <c r="P6659" s="644"/>
      <c r="Q6659" s="1290"/>
      <c r="R6659" s="644"/>
      <c r="S6659" s="48"/>
      <c r="T6659" s="1466"/>
      <c r="U6659" s="48"/>
      <c r="V6659" s="48"/>
    </row>
    <row r="6660" spans="7:22">
      <c r="G6660" s="48"/>
      <c r="H6660" s="48"/>
      <c r="I6660" s="48"/>
      <c r="J6660" s="954">
        <f>SUM(J6641:J6659)</f>
        <v>123690000</v>
      </c>
      <c r="K6660" s="954"/>
      <c r="L6660" s="954">
        <f>SUM(L6641:L6659)</f>
        <v>47000000</v>
      </c>
      <c r="M6660" s="1498"/>
      <c r="N6660" s="954">
        <f>SUM(N6641:N6659)</f>
        <v>459750000</v>
      </c>
      <c r="O6660" s="644"/>
      <c r="P6660" s="969">
        <f>SUM(P6641:P6648)</f>
        <v>45000000</v>
      </c>
      <c r="Q6660" s="969"/>
      <c r="R6660" s="969">
        <f>SUM(R6641:R6659)</f>
        <v>0</v>
      </c>
      <c r="S6660" s="48"/>
      <c r="T6660" s="1178">
        <f>SUM(T6641:T6659)</f>
        <v>15000</v>
      </c>
      <c r="U6660" s="48"/>
      <c r="V6660" s="878">
        <f>SUM(V6641:V6659)</f>
        <v>0</v>
      </c>
    </row>
    <row r="6661" spans="7:22">
      <c r="T6661" s="1465"/>
    </row>
    <row r="6662" spans="7:22">
      <c r="T6662" s="1465"/>
    </row>
    <row r="6663" spans="7:22">
      <c r="R6663" s="661"/>
      <c r="T6663" s="1465"/>
    </row>
    <row r="6664" spans="7:22">
      <c r="T6664" s="1465"/>
    </row>
    <row r="6665" spans="7:22">
      <c r="K6665" s="3" t="s">
        <v>5310</v>
      </c>
      <c r="T6665" s="1465"/>
    </row>
    <row r="6666" spans="7:22">
      <c r="I6666" s="946"/>
      <c r="M6666" s="1533" t="s">
        <v>3699</v>
      </c>
      <c r="O6666" s="1535" t="s">
        <v>3741</v>
      </c>
      <c r="P6666" s="1512">
        <f>P6660-R6660</f>
        <v>45000000</v>
      </c>
      <c r="S6666" s="906" t="s">
        <v>4049</v>
      </c>
      <c r="T6666" s="1107">
        <f>T6660-V6660</f>
        <v>15000</v>
      </c>
    </row>
    <row r="6667" spans="7:22">
      <c r="G6667" s="1574" t="s">
        <v>3530</v>
      </c>
      <c r="H6667" s="1574"/>
      <c r="I6667" s="1574"/>
      <c r="J6667" s="3">
        <f>J6660+L6660</f>
        <v>170690000</v>
      </c>
      <c r="K6667" s="1009"/>
      <c r="L6667" s="3"/>
      <c r="M6667" s="1533" t="s">
        <v>3664</v>
      </c>
      <c r="N6667" s="1527"/>
      <c r="O6667" s="1535" t="s">
        <v>4066</v>
      </c>
      <c r="P6667" s="1512"/>
      <c r="T6667" s="1465"/>
    </row>
    <row r="6668" spans="7:22">
      <c r="G6668" s="1574" t="s">
        <v>3512</v>
      </c>
      <c r="H6668" s="1574"/>
      <c r="I6668" s="1574"/>
      <c r="J6668" s="3">
        <f>N6660-J6667</f>
        <v>289060000</v>
      </c>
      <c r="K6668" s="1009"/>
      <c r="L6668" s="3"/>
      <c r="M6668" s="1528"/>
      <c r="O6668" s="1529"/>
      <c r="Q6668" s="661"/>
      <c r="T6668" s="1465"/>
    </row>
    <row r="6669" spans="7:22">
      <c r="G6669" s="1574" t="s">
        <v>3531</v>
      </c>
      <c r="H6669" s="1574"/>
      <c r="I6669" s="1574"/>
      <c r="J6669" s="3">
        <f>+T6666</f>
        <v>15000</v>
      </c>
      <c r="Q6669" s="3"/>
      <c r="T6669" s="1465"/>
    </row>
    <row r="6670" spans="7:22">
      <c r="G6670" s="1564" t="s">
        <v>4455</v>
      </c>
      <c r="H6670" s="1564"/>
      <c r="I6670" s="1564"/>
      <c r="J6670" s="3">
        <f>+P6666</f>
        <v>45000000</v>
      </c>
      <c r="R6670" s="3"/>
      <c r="T6670" s="1465"/>
    </row>
    <row r="6671" spans="7:22">
      <c r="T6671" s="1465"/>
    </row>
    <row r="6676" spans="7:22">
      <c r="T6676" s="1470"/>
    </row>
    <row r="6677" spans="7:22">
      <c r="T6677" s="1470"/>
    </row>
    <row r="6678" spans="7:22">
      <c r="G6678" s="1008">
        <v>46152</v>
      </c>
      <c r="H6678" s="1169"/>
      <c r="I6678" s="1575" t="s">
        <v>3510</v>
      </c>
      <c r="J6678" s="1576"/>
      <c r="K6678" s="1575" t="s">
        <v>3509</v>
      </c>
      <c r="L6678" s="1576"/>
      <c r="M6678" s="1575" t="s">
        <v>3541</v>
      </c>
      <c r="N6678" s="1576"/>
      <c r="O6678" s="1577" t="s">
        <v>3598</v>
      </c>
      <c r="P6678" s="1578"/>
      <c r="Q6678" s="1579" t="s">
        <v>3599</v>
      </c>
      <c r="R6678" s="1580"/>
      <c r="S6678" s="1581" t="s">
        <v>3953</v>
      </c>
      <c r="T6678" s="1582"/>
      <c r="U6678" s="1581" t="s">
        <v>3954</v>
      </c>
      <c r="V6678" s="1582"/>
    </row>
    <row r="6679" spans="7:22">
      <c r="G6679" s="1097"/>
      <c r="H6679" s="1261"/>
      <c r="I6679" s="1480" t="s">
        <v>5662</v>
      </c>
      <c r="J6679" s="1081">
        <v>46000000</v>
      </c>
      <c r="K6679" s="1493" t="s">
        <v>4867</v>
      </c>
      <c r="L6679" s="1081">
        <v>1000000</v>
      </c>
      <c r="M6679" s="1495" t="s">
        <v>4613</v>
      </c>
      <c r="N6679" s="1495">
        <v>289500000</v>
      </c>
      <c r="O6679" s="1383"/>
      <c r="P6679" s="644"/>
      <c r="Q6679" s="1279"/>
      <c r="R6679" s="644"/>
      <c r="S6679" s="1223"/>
      <c r="T6679" s="1191">
        <v>15000</v>
      </c>
      <c r="U6679" s="1232"/>
      <c r="V6679" s="48"/>
    </row>
    <row r="6680" spans="7:22">
      <c r="G6680" s="1098"/>
      <c r="H6680" s="1172"/>
      <c r="I6680" s="1480" t="s">
        <v>5663</v>
      </c>
      <c r="J6680" s="1081">
        <v>27000000</v>
      </c>
      <c r="K6680" s="1493"/>
      <c r="L6680" s="1081"/>
      <c r="M6680" s="1493" t="s">
        <v>5661</v>
      </c>
      <c r="N6680" s="1081">
        <v>60000000</v>
      </c>
      <c r="O6680" s="1383" t="s">
        <v>5262</v>
      </c>
      <c r="P6680" s="644">
        <v>45000000</v>
      </c>
      <c r="Q6680" s="1410"/>
      <c r="R6680" s="1290"/>
      <c r="S6680" s="1473"/>
      <c r="T6680" s="1191"/>
      <c r="U6680" s="48"/>
      <c r="V6680" s="49"/>
    </row>
    <row r="6681" spans="7:22">
      <c r="G6681" s="48"/>
      <c r="H6681" s="48"/>
      <c r="I6681" s="1480" t="s">
        <v>5664</v>
      </c>
      <c r="J6681" s="1081">
        <v>45500000</v>
      </c>
      <c r="K6681" s="1493"/>
      <c r="L6681" s="1081"/>
      <c r="M6681" s="1493"/>
      <c r="N6681" s="49"/>
      <c r="O6681" s="1495"/>
      <c r="P6681" s="644"/>
      <c r="Q6681" s="1412"/>
      <c r="R6681" s="644"/>
      <c r="S6681" s="1476"/>
      <c r="T6681" s="1191"/>
      <c r="U6681" s="1449"/>
      <c r="V6681" s="1191"/>
    </row>
    <row r="6682" spans="7:22">
      <c r="G6682" s="48"/>
      <c r="H6682" s="48"/>
      <c r="I6682" s="1467"/>
      <c r="J6682" s="1081"/>
      <c r="K6682" s="1493"/>
      <c r="L6682" s="1081"/>
      <c r="M6682" s="1495"/>
      <c r="N6682" s="49"/>
      <c r="O6682" s="1383"/>
      <c r="P6682" s="644"/>
      <c r="Q6682" s="1422"/>
      <c r="R6682" s="644"/>
      <c r="S6682" s="1459"/>
      <c r="T6682" s="1471"/>
      <c r="U6682" s="1475"/>
      <c r="V6682" s="1471"/>
    </row>
    <row r="6683" spans="7:22">
      <c r="G6683" s="48"/>
      <c r="H6683" s="48"/>
      <c r="I6683" s="1472"/>
      <c r="J6683" s="1081"/>
      <c r="K6683" s="1493"/>
      <c r="L6683" s="1081"/>
      <c r="M6683" s="1495"/>
      <c r="N6683" s="49"/>
      <c r="O6683" s="1383"/>
      <c r="P6683" s="644"/>
      <c r="Q6683" s="1422"/>
      <c r="R6683" s="644"/>
      <c r="S6683" s="1449"/>
      <c r="T6683" s="1471"/>
      <c r="U6683" s="1408"/>
      <c r="V6683" s="49"/>
    </row>
    <row r="6684" spans="7:22">
      <c r="G6684" s="48"/>
      <c r="H6684" s="48"/>
      <c r="I6684" s="1472"/>
      <c r="J6684" s="1081"/>
      <c r="K6684" s="1493"/>
      <c r="L6684" s="1081"/>
      <c r="M6684" s="1495"/>
      <c r="N6684" s="49"/>
      <c r="O6684" s="1383"/>
      <c r="P6684" s="644"/>
      <c r="Q6684" s="1382"/>
      <c r="R6684" s="644"/>
      <c r="S6684" s="1449"/>
      <c r="T6684" s="1471"/>
      <c r="U6684" s="1416"/>
      <c r="V6684" s="49"/>
    </row>
    <row r="6685" spans="7:22">
      <c r="G6685" s="48"/>
      <c r="H6685" s="48"/>
      <c r="I6685" s="1472"/>
      <c r="J6685" s="1081"/>
      <c r="K6685" s="1493"/>
      <c r="L6685" s="1081"/>
      <c r="M6685" s="1493"/>
      <c r="N6685" s="49"/>
      <c r="O6685" s="1383"/>
      <c r="P6685" s="644"/>
      <c r="Q6685" s="1383"/>
      <c r="R6685" s="644"/>
      <c r="S6685" s="1451"/>
      <c r="T6685" s="1471"/>
      <c r="U6685" s="1438"/>
      <c r="V6685" s="49"/>
    </row>
    <row r="6686" spans="7:22">
      <c r="G6686" s="48"/>
      <c r="H6686" s="48"/>
      <c r="I6686" s="1472"/>
      <c r="J6686" s="1081"/>
      <c r="K6686" s="1493"/>
      <c r="L6686" s="1081"/>
      <c r="M6686" s="1495"/>
      <c r="N6686" s="49"/>
      <c r="O6686" s="1383"/>
      <c r="P6686" s="644"/>
      <c r="Q6686" s="1385"/>
      <c r="R6686" s="644"/>
      <c r="S6686" s="48"/>
      <c r="T6686" s="1471"/>
      <c r="U6686" s="1416"/>
      <c r="V6686" s="49"/>
    </row>
    <row r="6687" spans="7:22">
      <c r="G6687" s="48"/>
      <c r="H6687" s="48"/>
      <c r="I6687" s="1472"/>
      <c r="J6687" s="1081"/>
      <c r="K6687" s="1493"/>
      <c r="L6687" s="1081"/>
      <c r="M6687" s="1495"/>
      <c r="N6687" s="49"/>
      <c r="O6687" s="644"/>
      <c r="P6687" s="644"/>
      <c r="Q6687" s="1383"/>
      <c r="R6687" s="644"/>
      <c r="S6687" s="48"/>
      <c r="T6687" s="1471"/>
      <c r="U6687" s="1408"/>
      <c r="V6687" s="49"/>
    </row>
    <row r="6688" spans="7:22">
      <c r="G6688" s="48"/>
      <c r="H6688" s="48"/>
      <c r="I6688" s="1468"/>
      <c r="J6688" s="1081"/>
      <c r="K6688" s="1509"/>
      <c r="L6688" s="1081"/>
      <c r="M6688" s="1498"/>
      <c r="N6688" s="49"/>
      <c r="O6688" s="644"/>
      <c r="P6688" s="644"/>
      <c r="Q6688" s="1290"/>
      <c r="R6688" s="644"/>
      <c r="S6688" s="48"/>
      <c r="T6688" s="1471"/>
      <c r="U6688" s="1408"/>
      <c r="V6688" s="49"/>
    </row>
    <row r="6689" spans="7:22">
      <c r="G6689" s="48"/>
      <c r="H6689" s="48"/>
      <c r="I6689" s="1474"/>
      <c r="J6689" s="1081"/>
      <c r="K6689" s="1493"/>
      <c r="L6689" s="1081"/>
      <c r="M6689" s="1498"/>
      <c r="N6689" s="49"/>
      <c r="O6689" s="644"/>
      <c r="P6689" s="644"/>
      <c r="Q6689" s="1383"/>
      <c r="R6689" s="644"/>
      <c r="S6689" s="48"/>
      <c r="T6689" s="1471"/>
      <c r="U6689" s="48"/>
      <c r="V6689" s="48"/>
    </row>
    <row r="6690" spans="7:22">
      <c r="G6690" s="48"/>
      <c r="H6690" s="48"/>
      <c r="I6690" s="1474"/>
      <c r="J6690" s="1081"/>
      <c r="K6690" s="1509"/>
      <c r="L6690" s="1081"/>
      <c r="M6690" s="1498"/>
      <c r="N6690" s="49"/>
      <c r="O6690" s="644"/>
      <c r="P6690" s="644"/>
      <c r="Q6690" s="1290"/>
      <c r="R6690" s="644"/>
      <c r="S6690" s="48"/>
      <c r="T6690" s="1471"/>
      <c r="U6690" s="48"/>
      <c r="V6690" s="48"/>
    </row>
    <row r="6691" spans="7:22">
      <c r="G6691" s="48"/>
      <c r="H6691" s="48"/>
      <c r="I6691" s="1474"/>
      <c r="J6691" s="1081"/>
      <c r="K6691" s="1509"/>
      <c r="L6691" s="1081"/>
      <c r="M6691" s="1498"/>
      <c r="N6691" s="49"/>
      <c r="O6691" s="644"/>
      <c r="P6691" s="644"/>
      <c r="Q6691" s="1290"/>
      <c r="R6691" s="644"/>
      <c r="S6691" s="48"/>
      <c r="T6691" s="1471"/>
      <c r="U6691" s="48"/>
      <c r="V6691" s="48"/>
    </row>
    <row r="6692" spans="7:22">
      <c r="G6692" s="48"/>
      <c r="H6692" s="48"/>
      <c r="I6692" s="1475"/>
      <c r="J6692" s="49"/>
      <c r="K6692" s="1498"/>
      <c r="L6692" s="49"/>
      <c r="M6692" s="1498"/>
      <c r="N6692" s="49"/>
      <c r="O6692" s="644"/>
      <c r="P6692" s="644"/>
      <c r="Q6692" s="1290"/>
      <c r="R6692" s="644"/>
      <c r="S6692" s="48"/>
      <c r="T6692" s="1471"/>
      <c r="U6692" s="48"/>
      <c r="V6692" s="48"/>
    </row>
    <row r="6693" spans="7:22">
      <c r="G6693" s="48"/>
      <c r="H6693" s="48"/>
      <c r="I6693" s="1475"/>
      <c r="J6693" s="49"/>
      <c r="K6693" s="1498"/>
      <c r="L6693" s="49"/>
      <c r="M6693" s="1498"/>
      <c r="N6693" s="49"/>
      <c r="O6693" s="644"/>
      <c r="P6693" s="644"/>
      <c r="Q6693" s="1290"/>
      <c r="R6693" s="644"/>
      <c r="S6693" s="48"/>
      <c r="T6693" s="1471"/>
      <c r="U6693" s="48"/>
      <c r="V6693" s="48"/>
    </row>
    <row r="6694" spans="7:22">
      <c r="G6694" s="48"/>
      <c r="H6694" s="48"/>
      <c r="I6694" s="1475"/>
      <c r="J6694" s="49"/>
      <c r="K6694" s="1498"/>
      <c r="L6694" s="49"/>
      <c r="M6694" s="1498"/>
      <c r="N6694" s="49"/>
      <c r="O6694" s="644"/>
      <c r="P6694" s="644"/>
      <c r="Q6694" s="1290"/>
      <c r="R6694" s="644"/>
      <c r="S6694" s="48"/>
      <c r="T6694" s="1471"/>
      <c r="U6694" s="48"/>
      <c r="V6694" s="48"/>
    </row>
    <row r="6695" spans="7:22">
      <c r="G6695" s="48"/>
      <c r="H6695" s="48"/>
      <c r="I6695" s="1475"/>
      <c r="J6695" s="49"/>
      <c r="K6695" s="1498"/>
      <c r="L6695" s="49"/>
      <c r="M6695" s="1498"/>
      <c r="N6695" s="49"/>
      <c r="O6695" s="644"/>
      <c r="P6695" s="644"/>
      <c r="Q6695" s="1290"/>
      <c r="R6695" s="644"/>
      <c r="S6695" s="48"/>
      <c r="T6695" s="1471"/>
      <c r="U6695" s="48"/>
      <c r="V6695" s="48"/>
    </row>
    <row r="6696" spans="7:22">
      <c r="G6696" s="48"/>
      <c r="H6696" s="48"/>
      <c r="I6696" s="1475"/>
      <c r="J6696" s="49"/>
      <c r="K6696" s="1498"/>
      <c r="L6696" s="49"/>
      <c r="M6696" s="1498"/>
      <c r="N6696" s="49"/>
      <c r="O6696" s="644"/>
      <c r="P6696" s="644"/>
      <c r="Q6696" s="1290"/>
      <c r="R6696" s="644"/>
      <c r="S6696" s="48"/>
      <c r="T6696" s="1471"/>
      <c r="U6696" s="48"/>
      <c r="V6696" s="48"/>
    </row>
    <row r="6697" spans="7:22">
      <c r="G6697" s="48"/>
      <c r="H6697" s="48"/>
      <c r="I6697" s="48"/>
      <c r="J6697" s="49"/>
      <c r="K6697" s="1498"/>
      <c r="L6697" s="49"/>
      <c r="M6697" s="1498"/>
      <c r="N6697" s="49"/>
      <c r="O6697" s="644"/>
      <c r="P6697" s="644"/>
      <c r="Q6697" s="1290"/>
      <c r="R6697" s="644"/>
      <c r="S6697" s="48"/>
      <c r="T6697" s="1471"/>
      <c r="U6697" s="48"/>
      <c r="V6697" s="48"/>
    </row>
    <row r="6698" spans="7:22">
      <c r="G6698" s="48"/>
      <c r="H6698" s="48"/>
      <c r="I6698" s="48"/>
      <c r="J6698" s="954">
        <f>SUM(J6679:J6697)</f>
        <v>118500000</v>
      </c>
      <c r="K6698" s="954"/>
      <c r="L6698" s="954">
        <f>SUM(L6679:L6697)</f>
        <v>1000000</v>
      </c>
      <c r="M6698" s="1498"/>
      <c r="N6698" s="954">
        <f>SUM(N6679:N6697)</f>
        <v>349500000</v>
      </c>
      <c r="O6698" s="644"/>
      <c r="P6698" s="969">
        <f>SUM(P6679:P6686)</f>
        <v>45000000</v>
      </c>
      <c r="Q6698" s="969"/>
      <c r="R6698" s="969">
        <f>SUM(R6679:R6697)</f>
        <v>0</v>
      </c>
      <c r="S6698" s="48"/>
      <c r="T6698" s="1178">
        <f>SUM(T6679:T6697)</f>
        <v>15000</v>
      </c>
      <c r="U6698" s="48"/>
      <c r="V6698" s="878">
        <f>SUM(V6679:V6697)</f>
        <v>0</v>
      </c>
    </row>
    <row r="6699" spans="7:22">
      <c r="T6699" s="1470"/>
    </row>
    <row r="6700" spans="7:22">
      <c r="T6700" s="1470"/>
    </row>
    <row r="6701" spans="7:22">
      <c r="R6701" s="661"/>
      <c r="T6701" s="1470"/>
    </row>
    <row r="6702" spans="7:22">
      <c r="T6702" s="1470"/>
    </row>
    <row r="6703" spans="7:22">
      <c r="K6703" s="3" t="s">
        <v>5310</v>
      </c>
      <c r="T6703" s="1470"/>
    </row>
    <row r="6704" spans="7:22">
      <c r="I6704" s="946"/>
      <c r="M6704" s="1533" t="s">
        <v>3699</v>
      </c>
      <c r="O6704" s="1535" t="s">
        <v>3741</v>
      </c>
      <c r="P6704" s="1512">
        <f>P6698-R6698</f>
        <v>45000000</v>
      </c>
      <c r="S6704" s="906" t="s">
        <v>4049</v>
      </c>
      <c r="T6704" s="1107">
        <f>T6698-V6698</f>
        <v>15000</v>
      </c>
    </row>
    <row r="6705" spans="7:22">
      <c r="G6705" s="1574" t="s">
        <v>3530</v>
      </c>
      <c r="H6705" s="1574"/>
      <c r="I6705" s="1574"/>
      <c r="J6705" s="3">
        <f>J6698+L6698</f>
        <v>119500000</v>
      </c>
      <c r="K6705" s="1009"/>
      <c r="L6705" s="3"/>
      <c r="M6705" s="1533" t="s">
        <v>3664</v>
      </c>
      <c r="N6705" s="1527"/>
      <c r="O6705" s="1535" t="s">
        <v>4066</v>
      </c>
      <c r="P6705" s="1512"/>
      <c r="T6705" s="1470"/>
    </row>
    <row r="6706" spans="7:22">
      <c r="G6706" s="1574" t="s">
        <v>3512</v>
      </c>
      <c r="H6706" s="1574"/>
      <c r="I6706" s="1574"/>
      <c r="J6706" s="3">
        <f>N6698-J6705</f>
        <v>230000000</v>
      </c>
      <c r="K6706" s="1009"/>
      <c r="L6706" s="3"/>
      <c r="M6706" s="1528"/>
      <c r="O6706" s="1529"/>
      <c r="Q6706" s="661"/>
      <c r="T6706" s="1470"/>
    </row>
    <row r="6707" spans="7:22">
      <c r="G6707" s="1574" t="s">
        <v>3531</v>
      </c>
      <c r="H6707" s="1574"/>
      <c r="I6707" s="1574"/>
      <c r="J6707" s="3">
        <f>+T6704</f>
        <v>15000</v>
      </c>
      <c r="Q6707" s="3"/>
      <c r="T6707" s="1470"/>
    </row>
    <row r="6708" spans="7:22">
      <c r="G6708" s="1564" t="s">
        <v>4455</v>
      </c>
      <c r="H6708" s="1564"/>
      <c r="I6708" s="1564"/>
      <c r="J6708" s="3">
        <f>+P6704</f>
        <v>45000000</v>
      </c>
      <c r="R6708" s="3"/>
      <c r="T6708" s="1470"/>
    </row>
    <row r="6709" spans="7:22">
      <c r="T6709" s="1470"/>
    </row>
    <row r="6710" spans="7:22">
      <c r="T6710" s="1470"/>
    </row>
    <row r="6716" spans="7:22">
      <c r="T6716" s="1470"/>
    </row>
    <row r="6717" spans="7:22">
      <c r="G6717" s="1008">
        <v>46153</v>
      </c>
      <c r="H6717" s="1169"/>
      <c r="I6717" s="1575" t="s">
        <v>3510</v>
      </c>
      <c r="J6717" s="1576"/>
      <c r="K6717" s="1575" t="s">
        <v>3509</v>
      </c>
      <c r="L6717" s="1576"/>
      <c r="M6717" s="1575" t="s">
        <v>3541</v>
      </c>
      <c r="N6717" s="1576"/>
      <c r="O6717" s="1577" t="s">
        <v>3598</v>
      </c>
      <c r="P6717" s="1578"/>
      <c r="Q6717" s="1579" t="s">
        <v>3599</v>
      </c>
      <c r="R6717" s="1580"/>
      <c r="S6717" s="1581" t="s">
        <v>3953</v>
      </c>
      <c r="T6717" s="1582"/>
      <c r="U6717" s="1581" t="s">
        <v>3954</v>
      </c>
      <c r="V6717" s="1582"/>
    </row>
    <row r="6718" spans="7:22">
      <c r="G6718" s="1097"/>
      <c r="H6718" s="1261"/>
      <c r="I6718" s="1480" t="s">
        <v>5668</v>
      </c>
      <c r="J6718" s="1081">
        <v>9100000</v>
      </c>
      <c r="K6718" s="1493" t="s">
        <v>5666</v>
      </c>
      <c r="L6718" s="1081">
        <f>12200*1400</f>
        <v>17080000</v>
      </c>
      <c r="M6718" s="1495" t="s">
        <v>4613</v>
      </c>
      <c r="N6718" s="1495">
        <f>230000000+15000000</f>
        <v>245000000</v>
      </c>
      <c r="O6718" s="1383"/>
      <c r="P6718" s="644"/>
      <c r="Q6718" s="1279"/>
      <c r="R6718" s="644"/>
      <c r="S6718" s="1223"/>
      <c r="T6718" s="1191">
        <v>15000</v>
      </c>
      <c r="U6718" s="1232"/>
      <c r="V6718" s="48"/>
    </row>
    <row r="6719" spans="7:22">
      <c r="G6719" s="1098"/>
      <c r="H6719" s="1172"/>
      <c r="I6719" s="1480" t="s">
        <v>5669</v>
      </c>
      <c r="J6719" s="1081">
        <f>40000000*0.91</f>
        <v>36400000</v>
      </c>
      <c r="K6719" s="1493" t="s">
        <v>5667</v>
      </c>
      <c r="L6719" s="1081">
        <v>10000000</v>
      </c>
      <c r="M6719" s="1493" t="s">
        <v>5101</v>
      </c>
      <c r="N6719" s="1081">
        <v>300000000</v>
      </c>
      <c r="O6719" s="1383" t="s">
        <v>5262</v>
      </c>
      <c r="P6719" s="644">
        <v>58800000</v>
      </c>
      <c r="Q6719" s="1410"/>
      <c r="R6719" s="1290"/>
      <c r="S6719" s="1473"/>
      <c r="T6719" s="1191">
        <v>1400</v>
      </c>
      <c r="U6719" s="48"/>
      <c r="V6719" s="49"/>
    </row>
    <row r="6720" spans="7:22">
      <c r="G6720" s="48"/>
      <c r="H6720" s="48"/>
      <c r="I6720" s="1480"/>
      <c r="J6720" s="1081"/>
      <c r="K6720" s="1493"/>
      <c r="L6720" s="1081"/>
      <c r="M6720" s="1493"/>
      <c r="N6720" s="49"/>
      <c r="O6720" s="1495"/>
      <c r="P6720" s="644"/>
      <c r="Q6720" s="1412"/>
      <c r="R6720" s="644"/>
      <c r="S6720" s="1476"/>
      <c r="T6720" s="1191"/>
      <c r="U6720" s="1449"/>
      <c r="V6720" s="1191"/>
    </row>
    <row r="6721" spans="7:22">
      <c r="G6721" s="48"/>
      <c r="H6721" s="48"/>
      <c r="I6721" s="1467"/>
      <c r="J6721" s="1081"/>
      <c r="K6721" s="1493"/>
      <c r="L6721" s="1081"/>
      <c r="M6721" s="1495"/>
      <c r="N6721" s="49"/>
      <c r="O6721" s="1383"/>
      <c r="P6721" s="644"/>
      <c r="Q6721" s="1422"/>
      <c r="R6721" s="644"/>
      <c r="S6721" s="1459"/>
      <c r="T6721" s="1471"/>
      <c r="U6721" s="1475"/>
      <c r="V6721" s="1471"/>
    </row>
    <row r="6722" spans="7:22">
      <c r="G6722" s="48"/>
      <c r="H6722" s="48"/>
      <c r="I6722" s="1472"/>
      <c r="J6722" s="1081"/>
      <c r="K6722" s="1493"/>
      <c r="L6722" s="1081"/>
      <c r="M6722" s="1495"/>
      <c r="N6722" s="49"/>
      <c r="O6722" s="1383"/>
      <c r="P6722" s="644"/>
      <c r="Q6722" s="1422"/>
      <c r="R6722" s="644"/>
      <c r="S6722" s="1449"/>
      <c r="T6722" s="1471"/>
      <c r="U6722" s="1408"/>
      <c r="V6722" s="49"/>
    </row>
    <row r="6723" spans="7:22">
      <c r="G6723" s="48"/>
      <c r="H6723" s="48"/>
      <c r="I6723" s="1472"/>
      <c r="J6723" s="1081"/>
      <c r="K6723" s="1493"/>
      <c r="L6723" s="1081"/>
      <c r="M6723" s="1495"/>
      <c r="N6723" s="49"/>
      <c r="O6723" s="1383"/>
      <c r="P6723" s="644"/>
      <c r="Q6723" s="1382"/>
      <c r="R6723" s="644"/>
      <c r="S6723" s="1449"/>
      <c r="T6723" s="1471"/>
      <c r="U6723" s="1416"/>
      <c r="V6723" s="49"/>
    </row>
    <row r="6724" spans="7:22">
      <c r="G6724" s="48"/>
      <c r="H6724" s="48"/>
      <c r="I6724" s="1472"/>
      <c r="J6724" s="1081"/>
      <c r="K6724" s="1493"/>
      <c r="L6724" s="1081"/>
      <c r="M6724" s="1493"/>
      <c r="N6724" s="49"/>
      <c r="O6724" s="1383"/>
      <c r="P6724" s="644"/>
      <c r="Q6724" s="1383"/>
      <c r="R6724" s="644"/>
      <c r="S6724" s="1451"/>
      <c r="T6724" s="1471"/>
      <c r="U6724" s="1438"/>
      <c r="V6724" s="49"/>
    </row>
    <row r="6725" spans="7:22">
      <c r="G6725" s="48"/>
      <c r="H6725" s="48"/>
      <c r="I6725" s="1472"/>
      <c r="J6725" s="1081"/>
      <c r="K6725" s="1493"/>
      <c r="L6725" s="1081"/>
      <c r="M6725" s="1495"/>
      <c r="N6725" s="49"/>
      <c r="O6725" s="1383"/>
      <c r="P6725" s="644"/>
      <c r="Q6725" s="1385"/>
      <c r="R6725" s="644"/>
      <c r="S6725" s="48"/>
      <c r="T6725" s="1471"/>
      <c r="U6725" s="1416"/>
      <c r="V6725" s="49"/>
    </row>
    <row r="6726" spans="7:22">
      <c r="G6726" s="48"/>
      <c r="H6726" s="48"/>
      <c r="I6726" s="1472"/>
      <c r="J6726" s="1081"/>
      <c r="K6726" s="1493"/>
      <c r="L6726" s="1081"/>
      <c r="M6726" s="1495"/>
      <c r="N6726" s="49"/>
      <c r="O6726" s="644"/>
      <c r="P6726" s="644"/>
      <c r="Q6726" s="1383"/>
      <c r="R6726" s="644"/>
      <c r="S6726" s="48"/>
      <c r="T6726" s="1471"/>
      <c r="U6726" s="1408"/>
      <c r="V6726" s="49"/>
    </row>
    <row r="6727" spans="7:22">
      <c r="G6727" s="48"/>
      <c r="H6727" s="48"/>
      <c r="I6727" s="1468"/>
      <c r="J6727" s="1081"/>
      <c r="K6727" s="1509"/>
      <c r="L6727" s="1081"/>
      <c r="M6727" s="1498"/>
      <c r="N6727" s="49"/>
      <c r="O6727" s="644"/>
      <c r="P6727" s="644"/>
      <c r="Q6727" s="1290"/>
      <c r="R6727" s="644"/>
      <c r="S6727" s="48"/>
      <c r="T6727" s="1471"/>
      <c r="U6727" s="1408"/>
      <c r="V6727" s="49"/>
    </row>
    <row r="6728" spans="7:22">
      <c r="G6728" s="48"/>
      <c r="H6728" s="48"/>
      <c r="I6728" s="1474"/>
      <c r="J6728" s="1081"/>
      <c r="K6728" s="1493"/>
      <c r="L6728" s="1081"/>
      <c r="M6728" s="1498"/>
      <c r="N6728" s="49"/>
      <c r="O6728" s="644"/>
      <c r="P6728" s="644"/>
      <c r="Q6728" s="1383"/>
      <c r="R6728" s="644"/>
      <c r="S6728" s="48"/>
      <c r="T6728" s="1471"/>
      <c r="U6728" s="48"/>
      <c r="V6728" s="48"/>
    </row>
    <row r="6729" spans="7:22">
      <c r="G6729" s="48"/>
      <c r="H6729" s="48"/>
      <c r="I6729" s="1474"/>
      <c r="J6729" s="1081"/>
      <c r="K6729" s="1509"/>
      <c r="L6729" s="1081"/>
      <c r="M6729" s="1498"/>
      <c r="N6729" s="49"/>
      <c r="O6729" s="644"/>
      <c r="P6729" s="644"/>
      <c r="Q6729" s="1290"/>
      <c r="R6729" s="644"/>
      <c r="S6729" s="48"/>
      <c r="T6729" s="1471"/>
      <c r="U6729" s="48"/>
      <c r="V6729" s="48"/>
    </row>
    <row r="6730" spans="7:22">
      <c r="G6730" s="48"/>
      <c r="H6730" s="48"/>
      <c r="I6730" s="1474"/>
      <c r="J6730" s="1081"/>
      <c r="K6730" s="1509"/>
      <c r="L6730" s="1081"/>
      <c r="M6730" s="1498"/>
      <c r="N6730" s="49"/>
      <c r="O6730" s="644"/>
      <c r="P6730" s="644"/>
      <c r="Q6730" s="1290"/>
      <c r="R6730" s="644"/>
      <c r="S6730" s="48"/>
      <c r="T6730" s="1471"/>
      <c r="U6730" s="48"/>
      <c r="V6730" s="48"/>
    </row>
    <row r="6731" spans="7:22">
      <c r="G6731" s="48"/>
      <c r="H6731" s="48"/>
      <c r="I6731" s="1475"/>
      <c r="J6731" s="49"/>
      <c r="K6731" s="1498"/>
      <c r="L6731" s="49"/>
      <c r="M6731" s="1498"/>
      <c r="N6731" s="49"/>
      <c r="O6731" s="644"/>
      <c r="P6731" s="644"/>
      <c r="Q6731" s="1290"/>
      <c r="R6731" s="644"/>
      <c r="S6731" s="48"/>
      <c r="T6731" s="1471"/>
      <c r="U6731" s="48"/>
      <c r="V6731" s="48"/>
    </row>
    <row r="6732" spans="7:22">
      <c r="G6732" s="48"/>
      <c r="H6732" s="48"/>
      <c r="I6732" s="1475"/>
      <c r="J6732" s="49"/>
      <c r="K6732" s="1498"/>
      <c r="L6732" s="49"/>
      <c r="M6732" s="1498"/>
      <c r="N6732" s="49"/>
      <c r="O6732" s="644"/>
      <c r="P6732" s="644"/>
      <c r="Q6732" s="1290"/>
      <c r="R6732" s="644"/>
      <c r="S6732" s="48"/>
      <c r="T6732" s="1471"/>
      <c r="U6732" s="48"/>
      <c r="V6732" s="48"/>
    </row>
    <row r="6733" spans="7:22">
      <c r="G6733" s="48"/>
      <c r="H6733" s="48"/>
      <c r="I6733" s="1475"/>
      <c r="J6733" s="49"/>
      <c r="K6733" s="1498"/>
      <c r="L6733" s="49"/>
      <c r="M6733" s="1498"/>
      <c r="N6733" s="49"/>
      <c r="O6733" s="644"/>
      <c r="P6733" s="644"/>
      <c r="Q6733" s="1290"/>
      <c r="R6733" s="644"/>
      <c r="S6733" s="48"/>
      <c r="T6733" s="1471"/>
      <c r="U6733" s="48"/>
      <c r="V6733" s="48"/>
    </row>
    <row r="6734" spans="7:22">
      <c r="G6734" s="48"/>
      <c r="H6734" s="48"/>
      <c r="I6734" s="1475"/>
      <c r="J6734" s="49"/>
      <c r="K6734" s="1498"/>
      <c r="L6734" s="49"/>
      <c r="M6734" s="1498"/>
      <c r="N6734" s="49"/>
      <c r="O6734" s="644"/>
      <c r="P6734" s="644"/>
      <c r="Q6734" s="1290"/>
      <c r="R6734" s="644"/>
      <c r="S6734" s="48"/>
      <c r="T6734" s="1471"/>
      <c r="U6734" s="48"/>
      <c r="V6734" s="48"/>
    </row>
    <row r="6735" spans="7:22">
      <c r="G6735" s="48"/>
      <c r="H6735" s="48"/>
      <c r="I6735" s="1475"/>
      <c r="J6735" s="49"/>
      <c r="K6735" s="1498"/>
      <c r="L6735" s="49"/>
      <c r="M6735" s="1498"/>
      <c r="N6735" s="49"/>
      <c r="O6735" s="644"/>
      <c r="P6735" s="644"/>
      <c r="Q6735" s="1290"/>
      <c r="R6735" s="644"/>
      <c r="S6735" s="48"/>
      <c r="T6735" s="1471"/>
      <c r="U6735" s="48"/>
      <c r="V6735" s="48"/>
    </row>
    <row r="6736" spans="7:22">
      <c r="G6736" s="48"/>
      <c r="H6736" s="48"/>
      <c r="I6736" s="48"/>
      <c r="J6736" s="49"/>
      <c r="K6736" s="1498"/>
      <c r="L6736" s="49"/>
      <c r="M6736" s="1498"/>
      <c r="N6736" s="49"/>
      <c r="O6736" s="644"/>
      <c r="P6736" s="644"/>
      <c r="Q6736" s="1290"/>
      <c r="R6736" s="644"/>
      <c r="S6736" s="48"/>
      <c r="T6736" s="1471"/>
      <c r="U6736" s="48"/>
      <c r="V6736" s="48"/>
    </row>
    <row r="6737" spans="7:22">
      <c r="G6737" s="48"/>
      <c r="H6737" s="48"/>
      <c r="I6737" s="48"/>
      <c r="J6737" s="954">
        <f>SUM(J6718:J6736)</f>
        <v>45500000</v>
      </c>
      <c r="K6737" s="954"/>
      <c r="L6737" s="954">
        <f>SUM(L6718:L6736)</f>
        <v>27080000</v>
      </c>
      <c r="M6737" s="1498"/>
      <c r="N6737" s="954">
        <f>SUM(N6718:N6736)</f>
        <v>545000000</v>
      </c>
      <c r="O6737" s="644"/>
      <c r="P6737" s="969">
        <f>SUM(P6718:P6725)</f>
        <v>58800000</v>
      </c>
      <c r="Q6737" s="969"/>
      <c r="R6737" s="969">
        <f>SUM(R6718:R6736)</f>
        <v>0</v>
      </c>
      <c r="S6737" s="48"/>
      <c r="T6737" s="1178">
        <f>SUM(T6718:T6736)</f>
        <v>16400</v>
      </c>
      <c r="U6737" s="48"/>
      <c r="V6737" s="878">
        <f>SUM(V6718:V6736)</f>
        <v>0</v>
      </c>
    </row>
    <row r="6738" spans="7:22">
      <c r="T6738" s="1470"/>
    </row>
    <row r="6739" spans="7:22">
      <c r="T6739" s="1470"/>
    </row>
    <row r="6740" spans="7:22">
      <c r="R6740" s="661"/>
      <c r="T6740" s="1470"/>
    </row>
    <row r="6741" spans="7:22">
      <c r="T6741" s="1470"/>
    </row>
    <row r="6742" spans="7:22">
      <c r="K6742" s="3" t="s">
        <v>5310</v>
      </c>
      <c r="T6742" s="1470"/>
    </row>
    <row r="6743" spans="7:22">
      <c r="I6743" s="946"/>
      <c r="M6743" s="1533" t="s">
        <v>3699</v>
      </c>
      <c r="O6743" s="1535" t="s">
        <v>3741</v>
      </c>
      <c r="P6743" s="1512">
        <f>P6737-R6737</f>
        <v>58800000</v>
      </c>
      <c r="S6743" s="906" t="s">
        <v>4049</v>
      </c>
      <c r="T6743" s="1107">
        <f>T6737-V6737</f>
        <v>16400</v>
      </c>
    </row>
    <row r="6744" spans="7:22">
      <c r="G6744" s="1574" t="s">
        <v>3530</v>
      </c>
      <c r="H6744" s="1574"/>
      <c r="I6744" s="1574"/>
      <c r="J6744" s="3">
        <f>J6737+L6737</f>
        <v>72580000</v>
      </c>
      <c r="K6744" s="1009"/>
      <c r="L6744" s="3"/>
      <c r="M6744" s="1533" t="s">
        <v>3664</v>
      </c>
      <c r="N6744" s="1527"/>
      <c r="O6744" s="1535" t="s">
        <v>4066</v>
      </c>
      <c r="P6744" s="1512"/>
      <c r="T6744" s="1470"/>
    </row>
    <row r="6745" spans="7:22">
      <c r="G6745" s="1574" t="s">
        <v>3512</v>
      </c>
      <c r="H6745" s="1574"/>
      <c r="I6745" s="1574"/>
      <c r="J6745" s="3">
        <f>N6737-J6744</f>
        <v>472420000</v>
      </c>
      <c r="K6745" s="1009"/>
      <c r="L6745" s="3"/>
      <c r="M6745" s="1528"/>
      <c r="O6745" s="1529"/>
      <c r="Q6745" s="661"/>
      <c r="T6745" s="1470"/>
    </row>
    <row r="6746" spans="7:22">
      <c r="G6746" s="1574" t="s">
        <v>3531</v>
      </c>
      <c r="H6746" s="1574"/>
      <c r="I6746" s="1574"/>
      <c r="J6746" s="3">
        <f>+T6743</f>
        <v>16400</v>
      </c>
      <c r="Q6746" s="3"/>
      <c r="T6746" s="1470"/>
    </row>
    <row r="6747" spans="7:22">
      <c r="G6747" s="1564" t="s">
        <v>4455</v>
      </c>
      <c r="H6747" s="1564"/>
      <c r="I6747" s="1564"/>
      <c r="J6747" s="3">
        <f>+P6743</f>
        <v>58800000</v>
      </c>
      <c r="R6747" s="3"/>
      <c r="T6747" s="1470"/>
    </row>
    <row r="6752" spans="7:22">
      <c r="T6752" s="1470"/>
    </row>
    <row r="6753" spans="7:22">
      <c r="T6753" s="1470"/>
    </row>
    <row r="6754" spans="7:22">
      <c r="G6754" s="1008">
        <v>46154</v>
      </c>
      <c r="H6754" s="1169"/>
      <c r="I6754" s="1575" t="s">
        <v>3510</v>
      </c>
      <c r="J6754" s="1576"/>
      <c r="K6754" s="1575" t="s">
        <v>3509</v>
      </c>
      <c r="L6754" s="1576"/>
      <c r="M6754" s="1575" t="s">
        <v>3541</v>
      </c>
      <c r="N6754" s="1576"/>
      <c r="O6754" s="1577" t="s">
        <v>3598</v>
      </c>
      <c r="P6754" s="1578"/>
      <c r="Q6754" s="1579" t="s">
        <v>3599</v>
      </c>
      <c r="R6754" s="1580"/>
      <c r="S6754" s="1581" t="s">
        <v>3953</v>
      </c>
      <c r="T6754" s="1582"/>
      <c r="U6754" s="1581" t="s">
        <v>3954</v>
      </c>
      <c r="V6754" s="1582"/>
    </row>
    <row r="6755" spans="7:22">
      <c r="G6755" s="1097"/>
      <c r="H6755" s="1261"/>
      <c r="I6755" s="1480" t="s">
        <v>5675</v>
      </c>
      <c r="J6755" s="1081">
        <f>23000000*0.91</f>
        <v>20930000</v>
      </c>
      <c r="K6755" s="1493" t="s">
        <v>5678</v>
      </c>
      <c r="L6755" s="1081">
        <v>400000</v>
      </c>
      <c r="M6755" s="1495" t="s">
        <v>4613</v>
      </c>
      <c r="N6755" s="1495">
        <v>472500000</v>
      </c>
      <c r="O6755" s="1383"/>
      <c r="P6755" s="644"/>
      <c r="Q6755" s="1279"/>
      <c r="R6755" s="644"/>
      <c r="S6755" s="1223"/>
      <c r="T6755" s="1191">
        <v>16400</v>
      </c>
      <c r="U6755" s="1232"/>
      <c r="V6755" s="48"/>
    </row>
    <row r="6756" spans="7:22">
      <c r="G6756" s="1098"/>
      <c r="H6756" s="1172"/>
      <c r="I6756" s="1480" t="s">
        <v>5676</v>
      </c>
      <c r="J6756" s="1081">
        <v>10000000</v>
      </c>
      <c r="K6756" s="1493" t="s">
        <v>4541</v>
      </c>
      <c r="L6756" s="1081">
        <v>400000</v>
      </c>
      <c r="M6756" s="1493" t="s">
        <v>5670</v>
      </c>
      <c r="N6756" s="1081">
        <v>45000000</v>
      </c>
      <c r="O6756" s="1383" t="s">
        <v>5262</v>
      </c>
      <c r="P6756" s="644">
        <v>50000000</v>
      </c>
      <c r="Q6756" s="1410"/>
      <c r="R6756" s="1290"/>
      <c r="S6756" s="1481" t="s">
        <v>5671</v>
      </c>
      <c r="T6756" s="1191">
        <v>200</v>
      </c>
      <c r="U6756" s="48" t="s">
        <v>5672</v>
      </c>
      <c r="V6756" s="49">
        <v>300</v>
      </c>
    </row>
    <row r="6757" spans="7:22">
      <c r="G6757" s="48"/>
      <c r="H6757" s="48"/>
      <c r="I6757" s="1480" t="s">
        <v>5679</v>
      </c>
      <c r="J6757" s="1081">
        <v>36800000</v>
      </c>
      <c r="K6757" s="1493" t="s">
        <v>3058</v>
      </c>
      <c r="L6757" s="1081">
        <v>10500000</v>
      </c>
      <c r="M6757" s="1493" t="s">
        <v>5673</v>
      </c>
      <c r="N6757" s="49">
        <v>10000000</v>
      </c>
      <c r="O6757" s="1495"/>
      <c r="P6757" s="644"/>
      <c r="Q6757" s="1412"/>
      <c r="R6757" s="644"/>
      <c r="S6757" s="1482" t="s">
        <v>5674</v>
      </c>
      <c r="T6757" s="1191">
        <v>100</v>
      </c>
      <c r="U6757" s="1449"/>
      <c r="V6757" s="1191"/>
    </row>
    <row r="6758" spans="7:22">
      <c r="G6758" s="48"/>
      <c r="H6758" s="48"/>
      <c r="I6758" s="1480" t="s">
        <v>5680</v>
      </c>
      <c r="J6758" s="1081">
        <v>27600000</v>
      </c>
      <c r="K6758" s="1493"/>
      <c r="L6758" s="1081"/>
      <c r="M6758" s="1495" t="s">
        <v>5674</v>
      </c>
      <c r="N6758" s="49">
        <v>61000000</v>
      </c>
      <c r="O6758" s="1383"/>
      <c r="P6758" s="644"/>
      <c r="Q6758" s="1422"/>
      <c r="R6758" s="644"/>
      <c r="S6758" s="1459"/>
      <c r="T6758" s="1471"/>
      <c r="U6758" s="1484" t="s">
        <v>5686</v>
      </c>
      <c r="V6758" s="1471">
        <v>3100</v>
      </c>
    </row>
    <row r="6759" spans="7:22">
      <c r="G6759" s="48"/>
      <c r="H6759" s="48"/>
      <c r="I6759" s="1480" t="s">
        <v>5681</v>
      </c>
      <c r="J6759" s="1081">
        <v>36800000</v>
      </c>
      <c r="K6759" s="1493"/>
      <c r="L6759" s="1081"/>
      <c r="M6759" s="1495" t="s">
        <v>5677</v>
      </c>
      <c r="N6759" s="49">
        <v>3600000</v>
      </c>
      <c r="O6759" s="1383"/>
      <c r="P6759" s="644"/>
      <c r="Q6759" s="1422"/>
      <c r="R6759" s="644"/>
      <c r="S6759" s="1449"/>
      <c r="T6759" s="1471"/>
      <c r="U6759" s="1408"/>
      <c r="V6759" s="49"/>
    </row>
    <row r="6760" spans="7:22">
      <c r="G6760" s="48"/>
      <c r="H6760" s="48"/>
      <c r="I6760" s="1480" t="s">
        <v>5682</v>
      </c>
      <c r="J6760" s="1081">
        <f>30000000*0.92</f>
        <v>27600000</v>
      </c>
      <c r="K6760" s="1493"/>
      <c r="L6760" s="1081"/>
      <c r="M6760" s="1495" t="s">
        <v>5568</v>
      </c>
      <c r="N6760" s="49">
        <v>291200000</v>
      </c>
      <c r="O6760" s="1383"/>
      <c r="P6760" s="644"/>
      <c r="Q6760" s="1382"/>
      <c r="R6760" s="644"/>
      <c r="S6760" s="1449"/>
      <c r="T6760" s="1471"/>
      <c r="U6760" s="1416"/>
      <c r="V6760" s="49"/>
    </row>
    <row r="6761" spans="7:22">
      <c r="G6761" s="48"/>
      <c r="H6761" s="48"/>
      <c r="I6761" s="1480" t="s">
        <v>5683</v>
      </c>
      <c r="J6761" s="1081">
        <v>36800000</v>
      </c>
      <c r="K6761" s="1493"/>
      <c r="L6761" s="1081"/>
      <c r="M6761" s="1493"/>
      <c r="N6761" s="49"/>
      <c r="O6761" s="1383"/>
      <c r="P6761" s="644"/>
      <c r="Q6761" s="1383"/>
      <c r="R6761" s="644"/>
      <c r="S6761" s="1451"/>
      <c r="T6761" s="1471"/>
      <c r="U6761" s="1438"/>
      <c r="V6761" s="49"/>
    </row>
    <row r="6762" spans="7:22">
      <c r="G6762" s="48"/>
      <c r="H6762" s="48"/>
      <c r="I6762" s="1480" t="s">
        <v>4834</v>
      </c>
      <c r="J6762" s="1081">
        <v>46000000</v>
      </c>
      <c r="K6762" s="1493"/>
      <c r="L6762" s="1081"/>
      <c r="M6762" s="1495"/>
      <c r="N6762" s="49"/>
      <c r="O6762" s="1383"/>
      <c r="P6762" s="644"/>
      <c r="Q6762" s="1385"/>
      <c r="R6762" s="644"/>
      <c r="S6762" s="48"/>
      <c r="T6762" s="1471"/>
      <c r="U6762" s="1416"/>
      <c r="V6762" s="49"/>
    </row>
    <row r="6763" spans="7:22">
      <c r="G6763" s="48"/>
      <c r="H6763" s="48"/>
      <c r="I6763" s="1480" t="s">
        <v>5684</v>
      </c>
      <c r="J6763" s="1081">
        <f>40000000*0.93</f>
        <v>37200000</v>
      </c>
      <c r="K6763" s="1493"/>
      <c r="L6763" s="1081"/>
      <c r="M6763" s="1495"/>
      <c r="N6763" s="49"/>
      <c r="O6763" s="644"/>
      <c r="P6763" s="644"/>
      <c r="Q6763" s="1383"/>
      <c r="R6763" s="644"/>
      <c r="S6763" s="48"/>
      <c r="T6763" s="1471"/>
      <c r="U6763" s="1408"/>
      <c r="V6763" s="49"/>
    </row>
    <row r="6764" spans="7:22">
      <c r="G6764" s="48"/>
      <c r="H6764" s="48"/>
      <c r="I6764" s="1483" t="s">
        <v>5685</v>
      </c>
      <c r="J6764" s="1081">
        <f>35000000*0.93</f>
        <v>32550000</v>
      </c>
      <c r="K6764" s="1509"/>
      <c r="L6764" s="1081"/>
      <c r="M6764" s="1498"/>
      <c r="N6764" s="49"/>
      <c r="O6764" s="644"/>
      <c r="P6764" s="644"/>
      <c r="Q6764" s="1290"/>
      <c r="R6764" s="644"/>
      <c r="S6764" s="48"/>
      <c r="T6764" s="1471"/>
      <c r="U6764" s="1408"/>
      <c r="V6764" s="49"/>
    </row>
    <row r="6765" spans="7:22">
      <c r="G6765" s="48"/>
      <c r="H6765" s="48"/>
      <c r="I6765" s="1474"/>
      <c r="J6765" s="1081"/>
      <c r="K6765" s="1493"/>
      <c r="L6765" s="1081"/>
      <c r="M6765" s="1498"/>
      <c r="N6765" s="49"/>
      <c r="O6765" s="644"/>
      <c r="P6765" s="644"/>
      <c r="Q6765" s="1383"/>
      <c r="R6765" s="644"/>
      <c r="S6765" s="48"/>
      <c r="T6765" s="1471"/>
      <c r="U6765" s="48"/>
      <c r="V6765" s="48"/>
    </row>
    <row r="6766" spans="7:22">
      <c r="G6766" s="48"/>
      <c r="H6766" s="48"/>
      <c r="I6766" s="1474"/>
      <c r="J6766" s="1081"/>
      <c r="K6766" s="1509"/>
      <c r="L6766" s="1081"/>
      <c r="M6766" s="1498"/>
      <c r="N6766" s="49"/>
      <c r="O6766" s="644"/>
      <c r="P6766" s="644"/>
      <c r="Q6766" s="1290"/>
      <c r="R6766" s="644"/>
      <c r="S6766" s="48"/>
      <c r="T6766" s="1471"/>
      <c r="U6766" s="48"/>
      <c r="V6766" s="48"/>
    </row>
    <row r="6767" spans="7:22">
      <c r="G6767" s="48"/>
      <c r="H6767" s="48"/>
      <c r="I6767" s="1474"/>
      <c r="J6767" s="1081"/>
      <c r="K6767" s="1509"/>
      <c r="L6767" s="1081"/>
      <c r="M6767" s="1498"/>
      <c r="N6767" s="49"/>
      <c r="O6767" s="644"/>
      <c r="P6767" s="644"/>
      <c r="Q6767" s="1290"/>
      <c r="R6767" s="644"/>
      <c r="S6767" s="48"/>
      <c r="T6767" s="1471"/>
      <c r="U6767" s="48"/>
      <c r="V6767" s="48"/>
    </row>
    <row r="6768" spans="7:22">
      <c r="G6768" s="48"/>
      <c r="H6768" s="48"/>
      <c r="I6768" s="1475"/>
      <c r="J6768" s="49"/>
      <c r="K6768" s="1498"/>
      <c r="L6768" s="49"/>
      <c r="M6768" s="1498"/>
      <c r="N6768" s="49"/>
      <c r="O6768" s="644"/>
      <c r="P6768" s="644"/>
      <c r="Q6768" s="1290"/>
      <c r="R6768" s="644"/>
      <c r="S6768" s="48"/>
      <c r="T6768" s="1471"/>
      <c r="U6768" s="48"/>
      <c r="V6768" s="48"/>
    </row>
    <row r="6769" spans="7:22">
      <c r="G6769" s="48"/>
      <c r="H6769" s="48"/>
      <c r="I6769" s="1475"/>
      <c r="J6769" s="49"/>
      <c r="K6769" s="1498"/>
      <c r="L6769" s="49"/>
      <c r="M6769" s="1498"/>
      <c r="N6769" s="49"/>
      <c r="O6769" s="644"/>
      <c r="P6769" s="644"/>
      <c r="Q6769" s="1290"/>
      <c r="R6769" s="644"/>
      <c r="S6769" s="48"/>
      <c r="T6769" s="1471"/>
      <c r="U6769" s="48"/>
      <c r="V6769" s="48"/>
    </row>
    <row r="6770" spans="7:22">
      <c r="G6770" s="48"/>
      <c r="H6770" s="48"/>
      <c r="I6770" s="1475"/>
      <c r="J6770" s="49"/>
      <c r="K6770" s="1498"/>
      <c r="L6770" s="49"/>
      <c r="M6770" s="1498"/>
      <c r="N6770" s="49"/>
      <c r="O6770" s="644"/>
      <c r="P6770" s="644"/>
      <c r="Q6770" s="1290"/>
      <c r="R6770" s="644"/>
      <c r="S6770" s="48"/>
      <c r="T6770" s="1471"/>
      <c r="U6770" s="48"/>
      <c r="V6770" s="48"/>
    </row>
    <row r="6771" spans="7:22">
      <c r="G6771" s="48"/>
      <c r="H6771" s="48"/>
      <c r="I6771" s="1475"/>
      <c r="J6771" s="49"/>
      <c r="K6771" s="1498"/>
      <c r="L6771" s="49"/>
      <c r="M6771" s="1498"/>
      <c r="N6771" s="49"/>
      <c r="O6771" s="644"/>
      <c r="P6771" s="644"/>
      <c r="Q6771" s="1290"/>
      <c r="R6771" s="644"/>
      <c r="S6771" s="48"/>
      <c r="T6771" s="1471"/>
      <c r="U6771" s="48"/>
      <c r="V6771" s="48"/>
    </row>
    <row r="6772" spans="7:22">
      <c r="G6772" s="48"/>
      <c r="H6772" s="48"/>
      <c r="I6772" s="1475"/>
      <c r="J6772" s="49"/>
      <c r="K6772" s="1498"/>
      <c r="L6772" s="49"/>
      <c r="M6772" s="1498"/>
      <c r="N6772" s="49"/>
      <c r="O6772" s="644"/>
      <c r="P6772" s="644"/>
      <c r="Q6772" s="1290"/>
      <c r="R6772" s="644"/>
      <c r="S6772" s="48"/>
      <c r="T6772" s="1471"/>
      <c r="U6772" s="48"/>
      <c r="V6772" s="48"/>
    </row>
    <row r="6773" spans="7:22">
      <c r="G6773" s="48"/>
      <c r="H6773" s="48"/>
      <c r="I6773" s="48"/>
      <c r="J6773" s="49"/>
      <c r="K6773" s="1498"/>
      <c r="L6773" s="49"/>
      <c r="M6773" s="1498"/>
      <c r="N6773" s="49"/>
      <c r="O6773" s="644"/>
      <c r="P6773" s="644"/>
      <c r="Q6773" s="1290"/>
      <c r="R6773" s="644"/>
      <c r="S6773" s="48"/>
      <c r="T6773" s="1471"/>
      <c r="U6773" s="48"/>
      <c r="V6773" s="48"/>
    </row>
    <row r="6774" spans="7:22">
      <c r="G6774" s="48"/>
      <c r="H6774" s="48"/>
      <c r="I6774" s="48"/>
      <c r="J6774" s="954">
        <f>SUM(J6755:J6773)</f>
        <v>312280000</v>
      </c>
      <c r="K6774" s="954"/>
      <c r="L6774" s="954">
        <f>SUM(L6755:L6773)</f>
        <v>11300000</v>
      </c>
      <c r="M6774" s="1498"/>
      <c r="N6774" s="954">
        <f>SUM(N6755:N6773)</f>
        <v>883300000</v>
      </c>
      <c r="O6774" s="644"/>
      <c r="P6774" s="969">
        <f>SUM(P6755:P6762)</f>
        <v>50000000</v>
      </c>
      <c r="Q6774" s="969"/>
      <c r="R6774" s="969">
        <f>SUM(R6755:R6773)</f>
        <v>0</v>
      </c>
      <c r="S6774" s="48"/>
      <c r="T6774" s="1178">
        <f>SUM(T6755:T6773)</f>
        <v>16700</v>
      </c>
      <c r="U6774" s="48"/>
      <c r="V6774" s="878">
        <f>SUM(V6755:V6773)</f>
        <v>3400</v>
      </c>
    </row>
    <row r="6775" spans="7:22">
      <c r="T6775" s="1470"/>
    </row>
    <row r="6776" spans="7:22">
      <c r="T6776" s="1470"/>
    </row>
    <row r="6777" spans="7:22">
      <c r="R6777" s="661"/>
      <c r="T6777" s="1470"/>
    </row>
    <row r="6778" spans="7:22">
      <c r="T6778" s="1470"/>
    </row>
    <row r="6779" spans="7:22">
      <c r="K6779" s="3" t="s">
        <v>5310</v>
      </c>
      <c r="T6779" s="1470"/>
    </row>
    <row r="6780" spans="7:22">
      <c r="I6780" s="946"/>
      <c r="M6780" s="1533" t="s">
        <v>3699</v>
      </c>
      <c r="O6780" s="1535" t="s">
        <v>3741</v>
      </c>
      <c r="P6780" s="1512">
        <f>P6774-R6774</f>
        <v>50000000</v>
      </c>
      <c r="S6780" s="906" t="s">
        <v>4049</v>
      </c>
      <c r="T6780" s="1107">
        <f>T6774-V6774</f>
        <v>13300</v>
      </c>
    </row>
    <row r="6781" spans="7:22">
      <c r="G6781" s="1574" t="s">
        <v>3530</v>
      </c>
      <c r="H6781" s="1574"/>
      <c r="I6781" s="1574"/>
      <c r="J6781" s="3">
        <f>J6774+L6774</f>
        <v>323580000</v>
      </c>
      <c r="K6781" s="1009"/>
      <c r="L6781" s="3"/>
      <c r="M6781" s="1533" t="s">
        <v>3664</v>
      </c>
      <c r="N6781" s="1527"/>
      <c r="O6781" s="1535" t="s">
        <v>4066</v>
      </c>
      <c r="P6781" s="1512"/>
      <c r="T6781" s="1470"/>
    </row>
    <row r="6782" spans="7:22">
      <c r="G6782" s="1574" t="s">
        <v>3512</v>
      </c>
      <c r="H6782" s="1574"/>
      <c r="I6782" s="1574"/>
      <c r="J6782" s="3">
        <f>N6774-J6781</f>
        <v>559720000</v>
      </c>
      <c r="K6782" s="1009"/>
      <c r="L6782" s="3"/>
      <c r="M6782" s="1528"/>
      <c r="O6782" s="1529"/>
      <c r="Q6782" s="661"/>
      <c r="T6782" s="1470"/>
    </row>
    <row r="6783" spans="7:22">
      <c r="G6783" s="1574" t="s">
        <v>3531</v>
      </c>
      <c r="H6783" s="1574"/>
      <c r="I6783" s="1574"/>
      <c r="J6783" s="3">
        <f>+T6780</f>
        <v>13300</v>
      </c>
      <c r="Q6783" s="3"/>
      <c r="T6783" s="1470"/>
    </row>
    <row r="6784" spans="7:22">
      <c r="G6784" s="1564" t="s">
        <v>4455</v>
      </c>
      <c r="H6784" s="1564"/>
      <c r="I6784" s="1564"/>
      <c r="J6784" s="3">
        <f>+P6780</f>
        <v>50000000</v>
      </c>
      <c r="R6784" s="3"/>
      <c r="T6784" s="1470"/>
    </row>
    <row r="6785" spans="7:22">
      <c r="T6785" s="1470"/>
    </row>
    <row r="6786" spans="7:22">
      <c r="T6786" s="1470"/>
    </row>
    <row r="6789" spans="7:22">
      <c r="T6789" s="1470"/>
    </row>
    <row r="6790" spans="7:22">
      <c r="T6790" s="1470"/>
    </row>
    <row r="6791" spans="7:22">
      <c r="T6791" s="1470"/>
    </row>
    <row r="6792" spans="7:22">
      <c r="G6792" s="1008">
        <v>46155</v>
      </c>
      <c r="H6792" s="1169"/>
      <c r="I6792" s="1575" t="s">
        <v>3510</v>
      </c>
      <c r="J6792" s="1576"/>
      <c r="K6792" s="1575" t="s">
        <v>3509</v>
      </c>
      <c r="L6792" s="1576"/>
      <c r="M6792" s="1575" t="s">
        <v>3541</v>
      </c>
      <c r="N6792" s="1576"/>
      <c r="O6792" s="1577" t="s">
        <v>3598</v>
      </c>
      <c r="P6792" s="1578"/>
      <c r="Q6792" s="1579" t="s">
        <v>3599</v>
      </c>
      <c r="R6792" s="1580"/>
      <c r="S6792" s="1581" t="s">
        <v>3953</v>
      </c>
      <c r="T6792" s="1582"/>
      <c r="U6792" s="1581" t="s">
        <v>3954</v>
      </c>
      <c r="V6792" s="1582"/>
    </row>
    <row r="6793" spans="7:22">
      <c r="G6793" s="1097"/>
      <c r="H6793" s="1261"/>
      <c r="I6793" s="1487" t="s">
        <v>5691</v>
      </c>
      <c r="J6793" s="1081">
        <v>91000000</v>
      </c>
      <c r="K6793" s="1493" t="s">
        <v>4597</v>
      </c>
      <c r="L6793" s="1081">
        <v>389200000</v>
      </c>
      <c r="M6793" s="1495" t="s">
        <v>4613</v>
      </c>
      <c r="N6793" s="1495">
        <v>559400000</v>
      </c>
      <c r="O6793" s="1383"/>
      <c r="P6793" s="644"/>
      <c r="Q6793" s="1279"/>
      <c r="R6793" s="644"/>
      <c r="S6793" s="1223"/>
      <c r="T6793" s="1191">
        <v>13300</v>
      </c>
      <c r="U6793" s="1232"/>
      <c r="V6793" s="48"/>
    </row>
    <row r="6794" spans="7:22">
      <c r="G6794" s="1098"/>
      <c r="H6794" s="1172"/>
      <c r="I6794" s="1487" t="s">
        <v>5692</v>
      </c>
      <c r="J6794" s="1081">
        <v>92000000</v>
      </c>
      <c r="K6794" s="1493" t="s">
        <v>4822</v>
      </c>
      <c r="L6794" s="1081">
        <v>1000000</v>
      </c>
      <c r="M6794" s="1493" t="s">
        <v>5568</v>
      </c>
      <c r="N6794" s="1081">
        <v>1423000000</v>
      </c>
      <c r="O6794" s="1383" t="s">
        <v>5262</v>
      </c>
      <c r="P6794" s="644">
        <v>50000000</v>
      </c>
      <c r="Q6794" s="1410"/>
      <c r="R6794" s="1290"/>
      <c r="S6794" s="1481"/>
      <c r="T6794" s="1191"/>
      <c r="U6794" s="48" t="s">
        <v>5687</v>
      </c>
      <c r="V6794" s="49">
        <v>1700</v>
      </c>
    </row>
    <row r="6795" spans="7:22">
      <c r="G6795" s="48"/>
      <c r="H6795" s="48"/>
      <c r="I6795" s="1487" t="s">
        <v>5693</v>
      </c>
      <c r="J6795" s="1081">
        <v>45000000</v>
      </c>
      <c r="K6795" s="1493" t="s">
        <v>5485</v>
      </c>
      <c r="L6795" s="1081">
        <v>600000</v>
      </c>
      <c r="M6795" s="1493"/>
      <c r="N6795" s="49"/>
      <c r="O6795" s="1495"/>
      <c r="P6795" s="644"/>
      <c r="Q6795" s="1412"/>
      <c r="R6795" s="644"/>
      <c r="S6795" s="1482"/>
      <c r="T6795" s="1191"/>
      <c r="U6795" s="1484" t="s">
        <v>5688</v>
      </c>
      <c r="V6795" s="1191">
        <v>11500</v>
      </c>
    </row>
    <row r="6796" spans="7:22">
      <c r="G6796" s="48"/>
      <c r="H6796" s="48"/>
      <c r="I6796" s="1487" t="s">
        <v>5694</v>
      </c>
      <c r="J6796" s="1081">
        <v>46000000</v>
      </c>
      <c r="K6796" s="1493" t="s">
        <v>5689</v>
      </c>
      <c r="L6796" s="1081">
        <v>46500000</v>
      </c>
      <c r="M6796" s="1495"/>
      <c r="N6796" s="49"/>
      <c r="O6796" s="1383"/>
      <c r="P6796" s="644"/>
      <c r="Q6796" s="1422"/>
      <c r="R6796" s="644"/>
      <c r="S6796" s="1459"/>
      <c r="T6796" s="1471"/>
      <c r="U6796" s="1484"/>
      <c r="V6796" s="1471"/>
    </row>
    <row r="6797" spans="7:22">
      <c r="G6797" s="48"/>
      <c r="H6797" s="48"/>
      <c r="I6797" s="1487" t="s">
        <v>5695</v>
      </c>
      <c r="J6797" s="1081">
        <f>66000000*0.93</f>
        <v>61380000</v>
      </c>
      <c r="K6797" s="1493" t="s">
        <v>5690</v>
      </c>
      <c r="L6797" s="1081">
        <v>10000000</v>
      </c>
      <c r="M6797" s="1495"/>
      <c r="N6797" s="49"/>
      <c r="O6797" s="1383"/>
      <c r="P6797" s="644"/>
      <c r="Q6797" s="1422"/>
      <c r="R6797" s="644"/>
      <c r="S6797" s="1449"/>
      <c r="T6797" s="1471"/>
      <c r="U6797" s="1408"/>
      <c r="V6797" s="49"/>
    </row>
    <row r="6798" spans="7:22">
      <c r="G6798" s="48"/>
      <c r="H6798" s="48"/>
      <c r="I6798" s="1487" t="s">
        <v>5696</v>
      </c>
      <c r="J6798" s="1081">
        <f>40000000*0.93</f>
        <v>37200000</v>
      </c>
      <c r="K6798" s="1493" t="s">
        <v>4541</v>
      </c>
      <c r="L6798" s="1081">
        <v>1000000</v>
      </c>
      <c r="M6798" s="1495"/>
      <c r="N6798" s="49"/>
      <c r="O6798" s="1383"/>
      <c r="P6798" s="644"/>
      <c r="Q6798" s="1382"/>
      <c r="R6798" s="644"/>
      <c r="S6798" s="1449"/>
      <c r="T6798" s="1471"/>
      <c r="U6798" s="1416"/>
      <c r="V6798" s="49"/>
    </row>
    <row r="6799" spans="7:22">
      <c r="G6799" s="48"/>
      <c r="H6799" s="48"/>
      <c r="I6799" s="1487" t="s">
        <v>5697</v>
      </c>
      <c r="J6799" s="1081">
        <f>20000000*0.93</f>
        <v>18600000</v>
      </c>
      <c r="K6799" s="1493" t="s">
        <v>5699</v>
      </c>
      <c r="L6799" s="1081">
        <v>2000000</v>
      </c>
      <c r="M6799" s="1493"/>
      <c r="N6799" s="49"/>
      <c r="O6799" s="1383"/>
      <c r="P6799" s="644"/>
      <c r="Q6799" s="1383"/>
      <c r="R6799" s="644"/>
      <c r="S6799" s="1451"/>
      <c r="T6799" s="1471"/>
      <c r="U6799" s="1438"/>
      <c r="V6799" s="49"/>
    </row>
    <row r="6800" spans="7:22">
      <c r="G6800" s="48"/>
      <c r="H6800" s="48"/>
      <c r="I6800" s="1487" t="s">
        <v>5698</v>
      </c>
      <c r="J6800" s="1081">
        <f>50000000*0.93</f>
        <v>46500000</v>
      </c>
      <c r="K6800" s="1493" t="s">
        <v>5519</v>
      </c>
      <c r="L6800" s="1081">
        <v>21500000</v>
      </c>
      <c r="M6800" s="1495"/>
      <c r="N6800" s="49"/>
      <c r="O6800" s="1383"/>
      <c r="P6800" s="644"/>
      <c r="Q6800" s="1385"/>
      <c r="R6800" s="644"/>
      <c r="S6800" s="48"/>
      <c r="T6800" s="1471"/>
      <c r="U6800" s="1416"/>
      <c r="V6800" s="49"/>
    </row>
    <row r="6801" spans="7:22">
      <c r="G6801" s="48"/>
      <c r="H6801" s="48"/>
      <c r="I6801" s="1487" t="s">
        <v>5701</v>
      </c>
      <c r="J6801" s="1081">
        <f>40000000*0.91</f>
        <v>36400000</v>
      </c>
      <c r="K6801" s="1493" t="s">
        <v>5700</v>
      </c>
      <c r="L6801" s="1081">
        <v>1870000</v>
      </c>
      <c r="M6801" s="1495"/>
      <c r="N6801" s="49"/>
      <c r="O6801" s="644"/>
      <c r="P6801" s="644"/>
      <c r="Q6801" s="1383"/>
      <c r="R6801" s="644"/>
      <c r="S6801" s="48"/>
      <c r="T6801" s="1471"/>
      <c r="U6801" s="1408"/>
      <c r="V6801" s="49"/>
    </row>
    <row r="6802" spans="7:22">
      <c r="G6802" s="48"/>
      <c r="H6802" s="48"/>
      <c r="I6802" s="1488" t="s">
        <v>5702</v>
      </c>
      <c r="J6802" s="1081">
        <f>25000000*0.91</f>
        <v>22750000</v>
      </c>
      <c r="K6802" s="1509" t="s">
        <v>5704</v>
      </c>
      <c r="L6802" s="1081">
        <v>6000000</v>
      </c>
      <c r="M6802" s="1498"/>
      <c r="N6802" s="49"/>
      <c r="O6802" s="644"/>
      <c r="P6802" s="644"/>
      <c r="Q6802" s="1290"/>
      <c r="R6802" s="644"/>
      <c r="S6802" s="48"/>
      <c r="T6802" s="1471"/>
      <c r="U6802" s="1408"/>
      <c r="V6802" s="49"/>
    </row>
    <row r="6803" spans="7:22">
      <c r="G6803" s="48"/>
      <c r="H6803" s="48"/>
      <c r="I6803" s="1488" t="s">
        <v>5703</v>
      </c>
      <c r="J6803" s="1081">
        <f>40000000*0.91</f>
        <v>36400000</v>
      </c>
      <c r="K6803" s="1493"/>
      <c r="L6803" s="1081"/>
      <c r="M6803" s="1498"/>
      <c r="N6803" s="49"/>
      <c r="O6803" s="644"/>
      <c r="P6803" s="644"/>
      <c r="Q6803" s="1383"/>
      <c r="R6803" s="644"/>
      <c r="S6803" s="48"/>
      <c r="T6803" s="1471"/>
      <c r="U6803" s="48"/>
      <c r="V6803" s="48"/>
    </row>
    <row r="6804" spans="7:22">
      <c r="G6804" s="48"/>
      <c r="H6804" s="48"/>
      <c r="I6804" s="1474"/>
      <c r="J6804" s="1081"/>
      <c r="K6804" s="1509"/>
      <c r="L6804" s="1081"/>
      <c r="M6804" s="1498"/>
      <c r="N6804" s="49"/>
      <c r="O6804" s="644"/>
      <c r="P6804" s="644"/>
      <c r="Q6804" s="1290"/>
      <c r="R6804" s="644"/>
      <c r="S6804" s="48"/>
      <c r="T6804" s="1471"/>
      <c r="U6804" s="48"/>
      <c r="V6804" s="48"/>
    </row>
    <row r="6805" spans="7:22">
      <c r="G6805" s="48"/>
      <c r="H6805" s="48"/>
      <c r="I6805" s="1474"/>
      <c r="J6805" s="1081"/>
      <c r="K6805" s="1509"/>
      <c r="L6805" s="1081"/>
      <c r="M6805" s="1498"/>
      <c r="N6805" s="49"/>
      <c r="O6805" s="644"/>
      <c r="P6805" s="644"/>
      <c r="Q6805" s="1290"/>
      <c r="R6805" s="644"/>
      <c r="S6805" s="48"/>
      <c r="T6805" s="1471"/>
      <c r="U6805" s="48"/>
      <c r="V6805" s="48"/>
    </row>
    <row r="6806" spans="7:22">
      <c r="G6806" s="48"/>
      <c r="H6806" s="48"/>
      <c r="I6806" s="1475"/>
      <c r="J6806" s="49"/>
      <c r="K6806" s="1498"/>
      <c r="L6806" s="49"/>
      <c r="M6806" s="1498"/>
      <c r="N6806" s="49"/>
      <c r="O6806" s="644"/>
      <c r="P6806" s="644"/>
      <c r="Q6806" s="1290"/>
      <c r="R6806" s="644"/>
      <c r="S6806" s="48"/>
      <c r="T6806" s="1471"/>
      <c r="U6806" s="48"/>
      <c r="V6806" s="48"/>
    </row>
    <row r="6807" spans="7:22">
      <c r="G6807" s="48"/>
      <c r="H6807" s="48"/>
      <c r="I6807" s="1475"/>
      <c r="J6807" s="49"/>
      <c r="K6807" s="1498"/>
      <c r="L6807" s="49"/>
      <c r="M6807" s="1498"/>
      <c r="N6807" s="49"/>
      <c r="O6807" s="644"/>
      <c r="P6807" s="644"/>
      <c r="Q6807" s="1290"/>
      <c r="R6807" s="644"/>
      <c r="S6807" s="48"/>
      <c r="T6807" s="1471"/>
      <c r="U6807" s="48"/>
      <c r="V6807" s="48"/>
    </row>
    <row r="6808" spans="7:22">
      <c r="G6808" s="48"/>
      <c r="H6808" s="48"/>
      <c r="I6808" s="1475"/>
      <c r="J6808" s="49"/>
      <c r="K6808" s="1498"/>
      <c r="L6808" s="49"/>
      <c r="M6808" s="1498"/>
      <c r="N6808" s="49"/>
      <c r="O6808" s="644"/>
      <c r="P6808" s="644"/>
      <c r="Q6808" s="1290"/>
      <c r="R6808" s="644"/>
      <c r="S6808" s="48"/>
      <c r="T6808" s="1471"/>
      <c r="U6808" s="48"/>
      <c r="V6808" s="48"/>
    </row>
    <row r="6809" spans="7:22">
      <c r="G6809" s="48"/>
      <c r="H6809" s="48"/>
      <c r="I6809" s="1475"/>
      <c r="J6809" s="49"/>
      <c r="K6809" s="1498"/>
      <c r="L6809" s="49"/>
      <c r="M6809" s="1498"/>
      <c r="N6809" s="49"/>
      <c r="O6809" s="644"/>
      <c r="P6809" s="644"/>
      <c r="Q6809" s="1290"/>
      <c r="R6809" s="644"/>
      <c r="S6809" s="48"/>
      <c r="T6809" s="1471"/>
      <c r="U6809" s="48"/>
      <c r="V6809" s="48"/>
    </row>
    <row r="6810" spans="7:22">
      <c r="G6810" s="48"/>
      <c r="H6810" s="48"/>
      <c r="I6810" s="1475"/>
      <c r="J6810" s="49"/>
      <c r="K6810" s="1498"/>
      <c r="L6810" s="49"/>
      <c r="M6810" s="1498"/>
      <c r="N6810" s="49"/>
      <c r="O6810" s="644"/>
      <c r="P6810" s="644"/>
      <c r="Q6810" s="1290"/>
      <c r="R6810" s="644"/>
      <c r="S6810" s="48"/>
      <c r="T6810" s="1471"/>
      <c r="U6810" s="48"/>
      <c r="V6810" s="48"/>
    </row>
    <row r="6811" spans="7:22">
      <c r="G6811" s="48"/>
      <c r="H6811" s="48"/>
      <c r="I6811" s="48"/>
      <c r="J6811" s="49"/>
      <c r="K6811" s="1498"/>
      <c r="L6811" s="49"/>
      <c r="M6811" s="1498"/>
      <c r="N6811" s="49"/>
      <c r="O6811" s="644"/>
      <c r="P6811" s="644"/>
      <c r="Q6811" s="1290"/>
      <c r="R6811" s="644"/>
      <c r="S6811" s="48"/>
      <c r="T6811" s="1471"/>
      <c r="U6811" s="48"/>
      <c r="V6811" s="48"/>
    </row>
    <row r="6812" spans="7:22">
      <c r="G6812" s="48"/>
      <c r="H6812" s="48"/>
      <c r="I6812" s="48"/>
      <c r="J6812" s="954">
        <f>SUM(J6793:J6811)</f>
        <v>533230000</v>
      </c>
      <c r="K6812" s="954"/>
      <c r="L6812" s="954">
        <f>SUM(L6793:L6811)</f>
        <v>479670000</v>
      </c>
      <c r="M6812" s="1498"/>
      <c r="N6812" s="954">
        <f>SUM(N6793:N6811)</f>
        <v>1982400000</v>
      </c>
      <c r="O6812" s="644"/>
      <c r="P6812" s="969">
        <f>SUM(P6793:P6800)</f>
        <v>50000000</v>
      </c>
      <c r="Q6812" s="969"/>
      <c r="R6812" s="969">
        <f>SUM(R6793:R6811)</f>
        <v>0</v>
      </c>
      <c r="S6812" s="48"/>
      <c r="T6812" s="1178">
        <f>SUM(T6793:T6811)</f>
        <v>13300</v>
      </c>
      <c r="U6812" s="48"/>
      <c r="V6812" s="878">
        <f>SUM(V6793:V6811)</f>
        <v>13200</v>
      </c>
    </row>
    <row r="6813" spans="7:22">
      <c r="T6813" s="1470"/>
    </row>
    <row r="6814" spans="7:22">
      <c r="T6814" s="1470"/>
    </row>
    <row r="6815" spans="7:22">
      <c r="R6815" s="661"/>
      <c r="T6815" s="1470"/>
    </row>
    <row r="6816" spans="7:22">
      <c r="T6816" s="1470"/>
    </row>
    <row r="6817" spans="7:22">
      <c r="K6817" s="3" t="s">
        <v>5310</v>
      </c>
      <c r="T6817" s="1470"/>
    </row>
    <row r="6818" spans="7:22">
      <c r="I6818" s="946"/>
      <c r="M6818" s="1533" t="s">
        <v>3699</v>
      </c>
      <c r="O6818" s="1535" t="s">
        <v>3741</v>
      </c>
      <c r="P6818" s="1512">
        <f>P6812-R6812</f>
        <v>50000000</v>
      </c>
      <c r="S6818" s="906" t="s">
        <v>4049</v>
      </c>
      <c r="T6818" s="1107">
        <f>T6812-V6812</f>
        <v>100</v>
      </c>
    </row>
    <row r="6819" spans="7:22">
      <c r="G6819" s="1574" t="s">
        <v>3530</v>
      </c>
      <c r="H6819" s="1574"/>
      <c r="I6819" s="1574"/>
      <c r="J6819" s="3">
        <f>J6812+L6812</f>
        <v>1012900000</v>
      </c>
      <c r="K6819" s="1009"/>
      <c r="L6819" s="3"/>
      <c r="M6819" s="1533" t="s">
        <v>3664</v>
      </c>
      <c r="N6819" s="1527"/>
      <c r="O6819" s="1535" t="s">
        <v>4066</v>
      </c>
      <c r="P6819" s="1512"/>
      <c r="T6819" s="1470"/>
    </row>
    <row r="6820" spans="7:22">
      <c r="G6820" s="1574" t="s">
        <v>3512</v>
      </c>
      <c r="H6820" s="1574"/>
      <c r="I6820" s="1574"/>
      <c r="J6820" s="3">
        <f>N6812-J6819</f>
        <v>969500000</v>
      </c>
      <c r="K6820" s="1009"/>
      <c r="L6820" s="3"/>
      <c r="M6820" s="1528"/>
      <c r="O6820" s="1529"/>
      <c r="Q6820" s="661"/>
      <c r="T6820" s="1470"/>
    </row>
    <row r="6821" spans="7:22">
      <c r="G6821" s="1574" t="s">
        <v>3531</v>
      </c>
      <c r="H6821" s="1574"/>
      <c r="I6821" s="1574"/>
      <c r="J6821" s="3">
        <f>+T6818</f>
        <v>100</v>
      </c>
      <c r="Q6821" s="3"/>
      <c r="T6821" s="1470"/>
    </row>
    <row r="6822" spans="7:22">
      <c r="G6822" s="1564" t="s">
        <v>4455</v>
      </c>
      <c r="H6822" s="1564"/>
      <c r="I6822" s="1564"/>
      <c r="J6822" s="3">
        <f>+P6818</f>
        <v>50000000</v>
      </c>
      <c r="R6822" s="3"/>
      <c r="T6822" s="1470"/>
    </row>
    <row r="6823" spans="7:22">
      <c r="T6823" s="1470"/>
    </row>
    <row r="6827" spans="7:22">
      <c r="T6827" s="1478"/>
    </row>
    <row r="6828" spans="7:22">
      <c r="T6828" s="1478"/>
    </row>
    <row r="6829" spans="7:22">
      <c r="T6829" s="1478"/>
    </row>
    <row r="6830" spans="7:22">
      <c r="G6830" s="1008">
        <v>46156</v>
      </c>
      <c r="H6830" s="1169"/>
      <c r="I6830" s="1575" t="s">
        <v>3510</v>
      </c>
      <c r="J6830" s="1576"/>
      <c r="K6830" s="1575" t="s">
        <v>3509</v>
      </c>
      <c r="L6830" s="1576"/>
      <c r="M6830" s="1575" t="s">
        <v>3541</v>
      </c>
      <c r="N6830" s="1576"/>
      <c r="O6830" s="1577" t="s">
        <v>3598</v>
      </c>
      <c r="P6830" s="1578"/>
      <c r="Q6830" s="1579" t="s">
        <v>3599</v>
      </c>
      <c r="R6830" s="1580"/>
      <c r="S6830" s="1581" t="s">
        <v>3953</v>
      </c>
      <c r="T6830" s="1582"/>
      <c r="U6830" s="1581" t="s">
        <v>3954</v>
      </c>
      <c r="V6830" s="1582"/>
    </row>
    <row r="6831" spans="7:22">
      <c r="G6831" s="1097"/>
      <c r="H6831" s="1261"/>
      <c r="I6831" s="1487" t="s">
        <v>5705</v>
      </c>
      <c r="J6831" s="1081">
        <f>33000000*0.94</f>
        <v>31020000</v>
      </c>
      <c r="K6831" s="1493" t="s">
        <v>4876</v>
      </c>
      <c r="L6831" s="1081">
        <v>2350000</v>
      </c>
      <c r="M6831" s="1495" t="s">
        <v>4613</v>
      </c>
      <c r="N6831" s="1495">
        <v>369500000</v>
      </c>
      <c r="O6831" s="1383"/>
      <c r="P6831" s="644"/>
      <c r="Q6831" s="1279"/>
      <c r="R6831" s="644"/>
      <c r="S6831" s="1223"/>
      <c r="T6831" s="1191">
        <v>1800</v>
      </c>
      <c r="U6831" s="1232"/>
      <c r="V6831" s="48"/>
    </row>
    <row r="6832" spans="7:22">
      <c r="G6832" s="1098"/>
      <c r="H6832" s="1172"/>
      <c r="I6832" s="1487" t="s">
        <v>5706</v>
      </c>
      <c r="J6832" s="1081">
        <f>30000000*0.94</f>
        <v>28200000</v>
      </c>
      <c r="K6832" s="1493" t="s">
        <v>4447</v>
      </c>
      <c r="L6832" s="1081">
        <v>8000000</v>
      </c>
      <c r="M6832" s="1493" t="s">
        <v>5709</v>
      </c>
      <c r="N6832" s="1081">
        <v>4000000</v>
      </c>
      <c r="O6832" s="1383" t="s">
        <v>5262</v>
      </c>
      <c r="P6832" s="644">
        <v>50000000</v>
      </c>
      <c r="Q6832" s="1410"/>
      <c r="R6832" s="1290"/>
      <c r="S6832" s="1481"/>
      <c r="T6832" s="1191">
        <v>3200</v>
      </c>
      <c r="U6832" s="48"/>
      <c r="V6832" s="49"/>
    </row>
    <row r="6833" spans="7:22">
      <c r="G6833" s="48"/>
      <c r="H6833" s="48"/>
      <c r="I6833" s="1487" t="s">
        <v>5707</v>
      </c>
      <c r="J6833" s="1081">
        <f>28000000*0.93</f>
        <v>26040000</v>
      </c>
      <c r="K6833" s="1493" t="s">
        <v>4495</v>
      </c>
      <c r="L6833" s="1081">
        <v>250000</v>
      </c>
      <c r="M6833" s="1493" t="s">
        <v>5568</v>
      </c>
      <c r="N6833" s="49">
        <v>1107000000</v>
      </c>
      <c r="O6833" s="1495"/>
      <c r="P6833" s="644"/>
      <c r="Q6833" s="1412"/>
      <c r="R6833" s="644"/>
      <c r="S6833" s="1490" t="s">
        <v>5717</v>
      </c>
      <c r="T6833" s="1191">
        <v>2700</v>
      </c>
      <c r="U6833" s="1484"/>
      <c r="V6833" s="1191"/>
    </row>
    <row r="6834" spans="7:22" ht="16.2">
      <c r="G6834" s="48"/>
      <c r="H6834" s="48"/>
      <c r="I6834" s="1487" t="s">
        <v>5710</v>
      </c>
      <c r="J6834" s="1489">
        <v>46000000</v>
      </c>
      <c r="K6834" s="1493" t="s">
        <v>4434</v>
      </c>
      <c r="L6834" s="1081">
        <v>4000000</v>
      </c>
      <c r="M6834" s="1495" t="s">
        <v>5716</v>
      </c>
      <c r="N6834" s="49">
        <v>1600000</v>
      </c>
      <c r="O6834" s="1383"/>
      <c r="P6834" s="644"/>
      <c r="Q6834" s="1422"/>
      <c r="R6834" s="644"/>
      <c r="S6834" s="1459"/>
      <c r="T6834" s="1479">
        <v>1300</v>
      </c>
      <c r="U6834" s="1484"/>
      <c r="V6834" s="1479"/>
    </row>
    <row r="6835" spans="7:22">
      <c r="G6835" s="48"/>
      <c r="H6835" s="48"/>
      <c r="I6835" s="1487" t="s">
        <v>5711</v>
      </c>
      <c r="J6835" s="1081">
        <v>46500000</v>
      </c>
      <c r="K6835" s="1493" t="s">
        <v>2265</v>
      </c>
      <c r="L6835" s="1081">
        <v>1000000</v>
      </c>
      <c r="M6835" s="1495" t="s">
        <v>5721</v>
      </c>
      <c r="N6835" s="49">
        <v>6600000</v>
      </c>
      <c r="O6835" s="1383"/>
      <c r="P6835" s="644"/>
      <c r="Q6835" s="1422"/>
      <c r="R6835" s="644"/>
      <c r="S6835" s="1449"/>
      <c r="T6835" s="1479"/>
      <c r="U6835" s="1408"/>
      <c r="V6835" s="49"/>
    </row>
    <row r="6836" spans="7:22">
      <c r="G6836" s="48"/>
      <c r="H6836" s="48"/>
      <c r="I6836" s="1487" t="s">
        <v>5712</v>
      </c>
      <c r="J6836" s="1081">
        <v>46500000</v>
      </c>
      <c r="K6836" s="1493" t="s">
        <v>5718</v>
      </c>
      <c r="L6836" s="1081">
        <v>15600000</v>
      </c>
      <c r="M6836" s="1495" t="s">
        <v>4455</v>
      </c>
      <c r="N6836" s="49">
        <v>900000</v>
      </c>
      <c r="O6836" s="1383"/>
      <c r="P6836" s="644"/>
      <c r="Q6836" s="1382"/>
      <c r="R6836" s="644"/>
      <c r="S6836" s="1449"/>
      <c r="T6836" s="1479"/>
      <c r="U6836" s="1416"/>
      <c r="V6836" s="49"/>
    </row>
    <row r="6837" spans="7:22">
      <c r="G6837" s="48"/>
      <c r="H6837" s="48"/>
      <c r="I6837" s="1487" t="s">
        <v>5713</v>
      </c>
      <c r="J6837" s="1081">
        <v>46500000</v>
      </c>
      <c r="K6837" s="1493" t="s">
        <v>5719</v>
      </c>
      <c r="L6837" s="1081">
        <v>2000000</v>
      </c>
      <c r="M6837" s="1493"/>
      <c r="N6837" s="49"/>
      <c r="O6837" s="1383"/>
      <c r="P6837" s="644"/>
      <c r="Q6837" s="1383"/>
      <c r="R6837" s="644"/>
      <c r="S6837" s="1451"/>
      <c r="T6837" s="1479"/>
      <c r="U6837" s="1438"/>
      <c r="V6837" s="49"/>
    </row>
    <row r="6838" spans="7:22">
      <c r="G6838" s="48"/>
      <c r="H6838" s="48"/>
      <c r="I6838" s="1487" t="s">
        <v>5714</v>
      </c>
      <c r="J6838" s="1081">
        <f>39000000*0.93</f>
        <v>36270000</v>
      </c>
      <c r="K6838" s="1493"/>
      <c r="L6838" s="1081"/>
      <c r="M6838" s="1495"/>
      <c r="N6838" s="49"/>
      <c r="O6838" s="1383"/>
      <c r="P6838" s="644"/>
      <c r="Q6838" s="1385"/>
      <c r="R6838" s="644"/>
      <c r="S6838" s="48"/>
      <c r="T6838" s="1479"/>
      <c r="U6838" s="1416"/>
      <c r="V6838" s="49"/>
    </row>
    <row r="6839" spans="7:22">
      <c r="G6839" s="48"/>
      <c r="H6839" s="48"/>
      <c r="I6839" s="1487" t="s">
        <v>5715</v>
      </c>
      <c r="J6839" s="1081">
        <v>46000000</v>
      </c>
      <c r="K6839" s="1493"/>
      <c r="L6839" s="1081"/>
      <c r="M6839" s="1495"/>
      <c r="N6839" s="49"/>
      <c r="O6839" s="644"/>
      <c r="P6839" s="644"/>
      <c r="Q6839" s="1383"/>
      <c r="R6839" s="644"/>
      <c r="S6839" s="48"/>
      <c r="T6839" s="1479"/>
      <c r="U6839" s="1408"/>
      <c r="V6839" s="49"/>
    </row>
    <row r="6840" spans="7:22">
      <c r="G6840" s="48"/>
      <c r="H6840" s="48"/>
      <c r="I6840" s="1488" t="s">
        <v>5720</v>
      </c>
      <c r="J6840" s="1081">
        <v>23500000</v>
      </c>
      <c r="K6840" s="1509"/>
      <c r="L6840" s="1081"/>
      <c r="M6840" s="1498"/>
      <c r="N6840" s="49"/>
      <c r="O6840" s="644"/>
      <c r="P6840" s="644"/>
      <c r="Q6840" s="1290"/>
      <c r="R6840" s="644"/>
      <c r="S6840" s="48"/>
      <c r="T6840" s="1479"/>
      <c r="U6840" s="1408"/>
      <c r="V6840" s="49"/>
    </row>
    <row r="6841" spans="7:22">
      <c r="G6841" s="48"/>
      <c r="H6841" s="48"/>
      <c r="I6841" s="1488" t="s">
        <v>5722</v>
      </c>
      <c r="J6841" s="1081">
        <v>45500000</v>
      </c>
      <c r="K6841" s="1493"/>
      <c r="L6841" s="1081"/>
      <c r="M6841" s="1498"/>
      <c r="N6841" s="49"/>
      <c r="O6841" s="644"/>
      <c r="P6841" s="644"/>
      <c r="Q6841" s="1383"/>
      <c r="R6841" s="644"/>
      <c r="S6841" s="48"/>
      <c r="T6841" s="1479"/>
      <c r="U6841" s="48"/>
      <c r="V6841" s="48"/>
    </row>
    <row r="6842" spans="7:22">
      <c r="G6842" s="48"/>
      <c r="H6842" s="48"/>
      <c r="I6842" s="1474"/>
      <c r="J6842" s="1081"/>
      <c r="K6842" s="1509"/>
      <c r="L6842" s="1081"/>
      <c r="M6842" s="1498"/>
      <c r="N6842" s="49"/>
      <c r="O6842" s="644"/>
      <c r="P6842" s="644"/>
      <c r="Q6842" s="1290"/>
      <c r="R6842" s="644"/>
      <c r="S6842" s="48"/>
      <c r="T6842" s="1479"/>
      <c r="U6842" s="48"/>
      <c r="V6842" s="48"/>
    </row>
    <row r="6843" spans="7:22">
      <c r="G6843" s="48"/>
      <c r="H6843" s="48"/>
      <c r="I6843" s="1474"/>
      <c r="J6843" s="1081"/>
      <c r="K6843" s="1509"/>
      <c r="L6843" s="1081"/>
      <c r="M6843" s="1498"/>
      <c r="N6843" s="49"/>
      <c r="O6843" s="644"/>
      <c r="P6843" s="644"/>
      <c r="Q6843" s="1290"/>
      <c r="R6843" s="644"/>
      <c r="S6843" s="48"/>
      <c r="T6843" s="1479"/>
      <c r="U6843" s="48"/>
      <c r="V6843" s="48"/>
    </row>
    <row r="6844" spans="7:22">
      <c r="G6844" s="48"/>
      <c r="H6844" s="48"/>
      <c r="I6844" s="1475"/>
      <c r="J6844" s="49"/>
      <c r="K6844" s="1498"/>
      <c r="L6844" s="49"/>
      <c r="M6844" s="1498"/>
      <c r="N6844" s="49"/>
      <c r="O6844" s="644"/>
      <c r="P6844" s="644"/>
      <c r="Q6844" s="1290"/>
      <c r="R6844" s="644"/>
      <c r="S6844" s="48"/>
      <c r="T6844" s="1479"/>
      <c r="U6844" s="48"/>
      <c r="V6844" s="48"/>
    </row>
    <row r="6845" spans="7:22">
      <c r="G6845" s="48"/>
      <c r="H6845" s="48"/>
      <c r="I6845" s="1475"/>
      <c r="J6845" s="49"/>
      <c r="K6845" s="1498"/>
      <c r="L6845" s="49"/>
      <c r="M6845" s="1498"/>
      <c r="N6845" s="49"/>
      <c r="O6845" s="644"/>
      <c r="P6845" s="644"/>
      <c r="Q6845" s="1290"/>
      <c r="R6845" s="644"/>
      <c r="S6845" s="48"/>
      <c r="T6845" s="1479"/>
      <c r="U6845" s="48"/>
      <c r="V6845" s="48"/>
    </row>
    <row r="6846" spans="7:22">
      <c r="G6846" s="48"/>
      <c r="H6846" s="48"/>
      <c r="I6846" s="1475"/>
      <c r="J6846" s="49"/>
      <c r="K6846" s="1498"/>
      <c r="L6846" s="49"/>
      <c r="M6846" s="1498"/>
      <c r="N6846" s="49"/>
      <c r="O6846" s="644"/>
      <c r="P6846" s="644"/>
      <c r="Q6846" s="1290"/>
      <c r="R6846" s="644"/>
      <c r="S6846" s="48"/>
      <c r="T6846" s="1479"/>
      <c r="U6846" s="48"/>
      <c r="V6846" s="48"/>
    </row>
    <row r="6847" spans="7:22">
      <c r="G6847" s="48"/>
      <c r="H6847" s="48"/>
      <c r="I6847" s="1475"/>
      <c r="J6847" s="49"/>
      <c r="K6847" s="1498"/>
      <c r="L6847" s="49"/>
      <c r="M6847" s="1498"/>
      <c r="N6847" s="49"/>
      <c r="O6847" s="644"/>
      <c r="P6847" s="644"/>
      <c r="Q6847" s="1290"/>
      <c r="R6847" s="644"/>
      <c r="S6847" s="48"/>
      <c r="T6847" s="1479"/>
      <c r="U6847" s="48"/>
      <c r="V6847" s="48"/>
    </row>
    <row r="6848" spans="7:22">
      <c r="G6848" s="48"/>
      <c r="H6848" s="48"/>
      <c r="I6848" s="1475"/>
      <c r="J6848" s="49"/>
      <c r="K6848" s="1498"/>
      <c r="L6848" s="49"/>
      <c r="M6848" s="1498"/>
      <c r="N6848" s="49"/>
      <c r="O6848" s="644"/>
      <c r="P6848" s="644"/>
      <c r="Q6848" s="1290"/>
      <c r="R6848" s="644"/>
      <c r="S6848" s="48"/>
      <c r="T6848" s="1479"/>
      <c r="U6848" s="48"/>
      <c r="V6848" s="48"/>
    </row>
    <row r="6849" spans="7:22">
      <c r="G6849" s="48"/>
      <c r="H6849" s="48"/>
      <c r="I6849" s="48"/>
      <c r="J6849" s="49"/>
      <c r="K6849" s="1498"/>
      <c r="L6849" s="49"/>
      <c r="M6849" s="1498"/>
      <c r="N6849" s="49"/>
      <c r="O6849" s="644"/>
      <c r="P6849" s="644"/>
      <c r="Q6849" s="1290"/>
      <c r="R6849" s="644"/>
      <c r="S6849" s="48"/>
      <c r="T6849" s="1479"/>
      <c r="U6849" s="48"/>
      <c r="V6849" s="48"/>
    </row>
    <row r="6850" spans="7:22">
      <c r="G6850" s="48"/>
      <c r="H6850" s="48"/>
      <c r="I6850" s="48"/>
      <c r="J6850" s="954">
        <f>SUM(J6831:J6849)</f>
        <v>422030000</v>
      </c>
      <c r="K6850" s="954"/>
      <c r="L6850" s="954">
        <f>SUM(L6831:L6849)</f>
        <v>33200000</v>
      </c>
      <c r="M6850" s="1498"/>
      <c r="N6850" s="954">
        <f>SUM(N6831:N6849)</f>
        <v>1489600000</v>
      </c>
      <c r="O6850" s="644"/>
      <c r="P6850" s="969">
        <f>SUM(P6831:P6838)</f>
        <v>50000000</v>
      </c>
      <c r="Q6850" s="969"/>
      <c r="R6850" s="969">
        <f>SUM(R6831:R6849)</f>
        <v>0</v>
      </c>
      <c r="S6850" s="48"/>
      <c r="T6850" s="1178">
        <f>SUM(T6831:T6849)</f>
        <v>9000</v>
      </c>
      <c r="U6850" s="48"/>
      <c r="V6850" s="878">
        <f>SUM(V6831:V6849)</f>
        <v>0</v>
      </c>
    </row>
    <row r="6851" spans="7:22">
      <c r="T6851" s="1478"/>
    </row>
    <row r="6852" spans="7:22">
      <c r="T6852" s="1478"/>
    </row>
    <row r="6853" spans="7:22">
      <c r="R6853" s="661"/>
      <c r="T6853" s="1478"/>
    </row>
    <row r="6854" spans="7:22">
      <c r="T6854" s="1478"/>
    </row>
    <row r="6855" spans="7:22">
      <c r="K6855" s="3" t="s">
        <v>5310</v>
      </c>
      <c r="T6855" s="1478"/>
    </row>
    <row r="6856" spans="7:22">
      <c r="I6856" s="946"/>
      <c r="M6856" s="1533" t="s">
        <v>3699</v>
      </c>
      <c r="O6856" s="1535" t="s">
        <v>3741</v>
      </c>
      <c r="P6856" s="1512">
        <f>P6850-R6850</f>
        <v>50000000</v>
      </c>
      <c r="S6856" s="906" t="s">
        <v>4049</v>
      </c>
      <c r="T6856" s="1107">
        <f>T6850-V6850</f>
        <v>9000</v>
      </c>
    </row>
    <row r="6857" spans="7:22">
      <c r="G6857" s="1574" t="s">
        <v>3530</v>
      </c>
      <c r="H6857" s="1574"/>
      <c r="I6857" s="1574"/>
      <c r="J6857" s="3">
        <f>J6850+L6850</f>
        <v>455230000</v>
      </c>
      <c r="K6857" s="1009"/>
      <c r="L6857" s="3"/>
      <c r="M6857" s="1533" t="s">
        <v>3664</v>
      </c>
      <c r="N6857" s="1527"/>
      <c r="O6857" s="1535" t="s">
        <v>4066</v>
      </c>
      <c r="P6857" s="1512"/>
      <c r="T6857" s="1478"/>
    </row>
    <row r="6858" spans="7:22">
      <c r="G6858" s="1574" t="s">
        <v>3512</v>
      </c>
      <c r="H6858" s="1574"/>
      <c r="I6858" s="1574"/>
      <c r="J6858" s="3">
        <f>N6850-J6857</f>
        <v>1034370000</v>
      </c>
      <c r="K6858" s="1009"/>
      <c r="L6858" s="3"/>
      <c r="M6858" s="1528"/>
      <c r="O6858" s="1529"/>
      <c r="Q6858" s="661"/>
      <c r="T6858" s="1478"/>
    </row>
    <row r="6859" spans="7:22">
      <c r="G6859" s="1574" t="s">
        <v>3531</v>
      </c>
      <c r="H6859" s="1574"/>
      <c r="I6859" s="1574"/>
      <c r="J6859" s="3">
        <f>+T6856</f>
        <v>9000</v>
      </c>
      <c r="Q6859" s="3"/>
      <c r="T6859" s="1478"/>
    </row>
    <row r="6860" spans="7:22">
      <c r="G6860" s="1564" t="s">
        <v>4455</v>
      </c>
      <c r="H6860" s="1564"/>
      <c r="I6860" s="1564"/>
      <c r="J6860" s="3">
        <f>+P6856</f>
        <v>50000000</v>
      </c>
      <c r="R6860" s="3"/>
      <c r="T6860" s="1478"/>
    </row>
    <row r="6861" spans="7:22">
      <c r="T6861" s="1478"/>
    </row>
    <row r="6865" spans="7:22">
      <c r="T6865" s="1478"/>
    </row>
    <row r="6866" spans="7:22">
      <c r="T6866" s="1478"/>
    </row>
    <row r="6867" spans="7:22">
      <c r="T6867" s="1478"/>
    </row>
    <row r="6868" spans="7:22">
      <c r="G6868" s="1008">
        <v>46157</v>
      </c>
      <c r="H6868" s="1169"/>
      <c r="I6868" s="1575" t="s">
        <v>3510</v>
      </c>
      <c r="J6868" s="1576"/>
      <c r="K6868" s="1575" t="s">
        <v>3509</v>
      </c>
      <c r="L6868" s="1576"/>
      <c r="M6868" s="1575" t="s">
        <v>3541</v>
      </c>
      <c r="N6868" s="1576"/>
      <c r="O6868" s="1577" t="s">
        <v>3598</v>
      </c>
      <c r="P6868" s="1578"/>
      <c r="Q6868" s="1579" t="s">
        <v>3599</v>
      </c>
      <c r="R6868" s="1580"/>
      <c r="S6868" s="1581" t="s">
        <v>3953</v>
      </c>
      <c r="T6868" s="1582"/>
      <c r="U6868" s="1581" t="s">
        <v>3954</v>
      </c>
      <c r="V6868" s="1582"/>
    </row>
    <row r="6869" spans="7:22">
      <c r="G6869" s="1097"/>
      <c r="H6869" s="1261"/>
      <c r="I6869" s="1487" t="s">
        <v>5725</v>
      </c>
      <c r="J6869" s="1081">
        <v>46500000</v>
      </c>
      <c r="K6869" s="1493" t="s">
        <v>5724</v>
      </c>
      <c r="L6869" s="1081">
        <v>2000000</v>
      </c>
      <c r="M6869" s="1495" t="s">
        <v>4613</v>
      </c>
      <c r="N6869" s="1495">
        <v>322200000</v>
      </c>
      <c r="O6869" s="1383"/>
      <c r="P6869" s="644"/>
      <c r="Q6869" s="1279"/>
      <c r="R6869" s="644"/>
      <c r="S6869" s="1223"/>
      <c r="T6869" s="1191">
        <v>10000</v>
      </c>
      <c r="U6869" s="1232"/>
      <c r="V6869" s="48"/>
    </row>
    <row r="6870" spans="7:22">
      <c r="G6870" s="1098"/>
      <c r="H6870" s="1172"/>
      <c r="I6870" s="1487" t="s">
        <v>5726</v>
      </c>
      <c r="J6870" s="1081">
        <v>46000000</v>
      </c>
      <c r="K6870" s="1493" t="s">
        <v>4472</v>
      </c>
      <c r="L6870" s="1081">
        <v>800000</v>
      </c>
      <c r="M6870" s="1493" t="s">
        <v>5101</v>
      </c>
      <c r="N6870" s="1081">
        <v>800000000</v>
      </c>
      <c r="O6870" s="1383" t="s">
        <v>5262</v>
      </c>
      <c r="P6870" s="644">
        <v>50000000</v>
      </c>
      <c r="Q6870" s="1410"/>
      <c r="R6870" s="1290"/>
      <c r="S6870" s="1481"/>
      <c r="T6870" s="1191"/>
      <c r="U6870" s="48" t="s">
        <v>5723</v>
      </c>
      <c r="V6870" s="49">
        <v>10000</v>
      </c>
    </row>
    <row r="6871" spans="7:22">
      <c r="G6871" s="48"/>
      <c r="H6871" s="48"/>
      <c r="I6871" s="1487" t="s">
        <v>5728</v>
      </c>
      <c r="J6871" s="1081">
        <v>45500000</v>
      </c>
      <c r="K6871" s="1493" t="s">
        <v>4777</v>
      </c>
      <c r="L6871" s="1081">
        <v>100000</v>
      </c>
      <c r="M6871" s="1493" t="s">
        <v>5727</v>
      </c>
      <c r="N6871" s="49">
        <v>7000000</v>
      </c>
      <c r="O6871" s="1495"/>
      <c r="P6871" s="644"/>
      <c r="Q6871" s="1412"/>
      <c r="R6871" s="644"/>
      <c r="S6871" s="1490"/>
      <c r="T6871" s="1191"/>
      <c r="U6871" s="1484"/>
      <c r="V6871" s="1191"/>
    </row>
    <row r="6872" spans="7:22" ht="16.2">
      <c r="G6872" s="48"/>
      <c r="H6872" s="48"/>
      <c r="I6872" s="1487" t="s">
        <v>5730</v>
      </c>
      <c r="J6872" s="1489">
        <v>46500000</v>
      </c>
      <c r="K6872" s="1493" t="s">
        <v>4913</v>
      </c>
      <c r="L6872" s="1081">
        <v>3000000</v>
      </c>
      <c r="M6872" s="1495" t="s">
        <v>5733</v>
      </c>
      <c r="N6872" s="49">
        <v>60000000</v>
      </c>
      <c r="O6872" s="1383"/>
      <c r="P6872" s="644"/>
      <c r="Q6872" s="1422"/>
      <c r="R6872" s="644"/>
      <c r="S6872" s="1459"/>
      <c r="T6872" s="1479"/>
      <c r="U6872" s="1484"/>
      <c r="V6872" s="1479"/>
    </row>
    <row r="6873" spans="7:22">
      <c r="G6873" s="48"/>
      <c r="H6873" s="48"/>
      <c r="I6873" s="1487" t="s">
        <v>5731</v>
      </c>
      <c r="J6873" s="1081">
        <v>46500000</v>
      </c>
      <c r="K6873" s="1493" t="s">
        <v>5729</v>
      </c>
      <c r="L6873" s="1081">
        <v>800000</v>
      </c>
      <c r="M6873" s="1495" t="s">
        <v>5735</v>
      </c>
      <c r="N6873" s="49">
        <v>30000000</v>
      </c>
      <c r="O6873" s="1383"/>
      <c r="P6873" s="644"/>
      <c r="Q6873" s="1422"/>
      <c r="R6873" s="644"/>
      <c r="S6873" s="1449"/>
      <c r="T6873" s="1479"/>
      <c r="U6873" s="1408"/>
      <c r="V6873" s="49"/>
    </row>
    <row r="6874" spans="7:22">
      <c r="G6874" s="48"/>
      <c r="H6874" s="48"/>
      <c r="I6874" s="1487" t="s">
        <v>5734</v>
      </c>
      <c r="J6874" s="1081">
        <v>43000000</v>
      </c>
      <c r="K6874" s="1493" t="s">
        <v>5732</v>
      </c>
      <c r="L6874" s="1081">
        <v>400000</v>
      </c>
      <c r="M6874" s="1495" t="s">
        <v>5737</v>
      </c>
      <c r="N6874" s="49">
        <v>56000000</v>
      </c>
      <c r="O6874" s="1383"/>
      <c r="P6874" s="644"/>
      <c r="Q6874" s="1382"/>
      <c r="R6874" s="644"/>
      <c r="S6874" s="1449"/>
      <c r="T6874" s="1479"/>
      <c r="U6874" s="1416"/>
      <c r="V6874" s="49"/>
    </row>
    <row r="6875" spans="7:22">
      <c r="G6875" s="48"/>
      <c r="H6875" s="48"/>
      <c r="I6875" s="1487"/>
      <c r="J6875" s="1081"/>
      <c r="K6875" s="1493" t="s">
        <v>5736</v>
      </c>
      <c r="L6875" s="1081">
        <v>4000000</v>
      </c>
      <c r="M6875" s="1493"/>
      <c r="N6875" s="49"/>
      <c r="O6875" s="1383"/>
      <c r="P6875" s="644"/>
      <c r="Q6875" s="1383"/>
      <c r="R6875" s="644"/>
      <c r="S6875" s="1451"/>
      <c r="T6875" s="1479"/>
      <c r="U6875" s="1438"/>
      <c r="V6875" s="49"/>
    </row>
    <row r="6876" spans="7:22">
      <c r="G6876" s="48"/>
      <c r="H6876" s="48"/>
      <c r="I6876" s="1487"/>
      <c r="J6876" s="1081"/>
      <c r="K6876" s="1493"/>
      <c r="L6876" s="1081"/>
      <c r="M6876" s="1495"/>
      <c r="N6876" s="49"/>
      <c r="O6876" s="1383"/>
      <c r="P6876" s="644"/>
      <c r="Q6876" s="1385"/>
      <c r="R6876" s="644"/>
      <c r="S6876" s="48"/>
      <c r="T6876" s="1479"/>
      <c r="U6876" s="1416"/>
      <c r="V6876" s="49"/>
    </row>
    <row r="6877" spans="7:22">
      <c r="G6877" s="48"/>
      <c r="H6877" s="48"/>
      <c r="I6877" s="1487"/>
      <c r="J6877" s="1081"/>
      <c r="K6877" s="1493"/>
      <c r="L6877" s="1081"/>
      <c r="M6877" s="1495"/>
      <c r="N6877" s="49"/>
      <c r="O6877" s="644"/>
      <c r="P6877" s="644"/>
      <c r="Q6877" s="1383"/>
      <c r="R6877" s="644"/>
      <c r="S6877" s="48"/>
      <c r="T6877" s="1479"/>
      <c r="U6877" s="1408"/>
      <c r="V6877" s="49"/>
    </row>
    <row r="6878" spans="7:22">
      <c r="G6878" s="48"/>
      <c r="H6878" s="48"/>
      <c r="I6878" s="1488"/>
      <c r="J6878" s="1081"/>
      <c r="K6878" s="1509"/>
      <c r="L6878" s="1081"/>
      <c r="M6878" s="1498"/>
      <c r="N6878" s="49"/>
      <c r="O6878" s="644"/>
      <c r="P6878" s="644"/>
      <c r="Q6878" s="1290"/>
      <c r="R6878" s="644"/>
      <c r="S6878" s="48"/>
      <c r="T6878" s="1479"/>
      <c r="U6878" s="1408"/>
      <c r="V6878" s="49"/>
    </row>
    <row r="6879" spans="7:22">
      <c r="G6879" s="48"/>
      <c r="H6879" s="48"/>
      <c r="I6879" s="1488"/>
      <c r="J6879" s="1081"/>
      <c r="K6879" s="1493"/>
      <c r="L6879" s="1081"/>
      <c r="M6879" s="1498"/>
      <c r="N6879" s="49"/>
      <c r="O6879" s="644"/>
      <c r="P6879" s="644"/>
      <c r="Q6879" s="1383"/>
      <c r="R6879" s="644"/>
      <c r="S6879" s="48"/>
      <c r="T6879" s="1479"/>
      <c r="U6879" s="48"/>
      <c r="V6879" s="48"/>
    </row>
    <row r="6880" spans="7:22">
      <c r="G6880" s="48"/>
      <c r="H6880" s="48"/>
      <c r="I6880" s="1474"/>
      <c r="J6880" s="1081"/>
      <c r="K6880" s="1509"/>
      <c r="L6880" s="1081"/>
      <c r="M6880" s="1498"/>
      <c r="N6880" s="49"/>
      <c r="O6880" s="644"/>
      <c r="P6880" s="644"/>
      <c r="Q6880" s="1290"/>
      <c r="R6880" s="644"/>
      <c r="S6880" s="48"/>
      <c r="T6880" s="1479"/>
      <c r="U6880" s="48"/>
      <c r="V6880" s="48"/>
    </row>
    <row r="6881" spans="7:22">
      <c r="G6881" s="48"/>
      <c r="H6881" s="48"/>
      <c r="I6881" s="1474"/>
      <c r="J6881" s="1081"/>
      <c r="K6881" s="1509"/>
      <c r="L6881" s="1081"/>
      <c r="M6881" s="1498"/>
      <c r="N6881" s="49"/>
      <c r="O6881" s="644"/>
      <c r="P6881" s="644"/>
      <c r="Q6881" s="1290"/>
      <c r="R6881" s="644"/>
      <c r="S6881" s="48"/>
      <c r="T6881" s="1479"/>
      <c r="U6881" s="48"/>
      <c r="V6881" s="48"/>
    </row>
    <row r="6882" spans="7:22">
      <c r="G6882" s="48"/>
      <c r="H6882" s="48"/>
      <c r="I6882" s="1475"/>
      <c r="J6882" s="49"/>
      <c r="K6882" s="1498"/>
      <c r="L6882" s="49"/>
      <c r="M6882" s="1498"/>
      <c r="N6882" s="49"/>
      <c r="O6882" s="644"/>
      <c r="P6882" s="644"/>
      <c r="Q6882" s="1290"/>
      <c r="R6882" s="644"/>
      <c r="S6882" s="48"/>
      <c r="T6882" s="1479"/>
      <c r="U6882" s="48"/>
      <c r="V6882" s="48"/>
    </row>
    <row r="6883" spans="7:22">
      <c r="G6883" s="48"/>
      <c r="H6883" s="48"/>
      <c r="I6883" s="1475"/>
      <c r="J6883" s="49"/>
      <c r="K6883" s="1498"/>
      <c r="L6883" s="49"/>
      <c r="M6883" s="1498"/>
      <c r="N6883" s="49"/>
      <c r="O6883" s="644"/>
      <c r="P6883" s="644"/>
      <c r="Q6883" s="1290"/>
      <c r="R6883" s="644"/>
      <c r="S6883" s="48"/>
      <c r="T6883" s="1479"/>
      <c r="U6883" s="48"/>
      <c r="V6883" s="48"/>
    </row>
    <row r="6884" spans="7:22">
      <c r="G6884" s="48"/>
      <c r="H6884" s="48"/>
      <c r="I6884" s="1475"/>
      <c r="J6884" s="49"/>
      <c r="K6884" s="1498"/>
      <c r="L6884" s="49"/>
      <c r="M6884" s="1498"/>
      <c r="N6884" s="49"/>
      <c r="O6884" s="644"/>
      <c r="P6884" s="644"/>
      <c r="Q6884" s="1290"/>
      <c r="R6884" s="644"/>
      <c r="S6884" s="48"/>
      <c r="T6884" s="1479"/>
      <c r="U6884" s="48"/>
      <c r="V6884" s="48"/>
    </row>
    <row r="6885" spans="7:22">
      <c r="G6885" s="48"/>
      <c r="H6885" s="48"/>
      <c r="I6885" s="1475"/>
      <c r="J6885" s="49"/>
      <c r="K6885" s="1498"/>
      <c r="L6885" s="49"/>
      <c r="M6885" s="1498"/>
      <c r="N6885" s="49"/>
      <c r="O6885" s="644"/>
      <c r="P6885" s="644"/>
      <c r="Q6885" s="1290"/>
      <c r="R6885" s="644"/>
      <c r="S6885" s="48"/>
      <c r="T6885" s="1479"/>
      <c r="U6885" s="48"/>
      <c r="V6885" s="48"/>
    </row>
    <row r="6886" spans="7:22">
      <c r="G6886" s="48"/>
      <c r="H6886" s="48"/>
      <c r="I6886" s="1475"/>
      <c r="J6886" s="49"/>
      <c r="K6886" s="1498"/>
      <c r="L6886" s="49"/>
      <c r="M6886" s="1498"/>
      <c r="N6886" s="49"/>
      <c r="O6886" s="644"/>
      <c r="P6886" s="644"/>
      <c r="Q6886" s="1290"/>
      <c r="R6886" s="644"/>
      <c r="S6886" s="48"/>
      <c r="T6886" s="1479"/>
      <c r="U6886" s="48"/>
      <c r="V6886" s="48"/>
    </row>
    <row r="6887" spans="7:22">
      <c r="G6887" s="48"/>
      <c r="H6887" s="48"/>
      <c r="I6887" s="48"/>
      <c r="J6887" s="49"/>
      <c r="K6887" s="1498"/>
      <c r="L6887" s="49"/>
      <c r="M6887" s="1498"/>
      <c r="N6887" s="49"/>
      <c r="O6887" s="644"/>
      <c r="P6887" s="644"/>
      <c r="Q6887" s="1290"/>
      <c r="R6887" s="644"/>
      <c r="S6887" s="48"/>
      <c r="T6887" s="1479"/>
      <c r="U6887" s="48"/>
      <c r="V6887" s="48"/>
    </row>
    <row r="6888" spans="7:22">
      <c r="G6888" s="48"/>
      <c r="H6888" s="48"/>
      <c r="I6888" s="48"/>
      <c r="J6888" s="954">
        <f>SUM(J6869:J6887)</f>
        <v>274000000</v>
      </c>
      <c r="K6888" s="954"/>
      <c r="L6888" s="954">
        <f>SUM(L6869:L6887)</f>
        <v>11100000</v>
      </c>
      <c r="M6888" s="1498"/>
      <c r="N6888" s="954">
        <f>SUM(N6869:N6887)</f>
        <v>1275200000</v>
      </c>
      <c r="O6888" s="644"/>
      <c r="P6888" s="969">
        <f>SUM(P6869:P6876)</f>
        <v>50000000</v>
      </c>
      <c r="Q6888" s="969"/>
      <c r="R6888" s="969">
        <f>SUM(R6869:R6887)</f>
        <v>0</v>
      </c>
      <c r="S6888" s="48"/>
      <c r="T6888" s="1178">
        <f>SUM(T6869:T6887)</f>
        <v>10000</v>
      </c>
      <c r="U6888" s="48"/>
      <c r="V6888" s="878">
        <f>SUM(V6869:V6887)</f>
        <v>10000</v>
      </c>
    </row>
    <row r="6889" spans="7:22">
      <c r="T6889" s="1478"/>
    </row>
    <row r="6890" spans="7:22">
      <c r="T6890" s="1478"/>
    </row>
    <row r="6891" spans="7:22">
      <c r="R6891" s="661"/>
      <c r="T6891" s="1478"/>
    </row>
    <row r="6892" spans="7:22">
      <c r="T6892" s="1478"/>
    </row>
    <row r="6893" spans="7:22">
      <c r="K6893" s="3" t="s">
        <v>5310</v>
      </c>
      <c r="T6893" s="1478"/>
    </row>
    <row r="6894" spans="7:22">
      <c r="I6894" s="946"/>
      <c r="M6894" s="1533" t="s">
        <v>3699</v>
      </c>
      <c r="O6894" s="1535" t="s">
        <v>3741</v>
      </c>
      <c r="P6894" s="1512">
        <f>P6888-R6888</f>
        <v>50000000</v>
      </c>
      <c r="S6894" s="906" t="s">
        <v>4049</v>
      </c>
      <c r="T6894" s="1107">
        <f>T6888-V6888</f>
        <v>0</v>
      </c>
    </row>
    <row r="6895" spans="7:22">
      <c r="G6895" s="1574" t="s">
        <v>3530</v>
      </c>
      <c r="H6895" s="1574"/>
      <c r="I6895" s="1574"/>
      <c r="J6895" s="3">
        <f>J6888+L6888</f>
        <v>285100000</v>
      </c>
      <c r="K6895" s="1009"/>
      <c r="L6895" s="3"/>
      <c r="M6895" s="1533" t="s">
        <v>3664</v>
      </c>
      <c r="N6895" s="1527"/>
      <c r="O6895" s="1535" t="s">
        <v>4066</v>
      </c>
      <c r="P6895" s="1512"/>
      <c r="T6895" s="1478"/>
    </row>
    <row r="6896" spans="7:22">
      <c r="G6896" s="1574" t="s">
        <v>3512</v>
      </c>
      <c r="H6896" s="1574"/>
      <c r="I6896" s="1574"/>
      <c r="J6896" s="3">
        <f>N6888-J6895</f>
        <v>990100000</v>
      </c>
      <c r="K6896" s="1009"/>
      <c r="L6896" s="3"/>
      <c r="M6896" s="1528"/>
      <c r="O6896" s="1529"/>
      <c r="Q6896" s="661"/>
      <c r="T6896" s="1478"/>
    </row>
    <row r="6897" spans="7:22">
      <c r="G6897" s="1574" t="s">
        <v>3531</v>
      </c>
      <c r="H6897" s="1574"/>
      <c r="I6897" s="1574"/>
      <c r="J6897" s="3">
        <f>+T6894</f>
        <v>0</v>
      </c>
      <c r="Q6897" s="3"/>
      <c r="T6897" s="1478"/>
    </row>
    <row r="6898" spans="7:22">
      <c r="G6898" s="1564" t="s">
        <v>4455</v>
      </c>
      <c r="H6898" s="1564"/>
      <c r="I6898" s="1564"/>
      <c r="J6898" s="3">
        <f>+P6894</f>
        <v>50000000</v>
      </c>
      <c r="R6898" s="3"/>
      <c r="T6898" s="1478"/>
    </row>
    <row r="6899" spans="7:22">
      <c r="T6899" s="1478"/>
    </row>
    <row r="6900" spans="7:22">
      <c r="T6900" s="1478"/>
    </row>
    <row r="6901" spans="7:22">
      <c r="T6901" s="1485"/>
    </row>
    <row r="6902" spans="7:22">
      <c r="T6902" s="1485"/>
    </row>
    <row r="6903" spans="7:22">
      <c r="T6903" s="1485"/>
    </row>
    <row r="6904" spans="7:22">
      <c r="G6904" s="1008">
        <v>46158</v>
      </c>
      <c r="H6904" s="1169"/>
      <c r="I6904" s="1575" t="s">
        <v>3510</v>
      </c>
      <c r="J6904" s="1576"/>
      <c r="K6904" s="1575" t="s">
        <v>3509</v>
      </c>
      <c r="L6904" s="1576"/>
      <c r="M6904" s="1575" t="s">
        <v>3541</v>
      </c>
      <c r="N6904" s="1576"/>
      <c r="O6904" s="1577" t="s">
        <v>3598</v>
      </c>
      <c r="P6904" s="1578"/>
      <c r="Q6904" s="1579" t="s">
        <v>3599</v>
      </c>
      <c r="R6904" s="1580"/>
      <c r="S6904" s="1581" t="s">
        <v>3953</v>
      </c>
      <c r="T6904" s="1582"/>
      <c r="U6904" s="1581" t="s">
        <v>3954</v>
      </c>
      <c r="V6904" s="1582"/>
    </row>
    <row r="6905" spans="7:22">
      <c r="G6905" s="1097"/>
      <c r="H6905" s="1261"/>
      <c r="I6905" s="1493" t="s">
        <v>5741</v>
      </c>
      <c r="J6905" s="1081">
        <v>30800000</v>
      </c>
      <c r="K6905" s="1493" t="s">
        <v>5742</v>
      </c>
      <c r="L6905" s="1081">
        <v>14500000</v>
      </c>
      <c r="M6905" s="1495" t="s">
        <v>4613</v>
      </c>
      <c r="N6905" s="1495">
        <v>390000000</v>
      </c>
      <c r="O6905" s="1383"/>
      <c r="P6905" s="644"/>
      <c r="Q6905" s="1279"/>
      <c r="R6905" s="644"/>
      <c r="S6905" s="1494" t="s">
        <v>5740</v>
      </c>
      <c r="T6905" s="1191">
        <v>36000</v>
      </c>
      <c r="U6905" s="1232"/>
      <c r="V6905" s="48"/>
    </row>
    <row r="6906" spans="7:22">
      <c r="G6906" s="1098"/>
      <c r="H6906" s="1172"/>
      <c r="I6906" s="1493" t="s">
        <v>5743</v>
      </c>
      <c r="J6906" s="1081">
        <v>18400000</v>
      </c>
      <c r="K6906" s="1493" t="s">
        <v>5744</v>
      </c>
      <c r="L6906" s="1081">
        <v>1800000</v>
      </c>
      <c r="M6906" s="1493" t="s">
        <v>5738</v>
      </c>
      <c r="N6906" s="1081">
        <v>5000000</v>
      </c>
      <c r="O6906" s="1383" t="s">
        <v>5262</v>
      </c>
      <c r="P6906" s="644">
        <v>12000000</v>
      </c>
      <c r="Q6906" s="1410"/>
      <c r="R6906" s="1290"/>
      <c r="S6906" s="1481"/>
      <c r="T6906" s="1191"/>
      <c r="U6906" s="48"/>
      <c r="V6906" s="49"/>
    </row>
    <row r="6907" spans="7:22">
      <c r="G6907" s="48"/>
      <c r="H6907" s="48"/>
      <c r="I6907" s="1493" t="s">
        <v>5745</v>
      </c>
      <c r="J6907" s="1081">
        <v>46000000</v>
      </c>
      <c r="K6907" s="1493" t="s">
        <v>5747</v>
      </c>
      <c r="L6907" s="1081">
        <v>1000000</v>
      </c>
      <c r="M6907" s="1493" t="s">
        <v>5739</v>
      </c>
      <c r="N6907" s="49">
        <v>5800000</v>
      </c>
      <c r="O6907" s="1495"/>
      <c r="P6907" s="644"/>
      <c r="Q6907" s="1412"/>
      <c r="R6907" s="644"/>
      <c r="S6907" s="1490"/>
      <c r="T6907" s="1191"/>
      <c r="U6907" s="1484"/>
      <c r="V6907" s="1191"/>
    </row>
    <row r="6908" spans="7:22" ht="16.2">
      <c r="G6908" s="48"/>
      <c r="H6908" s="48"/>
      <c r="I6908" s="1487"/>
      <c r="J6908" s="1489"/>
      <c r="K6908" s="1493" t="s">
        <v>4547</v>
      </c>
      <c r="L6908" s="1081">
        <v>400000</v>
      </c>
      <c r="M6908" s="1495" t="s">
        <v>5479</v>
      </c>
      <c r="N6908" s="49">
        <v>5000000</v>
      </c>
      <c r="O6908" s="1383"/>
      <c r="P6908" s="644"/>
      <c r="Q6908" s="1422"/>
      <c r="R6908" s="644"/>
      <c r="S6908" s="1459"/>
      <c r="T6908" s="1486"/>
      <c r="U6908" s="1484"/>
      <c r="V6908" s="1486"/>
    </row>
    <row r="6909" spans="7:22">
      <c r="G6909" s="48"/>
      <c r="H6909" s="48"/>
      <c r="I6909" s="1493" t="s">
        <v>5748</v>
      </c>
      <c r="J6909" s="1081">
        <f>21000000*0.93</f>
        <v>19530000</v>
      </c>
      <c r="K6909" s="1493" t="s">
        <v>5752</v>
      </c>
      <c r="L6909" s="1081">
        <v>1400000</v>
      </c>
      <c r="M6909" s="1495" t="s">
        <v>5746</v>
      </c>
      <c r="N6909" s="49">
        <v>29000000</v>
      </c>
      <c r="O6909" s="1383"/>
      <c r="P6909" s="644"/>
      <c r="Q6909" s="1422"/>
      <c r="R6909" s="644"/>
      <c r="S6909" s="1449"/>
      <c r="T6909" s="1486"/>
      <c r="U6909" s="1408"/>
      <c r="V6909" s="49"/>
    </row>
    <row r="6910" spans="7:22">
      <c r="G6910" s="48"/>
      <c r="H6910" s="48"/>
      <c r="I6910" s="1493" t="s">
        <v>5749</v>
      </c>
      <c r="J6910" s="1081">
        <f>40000000*0.93</f>
        <v>37200000</v>
      </c>
      <c r="K6910" s="1493" t="s">
        <v>5754</v>
      </c>
      <c r="L6910" s="1081">
        <f>6000000+4000000</f>
        <v>10000000</v>
      </c>
      <c r="M6910" s="1495" t="s">
        <v>5753</v>
      </c>
      <c r="N6910" s="49">
        <v>30000000</v>
      </c>
      <c r="O6910" s="1383"/>
      <c r="P6910" s="644"/>
      <c r="Q6910" s="1382"/>
      <c r="R6910" s="644"/>
      <c r="S6910" s="1449"/>
      <c r="T6910" s="1486"/>
      <c r="U6910" s="1416"/>
      <c r="V6910" s="49"/>
    </row>
    <row r="6911" spans="7:22">
      <c r="G6911" s="48"/>
      <c r="H6911" s="48"/>
      <c r="I6911" s="1493" t="s">
        <v>5750</v>
      </c>
      <c r="J6911" s="1081">
        <f>33000000*0.93</f>
        <v>30690000</v>
      </c>
      <c r="K6911" s="1493" t="s">
        <v>5755</v>
      </c>
      <c r="L6911" s="1081">
        <v>4000000</v>
      </c>
      <c r="M6911" s="1493"/>
      <c r="N6911" s="49"/>
      <c r="O6911" s="1383"/>
      <c r="P6911" s="644"/>
      <c r="Q6911" s="1383"/>
      <c r="R6911" s="644"/>
      <c r="S6911" s="1451"/>
      <c r="T6911" s="1486"/>
      <c r="U6911" s="1438"/>
      <c r="V6911" s="49"/>
    </row>
    <row r="6912" spans="7:22">
      <c r="G6912" s="48"/>
      <c r="H6912" s="48"/>
      <c r="I6912" s="1493" t="s">
        <v>5751</v>
      </c>
      <c r="J6912" s="1081">
        <f>33000000*0.93</f>
        <v>30690000</v>
      </c>
      <c r="K6912" s="1493" t="s">
        <v>5756</v>
      </c>
      <c r="L6912" s="1081">
        <v>21923000</v>
      </c>
      <c r="M6912" s="1495"/>
      <c r="N6912" s="49"/>
      <c r="O6912" s="1383"/>
      <c r="P6912" s="644"/>
      <c r="Q6912" s="1385"/>
      <c r="R6912" s="644"/>
      <c r="S6912" s="48"/>
      <c r="T6912" s="1486"/>
      <c r="U6912" s="1416"/>
      <c r="V6912" s="49"/>
    </row>
    <row r="6913" spans="7:22">
      <c r="G6913" s="48"/>
      <c r="H6913" s="48"/>
      <c r="I6913" s="1487"/>
      <c r="J6913" s="1081"/>
      <c r="K6913" s="1493" t="s">
        <v>5757</v>
      </c>
      <c r="L6913" s="1081">
        <f>4000000+4000000</f>
        <v>8000000</v>
      </c>
      <c r="M6913" s="1495"/>
      <c r="N6913" s="49"/>
      <c r="O6913" s="644"/>
      <c r="P6913" s="644"/>
      <c r="Q6913" s="1383"/>
      <c r="R6913" s="644"/>
      <c r="S6913" s="48"/>
      <c r="T6913" s="1486"/>
      <c r="U6913" s="1408"/>
      <c r="V6913" s="49"/>
    </row>
    <row r="6914" spans="7:22">
      <c r="G6914" s="48"/>
      <c r="H6914" s="48"/>
      <c r="I6914" s="1488"/>
      <c r="J6914" s="1081"/>
      <c r="K6914" s="1509"/>
      <c r="L6914" s="1081"/>
      <c r="M6914" s="1498"/>
      <c r="N6914" s="49"/>
      <c r="O6914" s="644"/>
      <c r="P6914" s="644"/>
      <c r="Q6914" s="1290"/>
      <c r="R6914" s="644"/>
      <c r="S6914" s="48"/>
      <c r="T6914" s="1486"/>
      <c r="U6914" s="1408"/>
      <c r="V6914" s="49"/>
    </row>
    <row r="6915" spans="7:22">
      <c r="G6915" s="48"/>
      <c r="H6915" s="48"/>
      <c r="I6915" s="1488"/>
      <c r="J6915" s="1081"/>
      <c r="K6915" s="1493"/>
      <c r="L6915" s="1081"/>
      <c r="M6915" s="1498"/>
      <c r="N6915" s="49"/>
      <c r="O6915" s="644"/>
      <c r="P6915" s="644"/>
      <c r="Q6915" s="1383"/>
      <c r="R6915" s="644"/>
      <c r="S6915" s="48"/>
      <c r="T6915" s="1486"/>
      <c r="U6915" s="48"/>
      <c r="V6915" s="48"/>
    </row>
    <row r="6916" spans="7:22">
      <c r="G6916" s="48"/>
      <c r="H6916" s="48"/>
      <c r="I6916" s="1474"/>
      <c r="J6916" s="1081"/>
      <c r="K6916" s="1509"/>
      <c r="L6916" s="1081"/>
      <c r="M6916" s="1498"/>
      <c r="N6916" s="49"/>
      <c r="O6916" s="644"/>
      <c r="P6916" s="644"/>
      <c r="Q6916" s="1290"/>
      <c r="R6916" s="644"/>
      <c r="S6916" s="48"/>
      <c r="T6916" s="1486"/>
      <c r="U6916" s="48"/>
      <c r="V6916" s="48"/>
    </row>
    <row r="6917" spans="7:22">
      <c r="G6917" s="48"/>
      <c r="H6917" s="48"/>
      <c r="I6917" s="1474"/>
      <c r="J6917" s="1081"/>
      <c r="K6917" s="1509"/>
      <c r="L6917" s="1081"/>
      <c r="M6917" s="1498"/>
      <c r="N6917" s="49"/>
      <c r="O6917" s="644"/>
      <c r="P6917" s="644"/>
      <c r="Q6917" s="1290"/>
      <c r="R6917" s="644"/>
      <c r="S6917" s="48"/>
      <c r="T6917" s="1486"/>
      <c r="U6917" s="48"/>
      <c r="V6917" s="48"/>
    </row>
    <row r="6918" spans="7:22">
      <c r="G6918" s="48"/>
      <c r="H6918" s="48"/>
      <c r="I6918" s="1475"/>
      <c r="J6918" s="49"/>
      <c r="K6918" s="1498"/>
      <c r="L6918" s="49"/>
      <c r="M6918" s="1498"/>
      <c r="N6918" s="49"/>
      <c r="O6918" s="644"/>
      <c r="P6918" s="644"/>
      <c r="Q6918" s="1290"/>
      <c r="R6918" s="644"/>
      <c r="S6918" s="48"/>
      <c r="T6918" s="1486"/>
      <c r="U6918" s="48"/>
      <c r="V6918" s="48"/>
    </row>
    <row r="6919" spans="7:22">
      <c r="G6919" s="48"/>
      <c r="H6919" s="48"/>
      <c r="I6919" s="1475"/>
      <c r="J6919" s="49"/>
      <c r="K6919" s="1498"/>
      <c r="L6919" s="49"/>
      <c r="M6919" s="1498"/>
      <c r="N6919" s="49"/>
      <c r="O6919" s="644"/>
      <c r="P6919" s="644"/>
      <c r="Q6919" s="1290"/>
      <c r="R6919" s="644"/>
      <c r="S6919" s="48"/>
      <c r="T6919" s="1486"/>
      <c r="U6919" s="48"/>
      <c r="V6919" s="48"/>
    </row>
    <row r="6920" spans="7:22">
      <c r="G6920" s="48"/>
      <c r="H6920" s="48"/>
      <c r="I6920" s="1475"/>
      <c r="J6920" s="49"/>
      <c r="K6920" s="1498"/>
      <c r="L6920" s="49"/>
      <c r="M6920" s="1498"/>
      <c r="N6920" s="49"/>
      <c r="O6920" s="644"/>
      <c r="P6920" s="644"/>
      <c r="Q6920" s="1290"/>
      <c r="R6920" s="644"/>
      <c r="S6920" s="48"/>
      <c r="T6920" s="1486"/>
      <c r="U6920" s="48"/>
      <c r="V6920" s="48"/>
    </row>
    <row r="6921" spans="7:22">
      <c r="G6921" s="48"/>
      <c r="H6921" s="48"/>
      <c r="I6921" s="1475"/>
      <c r="J6921" s="49"/>
      <c r="K6921" s="1498"/>
      <c r="L6921" s="49"/>
      <c r="M6921" s="1498"/>
      <c r="N6921" s="49"/>
      <c r="O6921" s="644"/>
      <c r="P6921" s="644"/>
      <c r="Q6921" s="1290"/>
      <c r="R6921" s="644"/>
      <c r="S6921" s="48"/>
      <c r="T6921" s="1486"/>
      <c r="U6921" s="48"/>
      <c r="V6921" s="48"/>
    </row>
    <row r="6922" spans="7:22">
      <c r="G6922" s="48"/>
      <c r="H6922" s="48"/>
      <c r="I6922" s="1475"/>
      <c r="J6922" s="49"/>
      <c r="K6922" s="1498"/>
      <c r="L6922" s="49"/>
      <c r="M6922" s="1498"/>
      <c r="N6922" s="49"/>
      <c r="O6922" s="644"/>
      <c r="P6922" s="644"/>
      <c r="Q6922" s="1290"/>
      <c r="R6922" s="644"/>
      <c r="S6922" s="48"/>
      <c r="T6922" s="1486"/>
      <c r="U6922" s="48"/>
      <c r="V6922" s="48"/>
    </row>
    <row r="6923" spans="7:22">
      <c r="G6923" s="48"/>
      <c r="H6923" s="48"/>
      <c r="I6923" s="48"/>
      <c r="J6923" s="49"/>
      <c r="K6923" s="1498"/>
      <c r="L6923" s="49"/>
      <c r="M6923" s="1498"/>
      <c r="N6923" s="49"/>
      <c r="O6923" s="644"/>
      <c r="P6923" s="644"/>
      <c r="Q6923" s="1290"/>
      <c r="R6923" s="644"/>
      <c r="S6923" s="48"/>
      <c r="T6923" s="1486"/>
      <c r="U6923" s="48"/>
      <c r="V6923" s="48"/>
    </row>
    <row r="6924" spans="7:22">
      <c r="G6924" s="48"/>
      <c r="H6924" s="48"/>
      <c r="I6924" s="48"/>
      <c r="J6924" s="954">
        <f>SUM(J6905:J6923)</f>
        <v>213310000</v>
      </c>
      <c r="K6924" s="954"/>
      <c r="L6924" s="954">
        <f>SUM(L6905:L6923)</f>
        <v>63023000</v>
      </c>
      <c r="M6924" s="1498"/>
      <c r="N6924" s="954">
        <f>SUM(N6905:N6923)</f>
        <v>464800000</v>
      </c>
      <c r="O6924" s="644"/>
      <c r="P6924" s="969">
        <f>SUM(P6905:P6912)</f>
        <v>12000000</v>
      </c>
      <c r="Q6924" s="969"/>
      <c r="R6924" s="969">
        <f>SUM(R6905:R6923)</f>
        <v>0</v>
      </c>
      <c r="S6924" s="48"/>
      <c r="T6924" s="1178">
        <f>SUM(T6905:T6923)</f>
        <v>36000</v>
      </c>
      <c r="U6924" s="48"/>
      <c r="V6924" s="878">
        <f>SUM(V6905:V6923)</f>
        <v>0</v>
      </c>
    </row>
    <row r="6925" spans="7:22">
      <c r="T6925" s="1485"/>
    </row>
    <row r="6926" spans="7:22">
      <c r="T6926" s="1485"/>
    </row>
    <row r="6927" spans="7:22">
      <c r="R6927" s="661"/>
      <c r="T6927" s="1485"/>
    </row>
    <row r="6928" spans="7:22">
      <c r="T6928" s="1485"/>
    </row>
    <row r="6929" spans="7:22">
      <c r="K6929" s="3" t="s">
        <v>5310</v>
      </c>
      <c r="T6929" s="1485"/>
    </row>
    <row r="6930" spans="7:22">
      <c r="I6930" s="946"/>
      <c r="M6930" s="1533" t="s">
        <v>3699</v>
      </c>
      <c r="O6930" s="1535" t="s">
        <v>3741</v>
      </c>
      <c r="P6930" s="1512">
        <f>P6924-R6924</f>
        <v>12000000</v>
      </c>
      <c r="S6930" s="906" t="s">
        <v>4049</v>
      </c>
      <c r="T6930" s="1107">
        <f>T6924-V6924</f>
        <v>36000</v>
      </c>
    </row>
    <row r="6931" spans="7:22">
      <c r="G6931" s="1574" t="s">
        <v>3530</v>
      </c>
      <c r="H6931" s="1574"/>
      <c r="I6931" s="1574"/>
      <c r="J6931" s="3">
        <f>J6924+L6924</f>
        <v>276333000</v>
      </c>
      <c r="K6931" s="1009"/>
      <c r="L6931" s="3"/>
      <c r="M6931" s="1533" t="s">
        <v>3664</v>
      </c>
      <c r="N6931" s="1527"/>
      <c r="O6931" s="1535" t="s">
        <v>4066</v>
      </c>
      <c r="P6931" s="1512"/>
      <c r="T6931" s="1485"/>
    </row>
    <row r="6932" spans="7:22">
      <c r="G6932" s="1574" t="s">
        <v>3512</v>
      </c>
      <c r="H6932" s="1574"/>
      <c r="I6932" s="1574"/>
      <c r="J6932" s="3">
        <f>N6924-J6931</f>
        <v>188467000</v>
      </c>
      <c r="K6932" s="1009"/>
      <c r="L6932" s="3"/>
      <c r="M6932" s="1528"/>
      <c r="O6932" s="1529"/>
      <c r="Q6932" s="661"/>
      <c r="T6932" s="1485"/>
    </row>
    <row r="6933" spans="7:22">
      <c r="G6933" s="1574" t="s">
        <v>3531</v>
      </c>
      <c r="H6933" s="1574"/>
      <c r="I6933" s="1574"/>
      <c r="J6933" s="3">
        <f>+T6930</f>
        <v>36000</v>
      </c>
      <c r="Q6933" s="3"/>
      <c r="T6933" s="1485"/>
    </row>
    <row r="6934" spans="7:22">
      <c r="G6934" s="1564" t="s">
        <v>4455</v>
      </c>
      <c r="H6934" s="1564"/>
      <c r="I6934" s="1564"/>
      <c r="J6934" s="3">
        <f>+P6930</f>
        <v>12000000</v>
      </c>
      <c r="R6934" s="3"/>
      <c r="T6934" s="1485"/>
    </row>
    <row r="6935" spans="7:22">
      <c r="T6935" s="1485"/>
    </row>
    <row r="6938" spans="7:22">
      <c r="T6938" s="1491"/>
    </row>
    <row r="6939" spans="7:22">
      <c r="T6939" s="1491"/>
    </row>
    <row r="6940" spans="7:22">
      <c r="T6940" s="1491"/>
    </row>
    <row r="6941" spans="7:22">
      <c r="G6941" s="1008">
        <v>46160</v>
      </c>
      <c r="H6941" s="1169"/>
      <c r="I6941" s="1575" t="s">
        <v>3510</v>
      </c>
      <c r="J6941" s="1576"/>
      <c r="K6941" s="1575" t="s">
        <v>3509</v>
      </c>
      <c r="L6941" s="1576"/>
      <c r="M6941" s="1575" t="s">
        <v>3541</v>
      </c>
      <c r="N6941" s="1576"/>
      <c r="O6941" s="1577" t="s">
        <v>3598</v>
      </c>
      <c r="P6941" s="1578"/>
      <c r="Q6941" s="1579" t="s">
        <v>3599</v>
      </c>
      <c r="R6941" s="1580"/>
      <c r="S6941" s="1581" t="s">
        <v>3953</v>
      </c>
      <c r="T6941" s="1582"/>
      <c r="U6941" s="1581" t="s">
        <v>3954</v>
      </c>
      <c r="V6941" s="1582"/>
    </row>
    <row r="6942" spans="7:22">
      <c r="G6942" s="1261"/>
      <c r="H6942" s="1261"/>
      <c r="I6942" s="1493" t="s">
        <v>5762</v>
      </c>
      <c r="J6942" s="1081">
        <v>46000000</v>
      </c>
      <c r="K6942" s="1493" t="s">
        <v>3537</v>
      </c>
      <c r="L6942" s="1081">
        <v>1050000</v>
      </c>
      <c r="M6942" s="1495" t="s">
        <v>4613</v>
      </c>
      <c r="N6942" s="1495">
        <v>186600000</v>
      </c>
      <c r="O6942" s="1383"/>
      <c r="P6942" s="644"/>
      <c r="Q6942" s="1495"/>
      <c r="R6942" s="644"/>
      <c r="S6942" s="1494" t="s">
        <v>4613</v>
      </c>
      <c r="T6942" s="1191">
        <v>36000</v>
      </c>
      <c r="U6942" s="1395"/>
      <c r="V6942" s="48"/>
    </row>
    <row r="6943" spans="7:22">
      <c r="G6943" s="1494"/>
      <c r="H6943" s="1494"/>
      <c r="I6943" s="1493" t="s">
        <v>5763</v>
      </c>
      <c r="J6943" s="1081">
        <v>46000000</v>
      </c>
      <c r="K6943" s="1493" t="s">
        <v>4913</v>
      </c>
      <c r="L6943" s="1081">
        <v>2500000</v>
      </c>
      <c r="M6943" s="1493" t="s">
        <v>5759</v>
      </c>
      <c r="N6943" s="1081">
        <v>14000000</v>
      </c>
      <c r="O6943" s="1383" t="s">
        <v>5262</v>
      </c>
      <c r="P6943" s="644">
        <v>15000000</v>
      </c>
      <c r="Q6943" s="1493"/>
      <c r="R6943" s="1383"/>
      <c r="S6943" s="1481"/>
      <c r="T6943" s="1191">
        <v>100</v>
      </c>
      <c r="U6943" s="48"/>
      <c r="V6943" s="49"/>
    </row>
    <row r="6944" spans="7:22">
      <c r="G6944" s="48"/>
      <c r="H6944" s="48"/>
      <c r="I6944" s="1493" t="s">
        <v>5764</v>
      </c>
      <c r="J6944" s="1081">
        <v>93000000</v>
      </c>
      <c r="K6944" s="1493" t="s">
        <v>4420</v>
      </c>
      <c r="L6944" s="1081">
        <v>1210000</v>
      </c>
      <c r="M6944" s="1493" t="s">
        <v>5760</v>
      </c>
      <c r="N6944" s="49">
        <v>30000000</v>
      </c>
      <c r="O6944" s="1495"/>
      <c r="P6944" s="644"/>
      <c r="Q6944" s="1422"/>
      <c r="R6944" s="644"/>
      <c r="S6944" s="1495"/>
      <c r="T6944" s="1191"/>
      <c r="U6944" s="1494"/>
      <c r="V6944" s="1191"/>
    </row>
    <row r="6945" spans="7:22" ht="16.2">
      <c r="G6945" s="48"/>
      <c r="H6945" s="48"/>
      <c r="I6945" s="1493" t="s">
        <v>5765</v>
      </c>
      <c r="J6945" s="1489">
        <f>33000000*0.93</f>
        <v>30690000</v>
      </c>
      <c r="K6945" s="1493" t="s">
        <v>4541</v>
      </c>
      <c r="L6945" s="1081">
        <v>400000</v>
      </c>
      <c r="M6945" s="1495" t="s">
        <v>5568</v>
      </c>
      <c r="N6945" s="49">
        <v>860700000</v>
      </c>
      <c r="O6945" s="1383"/>
      <c r="P6945" s="644"/>
      <c r="Q6945" s="1422"/>
      <c r="R6945" s="644"/>
      <c r="S6945" s="1495"/>
      <c r="T6945" s="1492"/>
      <c r="U6945" s="1494"/>
      <c r="V6945" s="1492"/>
    </row>
    <row r="6946" spans="7:22">
      <c r="G6946" s="48"/>
      <c r="H6946" s="48"/>
      <c r="I6946" s="1493" t="s">
        <v>5766</v>
      </c>
      <c r="J6946" s="1081">
        <f>33000000*0.93</f>
        <v>30690000</v>
      </c>
      <c r="K6946" s="1493" t="s">
        <v>4495</v>
      </c>
      <c r="L6946" s="1081">
        <v>1000000</v>
      </c>
      <c r="M6946" s="1495"/>
      <c r="N6946" s="49"/>
      <c r="O6946" s="1383"/>
      <c r="P6946" s="644"/>
      <c r="Q6946" s="1422"/>
      <c r="R6946" s="644"/>
      <c r="S6946" s="1494"/>
      <c r="T6946" s="1492"/>
      <c r="U6946" s="1494"/>
      <c r="V6946" s="49"/>
    </row>
    <row r="6947" spans="7:22">
      <c r="G6947" s="48"/>
      <c r="H6947" s="48"/>
      <c r="I6947" s="1493"/>
      <c r="J6947" s="1081"/>
      <c r="K6947" s="1493"/>
      <c r="L6947" s="1081"/>
      <c r="M6947" s="1495"/>
      <c r="N6947" s="49"/>
      <c r="O6947" s="1383"/>
      <c r="P6947" s="644"/>
      <c r="Q6947" s="1494"/>
      <c r="R6947" s="644"/>
      <c r="S6947" s="1494"/>
      <c r="T6947" s="1492"/>
      <c r="U6947" s="1488"/>
      <c r="V6947" s="49"/>
    </row>
    <row r="6948" spans="7:22">
      <c r="G6948" s="48"/>
      <c r="H6948" s="48"/>
      <c r="I6948" s="1493"/>
      <c r="J6948" s="1081"/>
      <c r="K6948" s="1493"/>
      <c r="L6948" s="1081"/>
      <c r="M6948" s="1493"/>
      <c r="N6948" s="49"/>
      <c r="O6948" s="1383"/>
      <c r="P6948" s="644"/>
      <c r="Q6948" s="1383"/>
      <c r="R6948" s="644"/>
      <c r="S6948" s="1481"/>
      <c r="T6948" s="1492"/>
      <c r="U6948" s="1488"/>
      <c r="V6948" s="49"/>
    </row>
    <row r="6949" spans="7:22">
      <c r="G6949" s="48"/>
      <c r="H6949" s="48"/>
      <c r="I6949" s="1493"/>
      <c r="J6949" s="1081"/>
      <c r="K6949" s="1493"/>
      <c r="L6949" s="1081"/>
      <c r="M6949" s="1495"/>
      <c r="N6949" s="49"/>
      <c r="O6949" s="1383"/>
      <c r="P6949" s="644"/>
      <c r="Q6949" s="1385"/>
      <c r="R6949" s="644"/>
      <c r="S6949" s="48"/>
      <c r="T6949" s="1492"/>
      <c r="U6949" s="1488"/>
      <c r="V6949" s="49"/>
    </row>
    <row r="6950" spans="7:22">
      <c r="G6950" s="48"/>
      <c r="H6950" s="48"/>
      <c r="I6950" s="1493"/>
      <c r="J6950" s="1081"/>
      <c r="K6950" s="1493"/>
      <c r="L6950" s="1081"/>
      <c r="M6950" s="1495"/>
      <c r="N6950" s="49"/>
      <c r="O6950" s="644"/>
      <c r="P6950" s="644"/>
      <c r="Q6950" s="1383"/>
      <c r="R6950" s="644"/>
      <c r="S6950" s="48"/>
      <c r="T6950" s="1492"/>
      <c r="U6950" s="1494"/>
      <c r="V6950" s="49"/>
    </row>
    <row r="6951" spans="7:22">
      <c r="G6951" s="48"/>
      <c r="H6951" s="48"/>
      <c r="I6951" s="1488"/>
      <c r="J6951" s="1081"/>
      <c r="K6951" s="1509"/>
      <c r="L6951" s="1081"/>
      <c r="M6951" s="1498"/>
      <c r="N6951" s="49"/>
      <c r="O6951" s="644"/>
      <c r="P6951" s="644"/>
      <c r="Q6951" s="1383"/>
      <c r="R6951" s="644"/>
      <c r="S6951" s="48"/>
      <c r="T6951" s="1492"/>
      <c r="U6951" s="1494"/>
      <c r="V6951" s="49"/>
    </row>
    <row r="6952" spans="7:22">
      <c r="G6952" s="48"/>
      <c r="H6952" s="48"/>
      <c r="I6952" s="1488"/>
      <c r="J6952" s="1081"/>
      <c r="K6952" s="1493"/>
      <c r="L6952" s="1081"/>
      <c r="M6952" s="1498"/>
      <c r="N6952" s="49"/>
      <c r="O6952" s="644"/>
      <c r="P6952" s="644"/>
      <c r="Q6952" s="1383"/>
      <c r="R6952" s="644"/>
      <c r="S6952" s="48"/>
      <c r="T6952" s="1492"/>
      <c r="U6952" s="48"/>
      <c r="V6952" s="48"/>
    </row>
    <row r="6953" spans="7:22">
      <c r="G6953" s="48"/>
      <c r="H6953" s="48"/>
      <c r="I6953" s="1488"/>
      <c r="J6953" s="1081"/>
      <c r="K6953" s="1509"/>
      <c r="L6953" s="1081"/>
      <c r="M6953" s="1498"/>
      <c r="N6953" s="49"/>
      <c r="O6953" s="644"/>
      <c r="P6953" s="644"/>
      <c r="Q6953" s="1383"/>
      <c r="R6953" s="644"/>
      <c r="S6953" s="48"/>
      <c r="T6953" s="1492"/>
      <c r="U6953" s="48"/>
      <c r="V6953" s="48"/>
    </row>
    <row r="6954" spans="7:22">
      <c r="G6954" s="48"/>
      <c r="H6954" s="48"/>
      <c r="I6954" s="1488"/>
      <c r="J6954" s="1081"/>
      <c r="K6954" s="1509"/>
      <c r="L6954" s="1081"/>
      <c r="M6954" s="1498"/>
      <c r="N6954" s="49"/>
      <c r="O6954" s="644"/>
      <c r="P6954" s="644"/>
      <c r="Q6954" s="1383"/>
      <c r="R6954" s="644"/>
      <c r="S6954" s="48"/>
      <c r="T6954" s="1492"/>
      <c r="U6954" s="48"/>
      <c r="V6954" s="48"/>
    </row>
    <row r="6955" spans="7:22">
      <c r="G6955" s="48"/>
      <c r="H6955" s="48"/>
      <c r="I6955" s="1494"/>
      <c r="J6955" s="49"/>
      <c r="K6955" s="1498"/>
      <c r="L6955" s="49"/>
      <c r="M6955" s="1498"/>
      <c r="N6955" s="49"/>
      <c r="O6955" s="644"/>
      <c r="P6955" s="644"/>
      <c r="Q6955" s="1383"/>
      <c r="R6955" s="644"/>
      <c r="S6955" s="48"/>
      <c r="T6955" s="1492"/>
      <c r="U6955" s="48"/>
      <c r="V6955" s="48"/>
    </row>
    <row r="6956" spans="7:22">
      <c r="G6956" s="48"/>
      <c r="H6956" s="48"/>
      <c r="I6956" s="1494"/>
      <c r="J6956" s="49"/>
      <c r="K6956" s="1498"/>
      <c r="L6956" s="49"/>
      <c r="M6956" s="1498"/>
      <c r="N6956" s="49"/>
      <c r="O6956" s="644"/>
      <c r="P6956" s="644"/>
      <c r="Q6956" s="1383"/>
      <c r="R6956" s="644"/>
      <c r="S6956" s="48"/>
      <c r="T6956" s="1492"/>
      <c r="U6956" s="48"/>
      <c r="V6956" s="48"/>
    </row>
    <row r="6957" spans="7:22">
      <c r="G6957" s="48"/>
      <c r="H6957" s="48"/>
      <c r="I6957" s="1494"/>
      <c r="J6957" s="49"/>
      <c r="K6957" s="1498"/>
      <c r="L6957" s="49"/>
      <c r="M6957" s="1498"/>
      <c r="N6957" s="49"/>
      <c r="O6957" s="644"/>
      <c r="P6957" s="644"/>
      <c r="Q6957" s="1383"/>
      <c r="R6957" s="644"/>
      <c r="S6957" s="48"/>
      <c r="T6957" s="1492"/>
      <c r="U6957" s="48"/>
      <c r="V6957" s="48"/>
    </row>
    <row r="6958" spans="7:22">
      <c r="G6958" s="48"/>
      <c r="H6958" s="48"/>
      <c r="I6958" s="1494"/>
      <c r="J6958" s="49"/>
      <c r="K6958" s="1498"/>
      <c r="L6958" s="49"/>
      <c r="M6958" s="1498"/>
      <c r="N6958" s="49"/>
      <c r="O6958" s="644"/>
      <c r="P6958" s="644"/>
      <c r="Q6958" s="1383"/>
      <c r="R6958" s="644"/>
      <c r="S6958" s="48"/>
      <c r="T6958" s="1492"/>
      <c r="U6958" s="48"/>
      <c r="V6958" s="48"/>
    </row>
    <row r="6959" spans="7:22">
      <c r="G6959" s="48"/>
      <c r="H6959" s="48"/>
      <c r="I6959" s="1494"/>
      <c r="J6959" s="49"/>
      <c r="K6959" s="1498"/>
      <c r="L6959" s="49"/>
      <c r="M6959" s="1498"/>
      <c r="N6959" s="49"/>
      <c r="O6959" s="644"/>
      <c r="P6959" s="644"/>
      <c r="Q6959" s="1383"/>
      <c r="R6959" s="644"/>
      <c r="S6959" s="48"/>
      <c r="T6959" s="1492"/>
      <c r="U6959" s="48"/>
      <c r="V6959" s="48"/>
    </row>
    <row r="6960" spans="7:22">
      <c r="G6960" s="48"/>
      <c r="H6960" s="48"/>
      <c r="I6960" s="48"/>
      <c r="J6960" s="49"/>
      <c r="K6960" s="1498"/>
      <c r="L6960" s="49"/>
      <c r="M6960" s="1498"/>
      <c r="N6960" s="49"/>
      <c r="O6960" s="644"/>
      <c r="P6960" s="644"/>
      <c r="Q6960" s="1383"/>
      <c r="R6960" s="644"/>
      <c r="S6960" s="48"/>
      <c r="T6960" s="1492"/>
      <c r="U6960" s="48"/>
      <c r="V6960" s="48"/>
    </row>
    <row r="6961" spans="7:22">
      <c r="G6961" s="48"/>
      <c r="H6961" s="48"/>
      <c r="I6961" s="48"/>
      <c r="J6961" s="954">
        <f>SUM(J6942:J6960)</f>
        <v>246380000</v>
      </c>
      <c r="K6961" s="954"/>
      <c r="L6961" s="954">
        <f>SUM(L6942:L6960)</f>
        <v>6160000</v>
      </c>
      <c r="M6961" s="1498"/>
      <c r="N6961" s="954">
        <f>SUM(N6942:N6960)</f>
        <v>1091300000</v>
      </c>
      <c r="O6961" s="644"/>
      <c r="P6961" s="969">
        <f>SUM(P6942:P6949)</f>
        <v>15000000</v>
      </c>
      <c r="Q6961" s="969"/>
      <c r="R6961" s="969">
        <f>SUM(R6942:R6960)</f>
        <v>0</v>
      </c>
      <c r="S6961" s="48"/>
      <c r="T6961" s="1178">
        <f>SUM(T6942:T6960)</f>
        <v>36100</v>
      </c>
      <c r="U6961" s="48"/>
      <c r="V6961" s="878">
        <f>SUM(V6942:V6960)</f>
        <v>0</v>
      </c>
    </row>
    <row r="6962" spans="7:22">
      <c r="T6962" s="1491"/>
    </row>
    <row r="6963" spans="7:22">
      <c r="T6963" s="1491"/>
    </row>
    <row r="6964" spans="7:22">
      <c r="R6964" s="661"/>
      <c r="T6964" s="1491"/>
    </row>
    <row r="6965" spans="7:22">
      <c r="T6965" s="1491"/>
    </row>
    <row r="6966" spans="7:22">
      <c r="K6966" s="3" t="s">
        <v>5310</v>
      </c>
      <c r="T6966" s="1491"/>
    </row>
    <row r="6967" spans="7:22">
      <c r="I6967" s="946"/>
      <c r="M6967" s="1533" t="s">
        <v>3699</v>
      </c>
      <c r="O6967" s="1535" t="s">
        <v>3741</v>
      </c>
      <c r="P6967" s="1512">
        <f>P6961-R6961</f>
        <v>15000000</v>
      </c>
      <c r="S6967" s="906" t="s">
        <v>4049</v>
      </c>
      <c r="T6967" s="1107">
        <f>T6961-V6961</f>
        <v>36100</v>
      </c>
    </row>
    <row r="6968" spans="7:22">
      <c r="G6968" s="1574" t="s">
        <v>3530</v>
      </c>
      <c r="H6968" s="1574"/>
      <c r="I6968" s="1574"/>
      <c r="J6968" s="3">
        <f>J6961+L6961</f>
        <v>252540000</v>
      </c>
      <c r="K6968" s="1009"/>
      <c r="L6968" s="3"/>
      <c r="M6968" s="1533" t="s">
        <v>3664</v>
      </c>
      <c r="N6968" s="1527"/>
      <c r="O6968" s="1535" t="s">
        <v>4066</v>
      </c>
      <c r="P6968" s="1512"/>
      <c r="T6968" s="1491"/>
    </row>
    <row r="6969" spans="7:22">
      <c r="G6969" s="1574" t="s">
        <v>3512</v>
      </c>
      <c r="H6969" s="1574"/>
      <c r="I6969" s="1574"/>
      <c r="J6969" s="3">
        <f>N6961-J6968</f>
        <v>838760000</v>
      </c>
      <c r="K6969" s="1009"/>
      <c r="L6969" s="3"/>
      <c r="M6969" s="1528"/>
      <c r="O6969" s="1529"/>
      <c r="Q6969" s="661"/>
      <c r="T6969" s="1491"/>
    </row>
    <row r="6970" spans="7:22">
      <c r="G6970" s="1574" t="s">
        <v>3531</v>
      </c>
      <c r="H6970" s="1574"/>
      <c r="I6970" s="1574"/>
      <c r="J6970" s="3">
        <f>+T6967</f>
        <v>36100</v>
      </c>
      <c r="Q6970" s="3"/>
      <c r="T6970" s="1491"/>
    </row>
    <row r="6971" spans="7:22">
      <c r="G6971" s="1564" t="s">
        <v>4455</v>
      </c>
      <c r="H6971" s="1564"/>
      <c r="I6971" s="1564"/>
      <c r="J6971" s="3">
        <f>+P6967</f>
        <v>15000000</v>
      </c>
      <c r="R6971" s="3"/>
      <c r="T6971" s="1491"/>
    </row>
    <row r="6972" spans="7:22">
      <c r="T6972" s="1491"/>
    </row>
    <row r="6974" spans="7:22">
      <c r="T6974" s="1491"/>
    </row>
    <row r="6975" spans="7:22">
      <c r="G6975" s="1008">
        <v>46161</v>
      </c>
      <c r="H6975" s="1169"/>
      <c r="I6975" s="1575" t="s">
        <v>3510</v>
      </c>
      <c r="J6975" s="1576"/>
      <c r="K6975" s="1575" t="s">
        <v>3509</v>
      </c>
      <c r="L6975" s="1576"/>
      <c r="M6975" s="1575" t="s">
        <v>3541</v>
      </c>
      <c r="N6975" s="1576"/>
      <c r="O6975" s="1577" t="s">
        <v>3598</v>
      </c>
      <c r="P6975" s="1578"/>
      <c r="Q6975" s="1579" t="s">
        <v>3599</v>
      </c>
      <c r="R6975" s="1580"/>
      <c r="S6975" s="1581" t="s">
        <v>3953</v>
      </c>
      <c r="T6975" s="1582"/>
      <c r="U6975" s="1581" t="s">
        <v>3954</v>
      </c>
      <c r="V6975" s="1582"/>
    </row>
    <row r="6976" spans="7:22">
      <c r="G6976" s="1261"/>
      <c r="H6976" s="1261"/>
      <c r="I6976" s="1493" t="s">
        <v>5767</v>
      </c>
      <c r="J6976" s="1081">
        <v>36800000</v>
      </c>
      <c r="K6976" s="1493" t="s">
        <v>4597</v>
      </c>
      <c r="L6976" s="1081">
        <v>360000000</v>
      </c>
      <c r="M6976" s="1495" t="s">
        <v>4613</v>
      </c>
      <c r="N6976" s="1495">
        <f>636000000+2250000</f>
        <v>638250000</v>
      </c>
      <c r="O6976" s="1383"/>
      <c r="P6976" s="644"/>
      <c r="Q6976" s="1495"/>
      <c r="R6976" s="644"/>
      <c r="S6976" s="1494" t="s">
        <v>4613</v>
      </c>
      <c r="T6976" s="1191">
        <v>3600</v>
      </c>
      <c r="U6976" s="1395"/>
      <c r="V6976" s="48"/>
    </row>
    <row r="6977" spans="7:22">
      <c r="G6977" s="1494"/>
      <c r="H6977" s="1494"/>
      <c r="I6977" s="1493" t="s">
        <v>5770</v>
      </c>
      <c r="J6977" s="1081">
        <f>33000000*0.94</f>
        <v>31020000</v>
      </c>
      <c r="K6977" s="1493" t="s">
        <v>5769</v>
      </c>
      <c r="L6977" s="1081">
        <v>4000000</v>
      </c>
      <c r="M6977" s="1493" t="s">
        <v>5768</v>
      </c>
      <c r="N6977" s="1081">
        <v>80000000</v>
      </c>
      <c r="O6977" s="1383" t="s">
        <v>5262</v>
      </c>
      <c r="P6977" s="644">
        <v>15000000</v>
      </c>
      <c r="Q6977" s="1493"/>
      <c r="R6977" s="1383"/>
      <c r="S6977" s="1481"/>
      <c r="T6977" s="1191">
        <v>100</v>
      </c>
      <c r="U6977" s="48"/>
      <c r="V6977" s="49"/>
    </row>
    <row r="6978" spans="7:22">
      <c r="G6978" s="48"/>
      <c r="H6978" s="48"/>
      <c r="I6978" s="1493" t="s">
        <v>5773</v>
      </c>
      <c r="J6978" s="1081">
        <v>93000000</v>
      </c>
      <c r="K6978" s="1493" t="s">
        <v>5771</v>
      </c>
      <c r="L6978" s="1081">
        <v>4000000</v>
      </c>
      <c r="M6978" s="1493" t="s">
        <v>5101</v>
      </c>
      <c r="N6978" s="49">
        <v>300000000</v>
      </c>
      <c r="O6978" s="1495"/>
      <c r="P6978" s="644"/>
      <c r="Q6978" s="1422"/>
      <c r="R6978" s="644"/>
      <c r="S6978" s="1495"/>
      <c r="T6978" s="1191">
        <v>1300</v>
      </c>
      <c r="U6978" s="1494"/>
      <c r="V6978" s="1191"/>
    </row>
    <row r="6979" spans="7:22" ht="16.2">
      <c r="G6979" s="48"/>
      <c r="H6979" s="48"/>
      <c r="I6979" s="1493" t="s">
        <v>5776</v>
      </c>
      <c r="J6979" s="1489">
        <v>46000000</v>
      </c>
      <c r="K6979" s="1493" t="s">
        <v>5772</v>
      </c>
      <c r="L6979" s="1081">
        <v>7440000</v>
      </c>
      <c r="M6979" s="1495"/>
      <c r="N6979" s="49"/>
      <c r="O6979" s="1383"/>
      <c r="P6979" s="644"/>
      <c r="Q6979" s="1422"/>
      <c r="R6979" s="644"/>
      <c r="S6979" s="1495"/>
      <c r="T6979" s="1492">
        <v>500</v>
      </c>
      <c r="U6979" s="1494"/>
      <c r="V6979" s="1492"/>
    </row>
    <row r="6980" spans="7:22">
      <c r="G6980" s="48"/>
      <c r="H6980" s="48"/>
      <c r="I6980" s="1493" t="s">
        <v>5777</v>
      </c>
      <c r="J6980" s="1081">
        <v>46000000</v>
      </c>
      <c r="K6980" s="1493" t="s">
        <v>5774</v>
      </c>
      <c r="L6980" s="1081">
        <v>500000</v>
      </c>
      <c r="M6980" s="1495"/>
      <c r="N6980" s="49"/>
      <c r="O6980" s="1383"/>
      <c r="P6980" s="644"/>
      <c r="Q6980" s="1422"/>
      <c r="R6980" s="644"/>
      <c r="S6980" s="1494"/>
      <c r="T6980" s="1492"/>
      <c r="U6980" s="1494"/>
      <c r="V6980" s="49"/>
    </row>
    <row r="6981" spans="7:22">
      <c r="G6981" s="48"/>
      <c r="H6981" s="48"/>
      <c r="I6981" s="1493" t="s">
        <v>5778</v>
      </c>
      <c r="J6981" s="1081">
        <f>20000000+16800000</f>
        <v>36800000</v>
      </c>
      <c r="K6981" s="1493" t="s">
        <v>5775</v>
      </c>
      <c r="L6981" s="1081">
        <v>300000</v>
      </c>
      <c r="M6981" s="1495"/>
      <c r="N6981" s="49"/>
      <c r="O6981" s="1383"/>
      <c r="P6981" s="644"/>
      <c r="Q6981" s="1494"/>
      <c r="R6981" s="644"/>
      <c r="S6981" s="1494"/>
      <c r="T6981" s="1492"/>
      <c r="U6981" s="1488"/>
      <c r="V6981" s="49"/>
    </row>
    <row r="6982" spans="7:22">
      <c r="G6982" s="48"/>
      <c r="H6982" s="48"/>
      <c r="I6982" s="1493" t="s">
        <v>5779</v>
      </c>
      <c r="J6982" s="1081">
        <v>23500000</v>
      </c>
      <c r="K6982" s="1493" t="s">
        <v>5780</v>
      </c>
      <c r="L6982" s="1081">
        <v>700000</v>
      </c>
      <c r="M6982" s="1493"/>
      <c r="N6982" s="49"/>
      <c r="O6982" s="1383"/>
      <c r="P6982" s="644"/>
      <c r="Q6982" s="1383"/>
      <c r="R6982" s="644"/>
      <c r="S6982" s="1481"/>
      <c r="T6982" s="1492"/>
      <c r="U6982" s="1488"/>
      <c r="V6982" s="49"/>
    </row>
    <row r="6983" spans="7:22">
      <c r="G6983" s="48"/>
      <c r="H6983" s="48"/>
      <c r="I6983" s="1493" t="s">
        <v>5781</v>
      </c>
      <c r="J6983" s="1081">
        <v>36400000</v>
      </c>
      <c r="K6983" s="1493"/>
      <c r="L6983" s="1081"/>
      <c r="M6983" s="1495"/>
      <c r="N6983" s="49"/>
      <c r="O6983" s="1383"/>
      <c r="P6983" s="644"/>
      <c r="Q6983" s="1385"/>
      <c r="R6983" s="644"/>
      <c r="S6983" s="48"/>
      <c r="T6983" s="1492"/>
      <c r="U6983" s="1488"/>
      <c r="V6983" s="49"/>
    </row>
    <row r="6984" spans="7:22">
      <c r="G6984" s="48"/>
      <c r="H6984" s="48"/>
      <c r="I6984" s="1493" t="s">
        <v>5145</v>
      </c>
      <c r="J6984" s="1081">
        <v>23500000</v>
      </c>
      <c r="K6984" s="1493"/>
      <c r="L6984" s="1081"/>
      <c r="M6984" s="1495"/>
      <c r="N6984" s="49"/>
      <c r="O6984" s="644"/>
      <c r="P6984" s="644"/>
      <c r="Q6984" s="1383"/>
      <c r="R6984" s="644"/>
      <c r="S6984" s="48"/>
      <c r="T6984" s="1492"/>
      <c r="U6984" s="1494"/>
      <c r="V6984" s="49"/>
    </row>
    <row r="6985" spans="7:22">
      <c r="G6985" s="48"/>
      <c r="H6985" s="48"/>
      <c r="I6985" s="1488" t="s">
        <v>5782</v>
      </c>
      <c r="J6985" s="1081">
        <f>40000000*0.93</f>
        <v>37200000</v>
      </c>
      <c r="K6985" s="1509"/>
      <c r="L6985" s="1081"/>
      <c r="M6985" s="1498"/>
      <c r="N6985" s="49"/>
      <c r="O6985" s="644"/>
      <c r="P6985" s="644"/>
      <c r="Q6985" s="1383"/>
      <c r="R6985" s="644"/>
      <c r="S6985" s="48"/>
      <c r="T6985" s="1492"/>
      <c r="U6985" s="1494"/>
      <c r="V6985" s="49"/>
    </row>
    <row r="6986" spans="7:22">
      <c r="G6986" s="48"/>
      <c r="H6986" s="48"/>
      <c r="I6986" s="1488" t="s">
        <v>5783</v>
      </c>
      <c r="J6986" s="1081">
        <f>35000000*0.93</f>
        <v>32550000</v>
      </c>
      <c r="K6986" s="1493"/>
      <c r="L6986" s="1081"/>
      <c r="M6986" s="1498"/>
      <c r="N6986" s="49"/>
      <c r="O6986" s="644"/>
      <c r="P6986" s="644"/>
      <c r="Q6986" s="1383"/>
      <c r="R6986" s="644"/>
      <c r="S6986" s="48"/>
      <c r="T6986" s="1492"/>
      <c r="U6986" s="48"/>
      <c r="V6986" s="48"/>
    </row>
    <row r="6987" spans="7:22">
      <c r="G6987" s="48"/>
      <c r="H6987" s="48"/>
      <c r="I6987" s="1488" t="s">
        <v>5784</v>
      </c>
      <c r="J6987" s="1081">
        <f>32000000*0.93</f>
        <v>29760000</v>
      </c>
      <c r="K6987" s="1509"/>
      <c r="L6987" s="1081"/>
      <c r="M6987" s="1498"/>
      <c r="N6987" s="49"/>
      <c r="O6987" s="644"/>
      <c r="P6987" s="644"/>
      <c r="Q6987" s="1383"/>
      <c r="R6987" s="644"/>
      <c r="S6987" s="48"/>
      <c r="T6987" s="1492"/>
      <c r="U6987" s="48"/>
      <c r="V6987" s="48"/>
    </row>
    <row r="6988" spans="7:22">
      <c r="G6988" s="48"/>
      <c r="H6988" s="48"/>
      <c r="I6988" s="1488" t="s">
        <v>5785</v>
      </c>
      <c r="J6988" s="1081">
        <v>46000000</v>
      </c>
      <c r="K6988" s="1509"/>
      <c r="L6988" s="1081"/>
      <c r="M6988" s="1498"/>
      <c r="N6988" s="49"/>
      <c r="O6988" s="644"/>
      <c r="P6988" s="644"/>
      <c r="Q6988" s="1383"/>
      <c r="R6988" s="644"/>
      <c r="S6988" s="48"/>
      <c r="T6988" s="1492"/>
      <c r="U6988" s="48"/>
      <c r="V6988" s="48"/>
    </row>
    <row r="6989" spans="7:22">
      <c r="G6989" s="48"/>
      <c r="H6989" s="48"/>
      <c r="I6989" s="1494" t="s">
        <v>5786</v>
      </c>
      <c r="J6989" s="1081">
        <v>46000000</v>
      </c>
      <c r="K6989" s="1498"/>
      <c r="L6989" s="49"/>
      <c r="M6989" s="1498"/>
      <c r="N6989" s="49"/>
      <c r="O6989" s="644"/>
      <c r="P6989" s="644"/>
      <c r="Q6989" s="1383"/>
      <c r="R6989" s="644"/>
      <c r="S6989" s="48"/>
      <c r="T6989" s="1492"/>
      <c r="U6989" s="48"/>
      <c r="V6989" s="48"/>
    </row>
    <row r="6990" spans="7:22">
      <c r="G6990" s="48"/>
      <c r="H6990" s="48"/>
      <c r="I6990" s="1494" t="s">
        <v>5787</v>
      </c>
      <c r="J6990" s="49">
        <f>40000000*0.92</f>
        <v>36800000</v>
      </c>
      <c r="K6990" s="1498"/>
      <c r="L6990" s="49"/>
      <c r="M6990" s="1498"/>
      <c r="N6990" s="49"/>
      <c r="O6990" s="644"/>
      <c r="P6990" s="644"/>
      <c r="Q6990" s="1383"/>
      <c r="R6990" s="644"/>
      <c r="S6990" s="48"/>
      <c r="T6990" s="1492"/>
      <c r="U6990" s="48"/>
      <c r="V6990" s="48"/>
    </row>
    <row r="6991" spans="7:22">
      <c r="G6991" s="48"/>
      <c r="H6991" s="48"/>
      <c r="I6991" s="1494" t="s">
        <v>5788</v>
      </c>
      <c r="J6991" s="49">
        <f>38000000*0.92</f>
        <v>34960000</v>
      </c>
      <c r="K6991" s="1498"/>
      <c r="L6991" s="49"/>
      <c r="M6991" s="1498"/>
      <c r="N6991" s="49"/>
      <c r="O6991" s="644"/>
      <c r="P6991" s="644"/>
      <c r="Q6991" s="1383"/>
      <c r="R6991" s="644"/>
      <c r="S6991" s="48"/>
      <c r="T6991" s="1492"/>
      <c r="U6991" s="48"/>
      <c r="V6991" s="48"/>
    </row>
    <row r="6992" spans="7:22">
      <c r="G6992" s="48"/>
      <c r="H6992" s="48"/>
      <c r="I6992" s="1494"/>
      <c r="J6992" s="49"/>
      <c r="K6992" s="1498"/>
      <c r="L6992" s="49"/>
      <c r="M6992" s="1498"/>
      <c r="N6992" s="49"/>
      <c r="O6992" s="644"/>
      <c r="P6992" s="644"/>
      <c r="Q6992" s="1383"/>
      <c r="R6992" s="644"/>
      <c r="S6992" s="48"/>
      <c r="T6992" s="1492"/>
      <c r="U6992" s="48"/>
      <c r="V6992" s="48"/>
    </row>
    <row r="6993" spans="7:22">
      <c r="G6993" s="48"/>
      <c r="H6993" s="48"/>
      <c r="I6993" s="1494"/>
      <c r="J6993" s="49"/>
      <c r="K6993" s="1498"/>
      <c r="L6993" s="49"/>
      <c r="M6993" s="1498"/>
      <c r="N6993" s="49"/>
      <c r="O6993" s="644"/>
      <c r="P6993" s="644"/>
      <c r="Q6993" s="1383"/>
      <c r="R6993" s="644"/>
      <c r="S6993" s="48"/>
      <c r="T6993" s="1492"/>
      <c r="U6993" s="48"/>
      <c r="V6993" s="48"/>
    </row>
    <row r="6994" spans="7:22">
      <c r="G6994" s="48"/>
      <c r="H6994" s="48"/>
      <c r="I6994" s="48"/>
      <c r="J6994" s="49"/>
      <c r="K6994" s="1498"/>
      <c r="L6994" s="49"/>
      <c r="M6994" s="1498"/>
      <c r="N6994" s="49"/>
      <c r="O6994" s="644"/>
      <c r="P6994" s="644"/>
      <c r="Q6994" s="1383"/>
      <c r="R6994" s="644"/>
      <c r="S6994" s="48"/>
      <c r="T6994" s="1492"/>
      <c r="U6994" s="48"/>
      <c r="V6994" s="48"/>
    </row>
    <row r="6995" spans="7:22">
      <c r="G6995" s="48"/>
      <c r="H6995" s="48"/>
      <c r="I6995" s="48"/>
      <c r="J6995" s="954">
        <f>SUM(J6976:J6994)</f>
        <v>636290000</v>
      </c>
      <c r="K6995" s="954"/>
      <c r="L6995" s="954">
        <f>SUM(L6976:L6994)</f>
        <v>376940000</v>
      </c>
      <c r="M6995" s="1498"/>
      <c r="N6995" s="954">
        <f>SUM(N6976:N6994)</f>
        <v>1018250000</v>
      </c>
      <c r="O6995" s="644"/>
      <c r="P6995" s="969">
        <f>SUM(P6976:P6983)</f>
        <v>15000000</v>
      </c>
      <c r="Q6995" s="969"/>
      <c r="R6995" s="969">
        <f>SUM(R6976:R6994)</f>
        <v>0</v>
      </c>
      <c r="S6995" s="48"/>
      <c r="T6995" s="1178">
        <f>SUM(T6976:T6994)</f>
        <v>5500</v>
      </c>
      <c r="U6995" s="48"/>
      <c r="V6995" s="878">
        <f>SUM(V6976:V6994)</f>
        <v>0</v>
      </c>
    </row>
    <row r="6996" spans="7:22">
      <c r="T6996" s="1491"/>
    </row>
    <row r="6997" spans="7:22">
      <c r="T6997" s="1491"/>
    </row>
    <row r="6998" spans="7:22">
      <c r="R6998" s="661"/>
      <c r="T6998" s="1491"/>
    </row>
    <row r="6999" spans="7:22">
      <c r="T6999" s="1491"/>
    </row>
    <row r="7000" spans="7:22">
      <c r="K7000" s="3" t="s">
        <v>5310</v>
      </c>
      <c r="T7000" s="1491"/>
    </row>
    <row r="7001" spans="7:22">
      <c r="I7001" s="946"/>
      <c r="M7001" s="1533" t="s">
        <v>3699</v>
      </c>
      <c r="O7001" s="1535" t="s">
        <v>3741</v>
      </c>
      <c r="P7001" s="1512">
        <f>P6995-R6995</f>
        <v>15000000</v>
      </c>
      <c r="S7001" s="906" t="s">
        <v>4049</v>
      </c>
      <c r="T7001" s="1107">
        <f>T6995-V6995</f>
        <v>5500</v>
      </c>
    </row>
    <row r="7002" spans="7:22">
      <c r="G7002" s="1574" t="s">
        <v>3530</v>
      </c>
      <c r="H7002" s="1574"/>
      <c r="I7002" s="1574"/>
      <c r="J7002" s="3">
        <f>J6995+L6995</f>
        <v>1013230000</v>
      </c>
      <c r="K7002" s="1009"/>
      <c r="L7002" s="3"/>
      <c r="M7002" s="1533" t="s">
        <v>3664</v>
      </c>
      <c r="N7002" s="1527"/>
      <c r="O7002" s="1535" t="s">
        <v>4066</v>
      </c>
      <c r="P7002" s="1512"/>
      <c r="T7002" s="1491"/>
    </row>
    <row r="7003" spans="7:22">
      <c r="G7003" s="1574" t="s">
        <v>3512</v>
      </c>
      <c r="H7003" s="1574"/>
      <c r="I7003" s="1574"/>
      <c r="J7003" s="3">
        <f>N6995-J7002</f>
        <v>5020000</v>
      </c>
      <c r="K7003" s="1009"/>
      <c r="L7003" s="3"/>
      <c r="M7003" s="1528"/>
      <c r="O7003" s="1529"/>
      <c r="Q7003" s="661"/>
      <c r="T7003" s="1491"/>
    </row>
    <row r="7004" spans="7:22">
      <c r="G7004" s="1574" t="s">
        <v>3531</v>
      </c>
      <c r="H7004" s="1574"/>
      <c r="I7004" s="1574"/>
      <c r="J7004" s="3">
        <f>+T7001</f>
        <v>5500</v>
      </c>
      <c r="Q7004" s="3"/>
      <c r="T7004" s="1491"/>
    </row>
    <row r="7005" spans="7:22">
      <c r="G7005" s="1564" t="s">
        <v>4455</v>
      </c>
      <c r="H7005" s="1564"/>
      <c r="I7005" s="1564"/>
      <c r="J7005" s="3">
        <f>+P7001</f>
        <v>15000000</v>
      </c>
      <c r="R7005" s="3"/>
      <c r="T7005" s="1491"/>
    </row>
    <row r="7008" spans="7:22">
      <c r="T7008" s="1491"/>
    </row>
    <row r="7009" spans="7:22">
      <c r="T7009" s="1491"/>
    </row>
    <row r="7010" spans="7:22">
      <c r="T7010" s="1491"/>
    </row>
    <row r="7011" spans="7:22">
      <c r="G7011" s="1008">
        <v>46162</v>
      </c>
      <c r="H7011" s="1169"/>
      <c r="I7011" s="1575" t="s">
        <v>3510</v>
      </c>
      <c r="J7011" s="1576"/>
      <c r="K7011" s="1575" t="s">
        <v>3509</v>
      </c>
      <c r="L7011" s="1576"/>
      <c r="M7011" s="1575" t="s">
        <v>3541</v>
      </c>
      <c r="N7011" s="1576"/>
      <c r="O7011" s="1577" t="s">
        <v>3598</v>
      </c>
      <c r="P7011" s="1578"/>
      <c r="Q7011" s="1579" t="s">
        <v>3599</v>
      </c>
      <c r="R7011" s="1580"/>
      <c r="S7011" s="1581" t="s">
        <v>3953</v>
      </c>
      <c r="T7011" s="1582"/>
      <c r="U7011" s="1581" t="s">
        <v>3954</v>
      </c>
      <c r="V7011" s="1582"/>
    </row>
    <row r="7012" spans="7:22">
      <c r="G7012" s="1261"/>
      <c r="H7012" s="1261"/>
      <c r="I7012" s="1493" t="s">
        <v>5789</v>
      </c>
      <c r="J7012" s="1081">
        <v>46500000</v>
      </c>
      <c r="K7012" s="1493" t="s">
        <v>5791</v>
      </c>
      <c r="L7012" s="1081">
        <v>1000000</v>
      </c>
      <c r="M7012" s="1495" t="s">
        <v>4613</v>
      </c>
      <c r="N7012" s="1495">
        <v>304700000</v>
      </c>
      <c r="O7012" s="1383"/>
      <c r="P7012" s="644"/>
      <c r="Q7012" s="1495"/>
      <c r="R7012" s="644"/>
      <c r="S7012" s="1494" t="s">
        <v>4613</v>
      </c>
      <c r="T7012" s="1191">
        <v>5500</v>
      </c>
      <c r="U7012" s="1395"/>
      <c r="V7012" s="48"/>
    </row>
    <row r="7013" spans="7:22">
      <c r="G7013" s="1494"/>
      <c r="H7013" s="1494"/>
      <c r="I7013" s="1493" t="s">
        <v>5790</v>
      </c>
      <c r="J7013" s="1081">
        <v>36800000</v>
      </c>
      <c r="K7013" s="1493" t="s">
        <v>4554</v>
      </c>
      <c r="L7013" s="1081">
        <v>1950000</v>
      </c>
      <c r="M7013" s="1493" t="s">
        <v>5797</v>
      </c>
      <c r="N7013" s="1081">
        <v>30360000</v>
      </c>
      <c r="O7013" s="1383" t="s">
        <v>5262</v>
      </c>
      <c r="P7013" s="644">
        <v>5000000</v>
      </c>
      <c r="Q7013" s="1493"/>
      <c r="R7013" s="1383"/>
      <c r="S7013" s="1481"/>
      <c r="T7013" s="1191"/>
      <c r="U7013" s="48"/>
      <c r="V7013" s="49"/>
    </row>
    <row r="7014" spans="7:22">
      <c r="G7014" s="48"/>
      <c r="H7014" s="48"/>
      <c r="I7014" s="1493" t="s">
        <v>5792</v>
      </c>
      <c r="J7014" s="1081">
        <v>28400000</v>
      </c>
      <c r="K7014" s="1493" t="s">
        <v>5795</v>
      </c>
      <c r="L7014" s="1081">
        <v>5000000</v>
      </c>
      <c r="M7014" s="1493" t="s">
        <v>4989</v>
      </c>
      <c r="N7014" s="49">
        <v>5000000</v>
      </c>
      <c r="O7014" s="1495"/>
      <c r="P7014" s="644"/>
      <c r="Q7014" s="1422"/>
      <c r="R7014" s="644"/>
      <c r="S7014" s="1495"/>
      <c r="T7014" s="1191"/>
      <c r="U7014" s="1494"/>
      <c r="V7014" s="1191"/>
    </row>
    <row r="7015" spans="7:22" ht="16.2">
      <c r="G7015" s="48"/>
      <c r="H7015" s="48"/>
      <c r="I7015" s="1493" t="s">
        <v>5793</v>
      </c>
      <c r="J7015" s="1489">
        <f>33000000*0.92</f>
        <v>30360000</v>
      </c>
      <c r="K7015" s="1493" t="s">
        <v>4935</v>
      </c>
      <c r="L7015" s="1081">
        <v>3000000</v>
      </c>
      <c r="M7015" s="1501" t="s">
        <v>5568</v>
      </c>
      <c r="N7015" s="49">
        <v>1315500000</v>
      </c>
      <c r="O7015" s="1383"/>
      <c r="P7015" s="644"/>
      <c r="Q7015" s="1422"/>
      <c r="R7015" s="644"/>
      <c r="S7015" s="1495"/>
      <c r="T7015" s="1492"/>
      <c r="U7015" s="1494"/>
      <c r="V7015" s="1492"/>
    </row>
    <row r="7016" spans="7:22">
      <c r="G7016" s="48"/>
      <c r="H7016" s="48"/>
      <c r="I7016" s="1493" t="s">
        <v>5794</v>
      </c>
      <c r="J7016" s="1081">
        <f>32960000*0.92</f>
        <v>30323200</v>
      </c>
      <c r="K7016" s="1493" t="s">
        <v>4867</v>
      </c>
      <c r="L7016" s="1081">
        <v>500000</v>
      </c>
      <c r="M7016" s="1501" t="s">
        <v>5807</v>
      </c>
      <c r="N7016" s="49">
        <v>30000000</v>
      </c>
      <c r="O7016" s="1383"/>
      <c r="P7016" s="644"/>
      <c r="Q7016" s="1422"/>
      <c r="R7016" s="644"/>
      <c r="S7016" s="1494"/>
      <c r="T7016" s="1492"/>
      <c r="U7016" s="1494"/>
      <c r="V7016" s="49"/>
    </row>
    <row r="7017" spans="7:22">
      <c r="G7017" s="48"/>
      <c r="H7017" s="48"/>
      <c r="I7017" s="1493" t="s">
        <v>5796</v>
      </c>
      <c r="J7017" s="1081">
        <v>30360000</v>
      </c>
      <c r="K7017" s="1502" t="s">
        <v>5809</v>
      </c>
      <c r="L7017" s="1081">
        <v>5000000</v>
      </c>
      <c r="M7017" s="1495"/>
      <c r="N7017" s="49"/>
      <c r="O7017" s="1383"/>
      <c r="P7017" s="644"/>
      <c r="Q7017" s="1494"/>
      <c r="R7017" s="644"/>
      <c r="S7017" s="1494"/>
      <c r="T7017" s="1492"/>
      <c r="U7017" s="1488"/>
      <c r="V7017" s="49"/>
    </row>
    <row r="7018" spans="7:22">
      <c r="G7018" s="48"/>
      <c r="H7018" s="48"/>
      <c r="I7018" s="1502" t="s">
        <v>5798</v>
      </c>
      <c r="J7018" s="1081">
        <f>48000000*0.92</f>
        <v>44160000</v>
      </c>
      <c r="K7018" s="1502" t="s">
        <v>5440</v>
      </c>
      <c r="L7018" s="1081">
        <v>4000000</v>
      </c>
      <c r="M7018" s="1493"/>
      <c r="N7018" s="49"/>
      <c r="O7018" s="1383"/>
      <c r="P7018" s="644"/>
      <c r="Q7018" s="1383"/>
      <c r="R7018" s="644"/>
      <c r="S7018" s="1481"/>
      <c r="T7018" s="1492"/>
      <c r="U7018" s="1488"/>
      <c r="V7018" s="49"/>
    </row>
    <row r="7019" spans="7:22">
      <c r="G7019" s="48"/>
      <c r="H7019" s="48"/>
      <c r="I7019" s="1502" t="s">
        <v>5799</v>
      </c>
      <c r="J7019" s="1081">
        <f>32000000*0.92</f>
        <v>29440000</v>
      </c>
      <c r="K7019" s="1493"/>
      <c r="L7019" s="1081"/>
      <c r="M7019" s="1495"/>
      <c r="N7019" s="49"/>
      <c r="O7019" s="1383"/>
      <c r="P7019" s="644"/>
      <c r="Q7019" s="1385"/>
      <c r="R7019" s="644"/>
      <c r="S7019" s="48"/>
      <c r="T7019" s="1492"/>
      <c r="U7019" s="1488"/>
      <c r="V7019" s="49"/>
    </row>
    <row r="7020" spans="7:22">
      <c r="G7020" s="48"/>
      <c r="H7020" s="48"/>
      <c r="I7020" s="1502" t="s">
        <v>5800</v>
      </c>
      <c r="J7020" s="1081">
        <v>13950000</v>
      </c>
      <c r="K7020" s="1493"/>
      <c r="L7020" s="1081"/>
      <c r="M7020" s="1495"/>
      <c r="N7020" s="49"/>
      <c r="O7020" s="644"/>
      <c r="P7020" s="644"/>
      <c r="Q7020" s="1383"/>
      <c r="R7020" s="644"/>
      <c r="S7020" s="48"/>
      <c r="T7020" s="1492"/>
      <c r="U7020" s="1494"/>
      <c r="V7020" s="49"/>
    </row>
    <row r="7021" spans="7:22">
      <c r="G7021" s="48"/>
      <c r="H7021" s="48"/>
      <c r="I7021" s="1503" t="s">
        <v>5801</v>
      </c>
      <c r="J7021" s="1081">
        <v>46000000</v>
      </c>
      <c r="K7021" s="1509"/>
      <c r="L7021" s="1081"/>
      <c r="M7021" s="1498"/>
      <c r="N7021" s="49"/>
      <c r="O7021" s="644"/>
      <c r="P7021" s="644"/>
      <c r="Q7021" s="1383"/>
      <c r="R7021" s="644"/>
      <c r="S7021" s="48"/>
      <c r="T7021" s="1492"/>
      <c r="U7021" s="1494"/>
      <c r="V7021" s="49"/>
    </row>
    <row r="7022" spans="7:22">
      <c r="G7022" s="48"/>
      <c r="H7022" s="48"/>
      <c r="I7022" s="1503" t="s">
        <v>5802</v>
      </c>
      <c r="J7022" s="1081">
        <v>46000000</v>
      </c>
      <c r="K7022" s="1493"/>
      <c r="L7022" s="1081"/>
      <c r="M7022" s="1498"/>
      <c r="N7022" s="49"/>
      <c r="O7022" s="644"/>
      <c r="P7022" s="644"/>
      <c r="Q7022" s="1383"/>
      <c r="R7022" s="644"/>
      <c r="S7022" s="48"/>
      <c r="T7022" s="1492"/>
      <c r="U7022" s="48"/>
      <c r="V7022" s="48"/>
    </row>
    <row r="7023" spans="7:22">
      <c r="G7023" s="48"/>
      <c r="H7023" s="48"/>
      <c r="I7023" s="1503" t="s">
        <v>5803</v>
      </c>
      <c r="J7023" s="1081">
        <v>46000000</v>
      </c>
      <c r="K7023" s="1509"/>
      <c r="L7023" s="1081"/>
      <c r="M7023" s="1498"/>
      <c r="N7023" s="49"/>
      <c r="O7023" s="644"/>
      <c r="P7023" s="644"/>
      <c r="Q7023" s="1383"/>
      <c r="R7023" s="644"/>
      <c r="S7023" s="48"/>
      <c r="T7023" s="1492"/>
      <c r="U7023" s="48"/>
      <c r="V7023" s="48"/>
    </row>
    <row r="7024" spans="7:22">
      <c r="G7024" s="48"/>
      <c r="H7024" s="48"/>
      <c r="I7024" s="1503" t="s">
        <v>5804</v>
      </c>
      <c r="J7024" s="1081">
        <v>18400000</v>
      </c>
      <c r="K7024" s="1509"/>
      <c r="L7024" s="1081"/>
      <c r="M7024" s="1498"/>
      <c r="N7024" s="49"/>
      <c r="O7024" s="644"/>
      <c r="P7024" s="644"/>
      <c r="Q7024" s="1383"/>
      <c r="R7024" s="644"/>
      <c r="S7024" s="48"/>
      <c r="T7024" s="1492"/>
      <c r="U7024" s="48"/>
      <c r="V7024" s="48"/>
    </row>
    <row r="7025" spans="7:22">
      <c r="G7025" s="48"/>
      <c r="H7025" s="48"/>
      <c r="I7025" s="1504" t="s">
        <v>5805</v>
      </c>
      <c r="J7025" s="1081">
        <v>46000000</v>
      </c>
      <c r="K7025" s="1498"/>
      <c r="L7025" s="49"/>
      <c r="M7025" s="1498"/>
      <c r="N7025" s="49"/>
      <c r="O7025" s="644"/>
      <c r="P7025" s="644"/>
      <c r="Q7025" s="1383"/>
      <c r="R7025" s="644"/>
      <c r="S7025" s="48"/>
      <c r="T7025" s="1492"/>
      <c r="U7025" s="48"/>
      <c r="V7025" s="48"/>
    </row>
    <row r="7026" spans="7:22">
      <c r="G7026" s="48"/>
      <c r="H7026" s="48"/>
      <c r="I7026" s="1504" t="s">
        <v>5806</v>
      </c>
      <c r="J7026" s="49">
        <v>30360000</v>
      </c>
      <c r="K7026" s="1498"/>
      <c r="L7026" s="49"/>
      <c r="M7026" s="1498"/>
      <c r="N7026" s="49"/>
      <c r="O7026" s="644"/>
      <c r="P7026" s="644"/>
      <c r="Q7026" s="1383"/>
      <c r="R7026" s="644"/>
      <c r="S7026" s="48"/>
      <c r="T7026" s="1492"/>
      <c r="U7026" s="48"/>
      <c r="V7026" s="48"/>
    </row>
    <row r="7027" spans="7:22">
      <c r="G7027" s="48"/>
      <c r="H7027" s="48"/>
      <c r="I7027" s="1504" t="s">
        <v>5808</v>
      </c>
      <c r="J7027" s="49">
        <f>45000000*0.92</f>
        <v>41400000</v>
      </c>
      <c r="K7027" s="1498"/>
      <c r="L7027" s="49"/>
      <c r="M7027" s="1498"/>
      <c r="N7027" s="49"/>
      <c r="O7027" s="644"/>
      <c r="P7027" s="644"/>
      <c r="Q7027" s="1383"/>
      <c r="R7027" s="644"/>
      <c r="S7027" s="48"/>
      <c r="T7027" s="1492"/>
      <c r="U7027" s="48"/>
      <c r="V7027" s="48"/>
    </row>
    <row r="7028" spans="7:22">
      <c r="G7028" s="48"/>
      <c r="H7028" s="48"/>
      <c r="I7028" s="1494"/>
      <c r="J7028" s="49"/>
      <c r="K7028" s="1498"/>
      <c r="L7028" s="49"/>
      <c r="M7028" s="1498"/>
      <c r="N7028" s="49"/>
      <c r="O7028" s="644"/>
      <c r="P7028" s="644"/>
      <c r="Q7028" s="1383"/>
      <c r="R7028" s="644"/>
      <c r="S7028" s="48"/>
      <c r="T7028" s="1492"/>
      <c r="U7028" s="48"/>
      <c r="V7028" s="48"/>
    </row>
    <row r="7029" spans="7:22">
      <c r="G7029" s="48"/>
      <c r="H7029" s="48"/>
      <c r="I7029" s="1494"/>
      <c r="J7029" s="49"/>
      <c r="K7029" s="1498"/>
      <c r="L7029" s="49"/>
      <c r="M7029" s="1498"/>
      <c r="N7029" s="49"/>
      <c r="O7029" s="644"/>
      <c r="P7029" s="644"/>
      <c r="Q7029" s="1383"/>
      <c r="R7029" s="644"/>
      <c r="S7029" s="48"/>
      <c r="T7029" s="1492"/>
      <c r="U7029" s="48"/>
      <c r="V7029" s="48"/>
    </row>
    <row r="7030" spans="7:22">
      <c r="G7030" s="48"/>
      <c r="H7030" s="48"/>
      <c r="I7030" s="48"/>
      <c r="J7030" s="49"/>
      <c r="K7030" s="1498"/>
      <c r="L7030" s="49"/>
      <c r="M7030" s="1498"/>
      <c r="N7030" s="49"/>
      <c r="O7030" s="644"/>
      <c r="P7030" s="644"/>
      <c r="Q7030" s="1383"/>
      <c r="R7030" s="644"/>
      <c r="S7030" s="48"/>
      <c r="T7030" s="1492"/>
      <c r="U7030" s="48"/>
      <c r="V7030" s="48"/>
    </row>
    <row r="7031" spans="7:22">
      <c r="G7031" s="48"/>
      <c r="H7031" s="48"/>
      <c r="I7031" s="48"/>
      <c r="J7031" s="954">
        <f>SUM(J7012:J7030)</f>
        <v>564453200</v>
      </c>
      <c r="K7031" s="954"/>
      <c r="L7031" s="954">
        <f>SUM(L7012:L7030)</f>
        <v>20450000</v>
      </c>
      <c r="M7031" s="1498"/>
      <c r="N7031" s="954">
        <f>SUM(N7012:N7030)</f>
        <v>1685560000</v>
      </c>
      <c r="O7031" s="644"/>
      <c r="P7031" s="969">
        <f>SUM(P7012:P7019)</f>
        <v>5000000</v>
      </c>
      <c r="Q7031" s="969"/>
      <c r="R7031" s="969">
        <f>SUM(R7012:R7030)</f>
        <v>0</v>
      </c>
      <c r="S7031" s="48"/>
      <c r="T7031" s="1178">
        <f>SUM(T7012:T7030)</f>
        <v>5500</v>
      </c>
      <c r="U7031" s="48"/>
      <c r="V7031" s="878">
        <f>SUM(V7012:V7030)</f>
        <v>0</v>
      </c>
    </row>
    <row r="7032" spans="7:22">
      <c r="T7032" s="1491"/>
    </row>
    <row r="7033" spans="7:22">
      <c r="T7033" s="1491"/>
    </row>
    <row r="7034" spans="7:22">
      <c r="R7034" s="661"/>
      <c r="T7034" s="1491"/>
    </row>
    <row r="7035" spans="7:22">
      <c r="T7035" s="1491"/>
    </row>
    <row r="7036" spans="7:22">
      <c r="K7036" s="3" t="s">
        <v>5310</v>
      </c>
      <c r="T7036" s="1491"/>
    </row>
    <row r="7037" spans="7:22">
      <c r="I7037" s="946"/>
      <c r="M7037" s="1533" t="s">
        <v>3699</v>
      </c>
      <c r="O7037" s="1535" t="s">
        <v>3741</v>
      </c>
      <c r="P7037" s="1512">
        <f>P7031-R7031</f>
        <v>5000000</v>
      </c>
      <c r="S7037" s="906" t="s">
        <v>4049</v>
      </c>
      <c r="T7037" s="1107">
        <f>T7031-V7031</f>
        <v>5500</v>
      </c>
    </row>
    <row r="7038" spans="7:22">
      <c r="G7038" s="1574" t="s">
        <v>3530</v>
      </c>
      <c r="H7038" s="1574"/>
      <c r="I7038" s="1574"/>
      <c r="J7038" s="3">
        <f>J7031+L7031</f>
        <v>584903200</v>
      </c>
      <c r="K7038" s="1009"/>
      <c r="L7038" s="3"/>
      <c r="M7038" s="1533" t="s">
        <v>3664</v>
      </c>
      <c r="N7038" s="1527"/>
      <c r="O7038" s="1535" t="s">
        <v>4066</v>
      </c>
      <c r="P7038" s="1512"/>
      <c r="T7038" s="1491"/>
    </row>
    <row r="7039" spans="7:22">
      <c r="G7039" s="1574" t="s">
        <v>3512</v>
      </c>
      <c r="H7039" s="1574"/>
      <c r="I7039" s="1574"/>
      <c r="J7039" s="3">
        <f>N7031-J7038</f>
        <v>1100656800</v>
      </c>
      <c r="K7039" s="1009"/>
      <c r="L7039" s="3"/>
      <c r="M7039" s="1528"/>
      <c r="O7039" s="1529"/>
      <c r="Q7039" s="661"/>
      <c r="T7039" s="1491"/>
    </row>
    <row r="7040" spans="7:22">
      <c r="G7040" s="1574" t="s">
        <v>3531</v>
      </c>
      <c r="H7040" s="1574"/>
      <c r="I7040" s="1574"/>
      <c r="J7040" s="3">
        <f>+T7037</f>
        <v>5500</v>
      </c>
      <c r="Q7040" s="3"/>
      <c r="T7040" s="1491"/>
    </row>
    <row r="7041" spans="7:22">
      <c r="G7041" s="1564" t="s">
        <v>4455</v>
      </c>
      <c r="H7041" s="1564"/>
      <c r="I7041" s="1564"/>
      <c r="J7041" s="3">
        <f>+P7037</f>
        <v>5000000</v>
      </c>
      <c r="R7041" s="3"/>
      <c r="T7041" s="1491"/>
    </row>
    <row r="7042" spans="7:22">
      <c r="T7042" s="1491"/>
    </row>
    <row r="7045" spans="7:22">
      <c r="T7045" s="1496"/>
    </row>
    <row r="7046" spans="7:22">
      <c r="T7046" s="1496"/>
    </row>
    <row r="7047" spans="7:22">
      <c r="G7047" s="1008">
        <v>46163</v>
      </c>
      <c r="H7047" s="1169"/>
      <c r="I7047" s="1575" t="s">
        <v>3510</v>
      </c>
      <c r="J7047" s="1576"/>
      <c r="K7047" s="1575" t="s">
        <v>3509</v>
      </c>
      <c r="L7047" s="1576"/>
      <c r="M7047" s="1575" t="s">
        <v>3541</v>
      </c>
      <c r="N7047" s="1576"/>
      <c r="O7047" s="1577" t="s">
        <v>3598</v>
      </c>
      <c r="P7047" s="1578"/>
      <c r="Q7047" s="1579" t="s">
        <v>3599</v>
      </c>
      <c r="R7047" s="1580"/>
      <c r="S7047" s="1581" t="s">
        <v>3953</v>
      </c>
      <c r="T7047" s="1582"/>
      <c r="U7047" s="1581" t="s">
        <v>3954</v>
      </c>
      <c r="V7047" s="1582"/>
    </row>
    <row r="7048" spans="7:22">
      <c r="G7048" s="1261"/>
      <c r="H7048" s="1261"/>
      <c r="I7048" s="1502" t="s">
        <v>5810</v>
      </c>
      <c r="J7048" s="1081">
        <v>93000000</v>
      </c>
      <c r="K7048" s="1502" t="s">
        <v>5391</v>
      </c>
      <c r="L7048" s="1081">
        <v>597100000</v>
      </c>
      <c r="M7048" s="1495" t="s">
        <v>4613</v>
      </c>
      <c r="N7048" s="1495">
        <f>503600000+597100000</f>
        <v>1100700000</v>
      </c>
      <c r="O7048" s="1383"/>
      <c r="P7048" s="644"/>
      <c r="Q7048" s="1495"/>
      <c r="R7048" s="644"/>
      <c r="S7048" s="1494" t="s">
        <v>4613</v>
      </c>
      <c r="T7048" s="1191">
        <v>8000</v>
      </c>
      <c r="U7048" s="1395"/>
      <c r="V7048" s="48"/>
    </row>
    <row r="7049" spans="7:22">
      <c r="G7049" s="1494"/>
      <c r="H7049" s="1494"/>
      <c r="I7049" s="1502" t="s">
        <v>5811</v>
      </c>
      <c r="J7049" s="1081">
        <v>37200000</v>
      </c>
      <c r="K7049" s="1502" t="s">
        <v>4647</v>
      </c>
      <c r="L7049" s="1081">
        <v>1000000</v>
      </c>
      <c r="M7049" s="1502" t="s">
        <v>4870</v>
      </c>
      <c r="N7049" s="1081">
        <v>14000000</v>
      </c>
      <c r="O7049" s="1383" t="s">
        <v>5262</v>
      </c>
      <c r="P7049" s="644">
        <v>0</v>
      </c>
      <c r="Q7049" s="1493"/>
      <c r="R7049" s="1383"/>
      <c r="S7049" s="1481"/>
      <c r="T7049" s="1191"/>
      <c r="U7049" s="48"/>
      <c r="V7049" s="49"/>
    </row>
    <row r="7050" spans="7:22">
      <c r="G7050" s="48"/>
      <c r="H7050" s="48"/>
      <c r="I7050" s="1502" t="s">
        <v>5812</v>
      </c>
      <c r="J7050" s="1081">
        <v>27900000</v>
      </c>
      <c r="K7050" s="1502" t="s">
        <v>4541</v>
      </c>
      <c r="L7050" s="1081">
        <v>400000</v>
      </c>
      <c r="M7050" s="1502" t="s">
        <v>4541</v>
      </c>
      <c r="N7050" s="49">
        <v>1200000</v>
      </c>
      <c r="O7050" s="1495"/>
      <c r="P7050" s="644"/>
      <c r="Q7050" s="1422"/>
      <c r="R7050" s="644"/>
      <c r="S7050" s="1495"/>
      <c r="T7050" s="1191"/>
      <c r="U7050" s="1494"/>
      <c r="V7050" s="1191"/>
    </row>
    <row r="7051" spans="7:22" ht="16.2">
      <c r="G7051" s="48"/>
      <c r="H7051" s="48"/>
      <c r="I7051" s="1502" t="s">
        <v>5814</v>
      </c>
      <c r="J7051" s="1489">
        <v>46250000</v>
      </c>
      <c r="K7051" s="1502" t="s">
        <v>4507</v>
      </c>
      <c r="L7051" s="1081">
        <v>2000000</v>
      </c>
      <c r="M7051" s="1501"/>
      <c r="N7051" s="49"/>
      <c r="O7051" s="1383"/>
      <c r="P7051" s="644"/>
      <c r="Q7051" s="1422"/>
      <c r="R7051" s="644"/>
      <c r="S7051" s="1495"/>
      <c r="T7051" s="1497"/>
      <c r="U7051" s="1494"/>
      <c r="V7051" s="1497"/>
    </row>
    <row r="7052" spans="7:22">
      <c r="G7052" s="48"/>
      <c r="H7052" s="48"/>
      <c r="I7052" s="1493"/>
      <c r="J7052" s="1081"/>
      <c r="K7052" s="1502" t="s">
        <v>5813</v>
      </c>
      <c r="L7052" s="1081">
        <v>5000000</v>
      </c>
      <c r="M7052" s="1501"/>
      <c r="N7052" s="49"/>
      <c r="O7052" s="1383"/>
      <c r="P7052" s="644"/>
      <c r="Q7052" s="1422"/>
      <c r="R7052" s="644"/>
      <c r="S7052" s="1494"/>
      <c r="T7052" s="1497"/>
      <c r="U7052" s="1494"/>
      <c r="V7052" s="49"/>
    </row>
    <row r="7053" spans="7:22">
      <c r="G7053" s="48"/>
      <c r="H7053" s="48"/>
      <c r="I7053" s="1493"/>
      <c r="J7053" s="1081"/>
      <c r="K7053" s="1502" t="s">
        <v>5815</v>
      </c>
      <c r="L7053" s="1081">
        <v>300000</v>
      </c>
      <c r="M7053" s="1495"/>
      <c r="N7053" s="49"/>
      <c r="O7053" s="1383"/>
      <c r="P7053" s="644"/>
      <c r="Q7053" s="1494"/>
      <c r="R7053" s="644"/>
      <c r="S7053" s="1494"/>
      <c r="T7053" s="1497"/>
      <c r="U7053" s="1488"/>
      <c r="V7053" s="49"/>
    </row>
    <row r="7054" spans="7:22">
      <c r="G7054" s="48"/>
      <c r="H7054" s="48"/>
      <c r="I7054" s="1502"/>
      <c r="J7054" s="1081"/>
      <c r="K7054" s="1502"/>
      <c r="L7054" s="1081"/>
      <c r="M7054" s="1493"/>
      <c r="N7054" s="49"/>
      <c r="O7054" s="1383"/>
      <c r="P7054" s="644"/>
      <c r="Q7054" s="1383"/>
      <c r="R7054" s="644"/>
      <c r="S7054" s="1481"/>
      <c r="T7054" s="1497"/>
      <c r="U7054" s="1488"/>
      <c r="V7054" s="49"/>
    </row>
    <row r="7055" spans="7:22">
      <c r="G7055" s="48"/>
      <c r="H7055" s="48"/>
      <c r="I7055" s="1502"/>
      <c r="J7055" s="1081"/>
      <c r="K7055" s="1493"/>
      <c r="L7055" s="1081"/>
      <c r="M7055" s="1495"/>
      <c r="N7055" s="49"/>
      <c r="O7055" s="1383"/>
      <c r="P7055" s="644"/>
      <c r="Q7055" s="1385"/>
      <c r="R7055" s="644"/>
      <c r="S7055" s="48"/>
      <c r="T7055" s="1497"/>
      <c r="U7055" s="1488"/>
      <c r="V7055" s="49"/>
    </row>
    <row r="7056" spans="7:22">
      <c r="G7056" s="48"/>
      <c r="H7056" s="48"/>
      <c r="I7056" s="1502"/>
      <c r="J7056" s="1081"/>
      <c r="K7056" s="1493"/>
      <c r="L7056" s="1081"/>
      <c r="M7056" s="1495"/>
      <c r="N7056" s="49"/>
      <c r="O7056" s="644"/>
      <c r="P7056" s="644"/>
      <c r="Q7056" s="1383"/>
      <c r="R7056" s="644"/>
      <c r="S7056" s="48"/>
      <c r="T7056" s="1497"/>
      <c r="U7056" s="1494"/>
      <c r="V7056" s="49"/>
    </row>
    <row r="7057" spans="7:22">
      <c r="G7057" s="48"/>
      <c r="H7057" s="48"/>
      <c r="I7057" s="1503"/>
      <c r="J7057" s="1081"/>
      <c r="K7057" s="1509"/>
      <c r="L7057" s="1081"/>
      <c r="M7057" s="1498"/>
      <c r="N7057" s="49"/>
      <c r="O7057" s="644"/>
      <c r="P7057" s="644"/>
      <c r="Q7057" s="1383"/>
      <c r="R7057" s="644"/>
      <c r="S7057" s="48"/>
      <c r="T7057" s="1497"/>
      <c r="U7057" s="1494"/>
      <c r="V7057" s="49"/>
    </row>
    <row r="7058" spans="7:22">
      <c r="G7058" s="48"/>
      <c r="H7058" s="48"/>
      <c r="I7058" s="1503"/>
      <c r="J7058" s="1081"/>
      <c r="K7058" s="1493"/>
      <c r="L7058" s="1081"/>
      <c r="M7058" s="1498"/>
      <c r="N7058" s="49"/>
      <c r="O7058" s="644"/>
      <c r="P7058" s="644"/>
      <c r="Q7058" s="1383"/>
      <c r="R7058" s="644"/>
      <c r="S7058" s="48"/>
      <c r="T7058" s="1497"/>
      <c r="U7058" s="48"/>
      <c r="V7058" s="48"/>
    </row>
    <row r="7059" spans="7:22">
      <c r="G7059" s="48"/>
      <c r="H7059" s="48"/>
      <c r="I7059" s="1503"/>
      <c r="J7059" s="1081"/>
      <c r="K7059" s="1509"/>
      <c r="L7059" s="1081"/>
      <c r="M7059" s="1498"/>
      <c r="N7059" s="49"/>
      <c r="O7059" s="644"/>
      <c r="P7059" s="644"/>
      <c r="Q7059" s="1383"/>
      <c r="R7059" s="644"/>
      <c r="S7059" s="48"/>
      <c r="T7059" s="1497"/>
      <c r="U7059" s="48"/>
      <c r="V7059" s="48"/>
    </row>
    <row r="7060" spans="7:22">
      <c r="G7060" s="48"/>
      <c r="H7060" s="48"/>
      <c r="I7060" s="1503"/>
      <c r="J7060" s="1081"/>
      <c r="K7060" s="1509"/>
      <c r="L7060" s="1081"/>
      <c r="M7060" s="1498"/>
      <c r="N7060" s="49"/>
      <c r="O7060" s="644"/>
      <c r="P7060" s="644"/>
      <c r="Q7060" s="1383"/>
      <c r="R7060" s="644"/>
      <c r="S7060" s="48"/>
      <c r="T7060" s="1497"/>
      <c r="U7060" s="48"/>
      <c r="V7060" s="48"/>
    </row>
    <row r="7061" spans="7:22">
      <c r="G7061" s="48"/>
      <c r="H7061" s="48"/>
      <c r="I7061" s="1504"/>
      <c r="J7061" s="1081"/>
      <c r="K7061" s="1498"/>
      <c r="L7061" s="49"/>
      <c r="M7061" s="1498"/>
      <c r="N7061" s="49"/>
      <c r="O7061" s="644"/>
      <c r="P7061" s="644"/>
      <c r="Q7061" s="1383"/>
      <c r="R7061" s="644"/>
      <c r="S7061" s="48"/>
      <c r="T7061" s="1497"/>
      <c r="U7061" s="48"/>
      <c r="V7061" s="48"/>
    </row>
    <row r="7062" spans="7:22">
      <c r="G7062" s="48"/>
      <c r="H7062" s="48"/>
      <c r="I7062" s="1504"/>
      <c r="J7062" s="49"/>
      <c r="K7062" s="1498"/>
      <c r="L7062" s="49"/>
      <c r="M7062" s="1498"/>
      <c r="N7062" s="49"/>
      <c r="O7062" s="644"/>
      <c r="P7062" s="644"/>
      <c r="Q7062" s="1383"/>
      <c r="R7062" s="644"/>
      <c r="S7062" s="48"/>
      <c r="T7062" s="1497"/>
      <c r="U7062" s="48"/>
      <c r="V7062" s="48"/>
    </row>
    <row r="7063" spans="7:22">
      <c r="G7063" s="48"/>
      <c r="H7063" s="48"/>
      <c r="I7063" s="1504"/>
      <c r="J7063" s="49"/>
      <c r="K7063" s="1498"/>
      <c r="L7063" s="49"/>
      <c r="M7063" s="1498"/>
      <c r="N7063" s="49"/>
      <c r="O7063" s="644"/>
      <c r="P7063" s="644"/>
      <c r="Q7063" s="1383"/>
      <c r="R7063" s="644"/>
      <c r="S7063" s="48"/>
      <c r="T7063" s="1497"/>
      <c r="U7063" s="48"/>
      <c r="V7063" s="48"/>
    </row>
    <row r="7064" spans="7:22">
      <c r="G7064" s="48"/>
      <c r="H7064" s="48"/>
      <c r="I7064" s="1494"/>
      <c r="J7064" s="49"/>
      <c r="K7064" s="1498"/>
      <c r="L7064" s="49"/>
      <c r="M7064" s="1498"/>
      <c r="N7064" s="49"/>
      <c r="O7064" s="644"/>
      <c r="P7064" s="644"/>
      <c r="Q7064" s="1383"/>
      <c r="R7064" s="644"/>
      <c r="S7064" s="48"/>
      <c r="T7064" s="1497"/>
      <c r="U7064" s="48"/>
      <c r="V7064" s="48"/>
    </row>
    <row r="7065" spans="7:22">
      <c r="G7065" s="48"/>
      <c r="H7065" s="48"/>
      <c r="I7065" s="1494"/>
      <c r="J7065" s="49"/>
      <c r="K7065" s="1498"/>
      <c r="L7065" s="49"/>
      <c r="M7065" s="1498"/>
      <c r="N7065" s="49"/>
      <c r="O7065" s="644"/>
      <c r="P7065" s="644"/>
      <c r="Q7065" s="1383"/>
      <c r="R7065" s="644"/>
      <c r="S7065" s="48"/>
      <c r="T7065" s="1497"/>
      <c r="U7065" s="48"/>
      <c r="V7065" s="48"/>
    </row>
    <row r="7066" spans="7:22">
      <c r="G7066" s="48"/>
      <c r="H7066" s="48"/>
      <c r="I7066" s="48"/>
      <c r="J7066" s="49"/>
      <c r="K7066" s="1498"/>
      <c r="L7066" s="49"/>
      <c r="M7066" s="1498"/>
      <c r="N7066" s="49"/>
      <c r="O7066" s="644"/>
      <c r="P7066" s="644"/>
      <c r="Q7066" s="1383"/>
      <c r="R7066" s="644"/>
      <c r="S7066" s="48"/>
      <c r="T7066" s="1497"/>
      <c r="U7066" s="48"/>
      <c r="V7066" s="48"/>
    </row>
    <row r="7067" spans="7:22">
      <c r="G7067" s="48"/>
      <c r="H7067" s="48"/>
      <c r="I7067" s="48"/>
      <c r="J7067" s="954">
        <f>SUM(J7048:J7066)</f>
        <v>204350000</v>
      </c>
      <c r="K7067" s="954"/>
      <c r="L7067" s="954">
        <f>SUM(L7048:L7066)</f>
        <v>605800000</v>
      </c>
      <c r="M7067" s="1498"/>
      <c r="N7067" s="954">
        <f>SUM(N7048:N7066)</f>
        <v>1115900000</v>
      </c>
      <c r="O7067" s="644"/>
      <c r="P7067" s="969">
        <f>SUM(P7048:P7055)</f>
        <v>0</v>
      </c>
      <c r="Q7067" s="969"/>
      <c r="R7067" s="969">
        <f>SUM(R7048:R7066)</f>
        <v>0</v>
      </c>
      <c r="S7067" s="48"/>
      <c r="T7067" s="1178">
        <f>SUM(T7048:T7066)</f>
        <v>8000</v>
      </c>
      <c r="U7067" s="48"/>
      <c r="V7067" s="878">
        <f>SUM(V7048:V7066)</f>
        <v>0</v>
      </c>
    </row>
    <row r="7068" spans="7:22">
      <c r="T7068" s="1496"/>
    </row>
    <row r="7069" spans="7:22">
      <c r="T7069" s="1496"/>
    </row>
    <row r="7070" spans="7:22">
      <c r="R7070" s="661"/>
      <c r="T7070" s="1496"/>
    </row>
    <row r="7071" spans="7:22">
      <c r="T7071" s="1496"/>
    </row>
    <row r="7072" spans="7:22">
      <c r="K7072" s="3" t="s">
        <v>5310</v>
      </c>
      <c r="T7072" s="1496"/>
    </row>
    <row r="7073" spans="7:22">
      <c r="I7073" s="946"/>
      <c r="M7073" s="1533" t="s">
        <v>3699</v>
      </c>
      <c r="O7073" s="1535" t="s">
        <v>3741</v>
      </c>
      <c r="P7073" s="1512">
        <f>P7067-R7067</f>
        <v>0</v>
      </c>
      <c r="S7073" s="906" t="s">
        <v>4049</v>
      </c>
      <c r="T7073" s="1107">
        <f>T7067-V7067</f>
        <v>8000</v>
      </c>
    </row>
    <row r="7074" spans="7:22">
      <c r="G7074" s="1574" t="s">
        <v>3530</v>
      </c>
      <c r="H7074" s="1574"/>
      <c r="I7074" s="1574"/>
      <c r="J7074" s="3">
        <f>J7067+L7067</f>
        <v>810150000</v>
      </c>
      <c r="K7074" s="1009"/>
      <c r="L7074" s="3"/>
      <c r="M7074" s="1533" t="s">
        <v>3664</v>
      </c>
      <c r="N7074" s="1527"/>
      <c r="O7074" s="1535" t="s">
        <v>4066</v>
      </c>
      <c r="P7074" s="1512"/>
      <c r="T7074" s="1496"/>
    </row>
    <row r="7075" spans="7:22">
      <c r="G7075" s="1574" t="s">
        <v>3512</v>
      </c>
      <c r="H7075" s="1574"/>
      <c r="I7075" s="1574"/>
      <c r="J7075" s="3">
        <f>N7067-J7074</f>
        <v>305750000</v>
      </c>
      <c r="K7075" s="1009"/>
      <c r="L7075" s="3"/>
      <c r="M7075" s="1528"/>
      <c r="O7075" s="1529"/>
      <c r="Q7075" s="661"/>
      <c r="T7075" s="1496"/>
    </row>
    <row r="7076" spans="7:22">
      <c r="G7076" s="1574" t="s">
        <v>3531</v>
      </c>
      <c r="H7076" s="1574"/>
      <c r="I7076" s="1574"/>
      <c r="J7076" s="3">
        <f>+T7073</f>
        <v>8000</v>
      </c>
      <c r="Q7076" s="3"/>
      <c r="T7076" s="1496"/>
    </row>
    <row r="7077" spans="7:22">
      <c r="G7077" s="1564" t="s">
        <v>4455</v>
      </c>
      <c r="H7077" s="1564"/>
      <c r="I7077" s="1564"/>
      <c r="J7077" s="3">
        <f>+P7073</f>
        <v>0</v>
      </c>
      <c r="R7077" s="3"/>
      <c r="T7077" s="1496"/>
    </row>
    <row r="7078" spans="7:22">
      <c r="T7078" s="1496"/>
    </row>
    <row r="7080" spans="7:22">
      <c r="T7080" s="1496"/>
    </row>
    <row r="7081" spans="7:22">
      <c r="T7081" s="1496"/>
    </row>
    <row r="7082" spans="7:22">
      <c r="T7082" s="1496"/>
    </row>
    <row r="7083" spans="7:22">
      <c r="G7083" s="1008">
        <v>46164</v>
      </c>
      <c r="H7083" s="1169"/>
      <c r="I7083" s="1575" t="s">
        <v>3510</v>
      </c>
      <c r="J7083" s="1576"/>
      <c r="K7083" s="1575" t="s">
        <v>3509</v>
      </c>
      <c r="L7083" s="1576"/>
      <c r="M7083" s="1575" t="s">
        <v>3541</v>
      </c>
      <c r="N7083" s="1576"/>
      <c r="O7083" s="1577" t="s">
        <v>3598</v>
      </c>
      <c r="P7083" s="1578"/>
      <c r="Q7083" s="1579" t="s">
        <v>3599</v>
      </c>
      <c r="R7083" s="1580"/>
      <c r="S7083" s="1581" t="s">
        <v>3953</v>
      </c>
      <c r="T7083" s="1582"/>
      <c r="U7083" s="1581" t="s">
        <v>3954</v>
      </c>
      <c r="V7083" s="1582"/>
    </row>
    <row r="7084" spans="7:22">
      <c r="G7084" s="1261"/>
      <c r="H7084" s="1261"/>
      <c r="I7084" s="1508" t="s">
        <v>5824</v>
      </c>
      <c r="J7084" s="1081">
        <v>45500000</v>
      </c>
      <c r="K7084" s="1508" t="s">
        <v>5818</v>
      </c>
      <c r="L7084" s="1081">
        <v>4000000</v>
      </c>
      <c r="M7084" s="1495" t="s">
        <v>4613</v>
      </c>
      <c r="N7084" s="1495">
        <v>305750000</v>
      </c>
      <c r="O7084" s="1383"/>
      <c r="P7084" s="644"/>
      <c r="Q7084" s="1495"/>
      <c r="R7084" s="644"/>
      <c r="S7084" s="1494" t="s">
        <v>4613</v>
      </c>
      <c r="T7084" s="1191">
        <v>8100</v>
      </c>
      <c r="U7084" s="1395"/>
      <c r="V7084" s="48"/>
    </row>
    <row r="7085" spans="7:22">
      <c r="G7085" s="1494"/>
      <c r="H7085" s="1494"/>
      <c r="I7085" s="1508" t="s">
        <v>5825</v>
      </c>
      <c r="J7085" s="1081">
        <f>40000000*0.91</f>
        <v>36400000</v>
      </c>
      <c r="K7085" s="1508" t="s">
        <v>5819</v>
      </c>
      <c r="L7085" s="1081">
        <v>10000000</v>
      </c>
      <c r="M7085" s="1502" t="s">
        <v>5611</v>
      </c>
      <c r="N7085" s="1081">
        <v>11000000</v>
      </c>
      <c r="O7085" s="1383" t="s">
        <v>5262</v>
      </c>
      <c r="P7085" s="644">
        <v>0</v>
      </c>
      <c r="Q7085" s="1493"/>
      <c r="R7085" s="1383"/>
      <c r="S7085" s="1505" t="s">
        <v>5568</v>
      </c>
      <c r="T7085" s="1191">
        <v>22000</v>
      </c>
      <c r="U7085" s="48"/>
      <c r="V7085" s="49"/>
    </row>
    <row r="7086" spans="7:22">
      <c r="G7086" s="48"/>
      <c r="H7086" s="48"/>
      <c r="I7086" s="1508" t="s">
        <v>5826</v>
      </c>
      <c r="J7086" s="1081">
        <v>91000000</v>
      </c>
      <c r="K7086" s="1509" t="s">
        <v>4541</v>
      </c>
      <c r="L7086" s="1509">
        <v>500000</v>
      </c>
      <c r="M7086" s="1508" t="s">
        <v>5822</v>
      </c>
      <c r="N7086" s="49">
        <v>24000000</v>
      </c>
      <c r="O7086" s="1495"/>
      <c r="P7086" s="644"/>
      <c r="Q7086" s="1422"/>
      <c r="R7086" s="644"/>
      <c r="S7086" s="1508" t="s">
        <v>5822</v>
      </c>
      <c r="T7086" s="1191">
        <v>500</v>
      </c>
      <c r="U7086" s="1508" t="s">
        <v>5821</v>
      </c>
      <c r="V7086" s="1191">
        <v>3200</v>
      </c>
    </row>
    <row r="7087" spans="7:22" ht="16.2">
      <c r="G7087" s="48"/>
      <c r="H7087" s="48"/>
      <c r="I7087" s="1502"/>
      <c r="J7087" s="1489"/>
      <c r="K7087" s="1508" t="s">
        <v>5820</v>
      </c>
      <c r="L7087" s="1081">
        <v>3200000</v>
      </c>
      <c r="M7087" s="1510" t="s">
        <v>5101</v>
      </c>
      <c r="N7087" s="49">
        <v>497610000</v>
      </c>
      <c r="O7087" s="1383"/>
      <c r="P7087" s="644"/>
      <c r="Q7087" s="1422"/>
      <c r="R7087" s="644"/>
      <c r="S7087" s="1510" t="s">
        <v>5827</v>
      </c>
      <c r="T7087" s="1497"/>
      <c r="U7087" s="1494"/>
      <c r="V7087" s="1497"/>
    </row>
    <row r="7088" spans="7:22">
      <c r="G7088" s="48"/>
      <c r="H7088" s="48"/>
      <c r="I7088" s="1493"/>
      <c r="J7088" s="1081"/>
      <c r="K7088" s="1508" t="s">
        <v>5821</v>
      </c>
      <c r="L7088" s="1081">
        <v>1000000</v>
      </c>
      <c r="M7088" s="1510" t="s">
        <v>5611</v>
      </c>
      <c r="N7088" s="49">
        <v>891300000</v>
      </c>
      <c r="O7088" s="1383"/>
      <c r="P7088" s="644"/>
      <c r="Q7088" s="1422"/>
      <c r="R7088" s="644"/>
      <c r="S7088" s="1511" t="s">
        <v>5201</v>
      </c>
      <c r="T7088" s="1497">
        <v>5100</v>
      </c>
      <c r="U7088" s="1494"/>
      <c r="V7088" s="49"/>
    </row>
    <row r="7089" spans="7:22">
      <c r="G7089" s="48"/>
      <c r="H7089" s="48"/>
      <c r="I7089" s="1493"/>
      <c r="J7089" s="1081"/>
      <c r="K7089" s="1508" t="s">
        <v>4541</v>
      </c>
      <c r="L7089" s="1081">
        <v>700000</v>
      </c>
      <c r="M7089" s="1495"/>
      <c r="N7089" s="49"/>
      <c r="O7089" s="1383"/>
      <c r="P7089" s="644"/>
      <c r="Q7089" s="1494"/>
      <c r="R7089" s="644"/>
      <c r="S7089" s="1494"/>
      <c r="T7089" s="1497"/>
      <c r="U7089" s="1488"/>
      <c r="V7089" s="49"/>
    </row>
    <row r="7090" spans="7:22">
      <c r="G7090" s="48"/>
      <c r="H7090" s="48"/>
      <c r="I7090" s="1502"/>
      <c r="J7090" s="1081"/>
      <c r="K7090" s="1508" t="s">
        <v>5823</v>
      </c>
      <c r="L7090" s="1081">
        <v>3000000</v>
      </c>
      <c r="M7090" s="1493"/>
      <c r="N7090" s="49"/>
      <c r="O7090" s="1383"/>
      <c r="P7090" s="644"/>
      <c r="Q7090" s="1383"/>
      <c r="R7090" s="644"/>
      <c r="S7090" s="1481"/>
      <c r="T7090" s="1497"/>
      <c r="U7090" s="1488"/>
      <c r="V7090" s="49"/>
    </row>
    <row r="7091" spans="7:22">
      <c r="G7091" s="48"/>
      <c r="H7091" s="48"/>
      <c r="I7091" s="1502"/>
      <c r="J7091" s="1081"/>
      <c r="K7091" s="1508" t="s">
        <v>4617</v>
      </c>
      <c r="L7091" s="1081">
        <v>10000000</v>
      </c>
      <c r="M7091" s="1495"/>
      <c r="N7091" s="49"/>
      <c r="O7091" s="1383"/>
      <c r="P7091" s="644"/>
      <c r="Q7091" s="1385"/>
      <c r="R7091" s="644"/>
      <c r="S7091" s="48"/>
      <c r="T7091" s="1497"/>
      <c r="U7091" s="1488"/>
      <c r="V7091" s="49"/>
    </row>
    <row r="7092" spans="7:22">
      <c r="G7092" s="48"/>
      <c r="H7092" s="48"/>
      <c r="I7092" s="1502"/>
      <c r="J7092" s="1081"/>
      <c r="K7092" s="1510" t="s">
        <v>5201</v>
      </c>
      <c r="L7092" s="1081">
        <v>545000</v>
      </c>
      <c r="M7092" s="1495"/>
      <c r="N7092" s="49"/>
      <c r="O7092" s="644"/>
      <c r="P7092" s="644"/>
      <c r="Q7092" s="1383"/>
      <c r="R7092" s="644"/>
      <c r="S7092" s="48"/>
      <c r="T7092" s="1497"/>
      <c r="U7092" s="1494"/>
      <c r="V7092" s="49"/>
    </row>
    <row r="7093" spans="7:22">
      <c r="G7093" s="48"/>
      <c r="H7093" s="48"/>
      <c r="I7093" s="1503"/>
      <c r="J7093" s="1081"/>
      <c r="K7093" s="1509"/>
      <c r="L7093" s="1081"/>
      <c r="M7093" s="1498"/>
      <c r="N7093" s="49"/>
      <c r="O7093" s="644"/>
      <c r="P7093" s="644"/>
      <c r="Q7093" s="1383"/>
      <c r="R7093" s="644"/>
      <c r="S7093" s="48"/>
      <c r="T7093" s="1497"/>
      <c r="U7093" s="1494"/>
      <c r="V7093" s="49"/>
    </row>
    <row r="7094" spans="7:22">
      <c r="G7094" s="48"/>
      <c r="H7094" s="48"/>
      <c r="I7094" s="1503"/>
      <c r="J7094" s="1081"/>
      <c r="K7094" s="1493"/>
      <c r="L7094" s="1081"/>
      <c r="M7094" s="1498"/>
      <c r="N7094" s="49"/>
      <c r="O7094" s="644"/>
      <c r="P7094" s="644"/>
      <c r="Q7094" s="1383"/>
      <c r="R7094" s="644"/>
      <c r="S7094" s="48"/>
      <c r="T7094" s="1497"/>
      <c r="U7094" s="48"/>
      <c r="V7094" s="48"/>
    </row>
    <row r="7095" spans="7:22">
      <c r="G7095" s="48"/>
      <c r="H7095" s="48"/>
      <c r="I7095" s="1503"/>
      <c r="J7095" s="1081"/>
      <c r="K7095" s="1509"/>
      <c r="L7095" s="1081"/>
      <c r="M7095" s="1498"/>
      <c r="N7095" s="49"/>
      <c r="O7095" s="644"/>
      <c r="P7095" s="644"/>
      <c r="Q7095" s="1383"/>
      <c r="R7095" s="644"/>
      <c r="S7095" s="48"/>
      <c r="T7095" s="1497"/>
      <c r="U7095" s="48"/>
      <c r="V7095" s="48"/>
    </row>
    <row r="7096" spans="7:22">
      <c r="G7096" s="48"/>
      <c r="H7096" s="48"/>
      <c r="I7096" s="1503"/>
      <c r="J7096" s="1081"/>
      <c r="K7096" s="1509"/>
      <c r="L7096" s="1081"/>
      <c r="M7096" s="1498"/>
      <c r="N7096" s="49"/>
      <c r="O7096" s="644"/>
      <c r="P7096" s="644"/>
      <c r="Q7096" s="1383"/>
      <c r="R7096" s="644"/>
      <c r="S7096" s="48"/>
      <c r="T7096" s="1497"/>
      <c r="U7096" s="48"/>
      <c r="V7096" s="48"/>
    </row>
    <row r="7097" spans="7:22">
      <c r="G7097" s="48"/>
      <c r="H7097" s="48"/>
      <c r="I7097" s="1504"/>
      <c r="J7097" s="1081"/>
      <c r="K7097" s="1498"/>
      <c r="L7097" s="49"/>
      <c r="M7097" s="1498"/>
      <c r="N7097" s="49"/>
      <c r="O7097" s="644"/>
      <c r="P7097" s="644"/>
      <c r="Q7097" s="1383"/>
      <c r="R7097" s="644"/>
      <c r="S7097" s="48"/>
      <c r="T7097" s="1497"/>
      <c r="U7097" s="48"/>
      <c r="V7097" s="48"/>
    </row>
    <row r="7098" spans="7:22">
      <c r="G7098" s="48"/>
      <c r="H7098" s="48"/>
      <c r="I7098" s="1504"/>
      <c r="J7098" s="49"/>
      <c r="K7098" s="1498"/>
      <c r="L7098" s="49"/>
      <c r="M7098" s="1498"/>
      <c r="N7098" s="49"/>
      <c r="O7098" s="644"/>
      <c r="P7098" s="644"/>
      <c r="Q7098" s="1383"/>
      <c r="R7098" s="644"/>
      <c r="S7098" s="48"/>
      <c r="T7098" s="1497"/>
      <c r="U7098" s="48"/>
      <c r="V7098" s="48"/>
    </row>
    <row r="7099" spans="7:22">
      <c r="G7099" s="48"/>
      <c r="H7099" s="48"/>
      <c r="I7099" s="1504"/>
      <c r="J7099" s="49"/>
      <c r="K7099" s="1498"/>
      <c r="L7099" s="49"/>
      <c r="M7099" s="1498"/>
      <c r="N7099" s="49"/>
      <c r="O7099" s="644"/>
      <c r="P7099" s="644"/>
      <c r="Q7099" s="1383"/>
      <c r="R7099" s="644"/>
      <c r="S7099" s="48"/>
      <c r="T7099" s="1497"/>
      <c r="U7099" s="48"/>
      <c r="V7099" s="48"/>
    </row>
    <row r="7100" spans="7:22">
      <c r="G7100" s="48"/>
      <c r="H7100" s="48"/>
      <c r="I7100" s="1494"/>
      <c r="J7100" s="49"/>
      <c r="K7100" s="1498"/>
      <c r="L7100" s="49"/>
      <c r="M7100" s="1498"/>
      <c r="N7100" s="49"/>
      <c r="O7100" s="644"/>
      <c r="P7100" s="644"/>
      <c r="Q7100" s="1383"/>
      <c r="R7100" s="644"/>
      <c r="S7100" s="48"/>
      <c r="T7100" s="1497"/>
      <c r="U7100" s="48"/>
      <c r="V7100" s="48"/>
    </row>
    <row r="7101" spans="7:22">
      <c r="G7101" s="48"/>
      <c r="H7101" s="48"/>
      <c r="I7101" s="1494"/>
      <c r="J7101" s="49"/>
      <c r="K7101" s="1498"/>
      <c r="L7101" s="49"/>
      <c r="M7101" s="1498"/>
      <c r="N7101" s="49"/>
      <c r="O7101" s="644"/>
      <c r="P7101" s="644"/>
      <c r="Q7101" s="1383"/>
      <c r="R7101" s="644"/>
      <c r="S7101" s="48"/>
      <c r="T7101" s="1497"/>
      <c r="U7101" s="48"/>
      <c r="V7101" s="48"/>
    </row>
    <row r="7102" spans="7:22">
      <c r="G7102" s="48"/>
      <c r="H7102" s="48"/>
      <c r="I7102" s="48"/>
      <c r="J7102" s="49"/>
      <c r="K7102" s="1498"/>
      <c r="L7102" s="49"/>
      <c r="M7102" s="1498"/>
      <c r="N7102" s="49"/>
      <c r="O7102" s="644"/>
      <c r="P7102" s="644"/>
      <c r="Q7102" s="1383"/>
      <c r="R7102" s="644"/>
      <c r="S7102" s="48"/>
      <c r="T7102" s="1497"/>
      <c r="U7102" s="48"/>
      <c r="V7102" s="48"/>
    </row>
    <row r="7103" spans="7:22">
      <c r="G7103" s="48"/>
      <c r="H7103" s="48"/>
      <c r="I7103" s="48"/>
      <c r="J7103" s="954">
        <f>SUM(J7084:J7102)</f>
        <v>172900000</v>
      </c>
      <c r="K7103" s="954"/>
      <c r="L7103" s="954">
        <f>SUM(L7084:L7102)</f>
        <v>32945000</v>
      </c>
      <c r="M7103" s="1498"/>
      <c r="N7103" s="954">
        <f>SUM(N7084:N7102)</f>
        <v>1729660000</v>
      </c>
      <c r="O7103" s="644"/>
      <c r="P7103" s="969">
        <f>SUM(P7084:P7091)</f>
        <v>0</v>
      </c>
      <c r="Q7103" s="969"/>
      <c r="R7103" s="969">
        <f>SUM(R7084:R7102)</f>
        <v>0</v>
      </c>
      <c r="S7103" s="48"/>
      <c r="T7103" s="1178">
        <f>SUM(T7084:T7102)</f>
        <v>35700</v>
      </c>
      <c r="U7103" s="48"/>
      <c r="V7103" s="878">
        <f>SUM(V7084:V7102)</f>
        <v>3200</v>
      </c>
    </row>
    <row r="7104" spans="7:22">
      <c r="T7104" s="1496"/>
    </row>
    <row r="7105" spans="7:22">
      <c r="T7105" s="1496"/>
    </row>
    <row r="7106" spans="7:22">
      <c r="R7106" s="661"/>
      <c r="T7106" s="1496"/>
    </row>
    <row r="7107" spans="7:22">
      <c r="T7107" s="1496"/>
    </row>
    <row r="7108" spans="7:22">
      <c r="K7108" s="3" t="s">
        <v>5310</v>
      </c>
      <c r="T7108" s="1496"/>
    </row>
    <row r="7109" spans="7:22">
      <c r="I7109" s="946"/>
      <c r="M7109" s="1533" t="s">
        <v>3699</v>
      </c>
      <c r="O7109" s="1535" t="s">
        <v>3741</v>
      </c>
      <c r="P7109" s="1512">
        <f>P7103-R7103</f>
        <v>0</v>
      </c>
      <c r="S7109" s="906" t="s">
        <v>4049</v>
      </c>
      <c r="T7109" s="1107">
        <f>T7103-V7103</f>
        <v>32500</v>
      </c>
    </row>
    <row r="7110" spans="7:22">
      <c r="G7110" s="1574" t="s">
        <v>3530</v>
      </c>
      <c r="H7110" s="1574"/>
      <c r="I7110" s="1574"/>
      <c r="J7110" s="3">
        <f>J7103+L7103</f>
        <v>205845000</v>
      </c>
      <c r="K7110" s="1009"/>
      <c r="L7110" s="3"/>
      <c r="M7110" s="1533" t="s">
        <v>3664</v>
      </c>
      <c r="N7110" s="1527"/>
      <c r="O7110" s="1535" t="s">
        <v>4066</v>
      </c>
      <c r="P7110" s="1512"/>
      <c r="T7110" s="1496"/>
    </row>
    <row r="7111" spans="7:22">
      <c r="G7111" s="1574" t="s">
        <v>3512</v>
      </c>
      <c r="H7111" s="1574"/>
      <c r="I7111" s="1574"/>
      <c r="J7111" s="3">
        <f>N7103-J7110</f>
        <v>1523815000</v>
      </c>
      <c r="K7111" s="1009"/>
      <c r="L7111" s="3"/>
      <c r="M7111" s="1528"/>
      <c r="O7111" s="1529"/>
      <c r="Q7111" s="661"/>
      <c r="T7111" s="1496"/>
    </row>
    <row r="7112" spans="7:22">
      <c r="G7112" s="1574" t="s">
        <v>3531</v>
      </c>
      <c r="H7112" s="1574"/>
      <c r="I7112" s="1574"/>
      <c r="J7112" s="3">
        <f>+T7109</f>
        <v>32500</v>
      </c>
      <c r="Q7112" s="3"/>
      <c r="T7112" s="1496"/>
    </row>
    <row r="7113" spans="7:22">
      <c r="G7113" s="1564" t="s">
        <v>4455</v>
      </c>
      <c r="H7113" s="1564"/>
      <c r="I7113" s="1564"/>
      <c r="J7113" s="3">
        <f>+P7109</f>
        <v>0</v>
      </c>
      <c r="R7113" s="3"/>
      <c r="T7113" s="1496"/>
    </row>
    <row r="7114" spans="7:22">
      <c r="T7114" s="1496"/>
    </row>
    <row r="7116" spans="7:22">
      <c r="T7116" s="1499"/>
    </row>
    <row r="7117" spans="7:22">
      <c r="T7117" s="1499"/>
    </row>
    <row r="7118" spans="7:22">
      <c r="G7118" s="1008">
        <v>46165</v>
      </c>
      <c r="H7118" s="1169"/>
      <c r="I7118" s="1575" t="s">
        <v>3510</v>
      </c>
      <c r="J7118" s="1576"/>
      <c r="K7118" s="1575" t="s">
        <v>3509</v>
      </c>
      <c r="L7118" s="1576"/>
      <c r="M7118" s="1575" t="s">
        <v>3541</v>
      </c>
      <c r="N7118" s="1576"/>
      <c r="O7118" s="1577" t="s">
        <v>3598</v>
      </c>
      <c r="P7118" s="1578"/>
      <c r="Q7118" s="1579" t="s">
        <v>3599</v>
      </c>
      <c r="R7118" s="1580"/>
      <c r="S7118" s="1581" t="s">
        <v>3953</v>
      </c>
      <c r="T7118" s="1582"/>
      <c r="U7118" s="1581" t="s">
        <v>3954</v>
      </c>
      <c r="V7118" s="1582"/>
    </row>
    <row r="7119" spans="7:22">
      <c r="G7119" s="1261"/>
      <c r="H7119" s="1261"/>
      <c r="I7119" s="1508" t="s">
        <v>5828</v>
      </c>
      <c r="J7119" s="1081">
        <v>30360000</v>
      </c>
      <c r="K7119" s="1508" t="s">
        <v>5820</v>
      </c>
      <c r="L7119" s="1081">
        <v>2300000</v>
      </c>
      <c r="M7119" s="1495" t="s">
        <v>4613</v>
      </c>
      <c r="N7119" s="1495">
        <v>224400000</v>
      </c>
      <c r="O7119" s="1383"/>
      <c r="P7119" s="644"/>
      <c r="Q7119" s="1495"/>
      <c r="R7119" s="644"/>
      <c r="S7119" s="1494" t="s">
        <v>4613</v>
      </c>
      <c r="T7119" s="1191">
        <v>32500</v>
      </c>
      <c r="U7119" s="1395"/>
      <c r="V7119" s="48"/>
    </row>
    <row r="7120" spans="7:22">
      <c r="G7120" s="1494"/>
      <c r="H7120" s="1494"/>
      <c r="I7120" s="1508" t="s">
        <v>5829</v>
      </c>
      <c r="J7120" s="1081">
        <v>46500000</v>
      </c>
      <c r="K7120" s="1508" t="s">
        <v>4928</v>
      </c>
      <c r="L7120" s="1081">
        <v>3600000</v>
      </c>
      <c r="M7120" s="1508" t="s">
        <v>5519</v>
      </c>
      <c r="N7120" s="1081">
        <v>49500000</v>
      </c>
      <c r="O7120" s="1383" t="s">
        <v>5262</v>
      </c>
      <c r="P7120" s="644">
        <v>0</v>
      </c>
      <c r="Q7120" s="1493"/>
      <c r="R7120" s="1383"/>
      <c r="S7120" s="1505"/>
      <c r="T7120" s="1191">
        <v>300</v>
      </c>
      <c r="U7120" s="48"/>
      <c r="V7120" s="49"/>
    </row>
    <row r="7121" spans="7:22">
      <c r="G7121" s="48"/>
      <c r="H7121" s="48"/>
      <c r="I7121" s="1508" t="s">
        <v>5831</v>
      </c>
      <c r="J7121" s="1081">
        <f>40000000*0.91</f>
        <v>36400000</v>
      </c>
      <c r="K7121" s="1509" t="s">
        <v>4447</v>
      </c>
      <c r="L7121" s="1509">
        <v>9200000</v>
      </c>
      <c r="M7121" s="1508" t="s">
        <v>5830</v>
      </c>
      <c r="N7121" s="49">
        <v>59000000</v>
      </c>
      <c r="O7121" s="1495"/>
      <c r="P7121" s="644"/>
      <c r="Q7121" s="1422"/>
      <c r="R7121" s="644"/>
      <c r="S7121" s="1508"/>
      <c r="T7121" s="1191"/>
      <c r="U7121" s="1508"/>
      <c r="V7121" s="1191"/>
    </row>
    <row r="7122" spans="7:22" ht="16.2">
      <c r="G7122" s="48"/>
      <c r="H7122" s="48"/>
      <c r="I7122" s="1502"/>
      <c r="J7122" s="1489"/>
      <c r="K7122" s="1508" t="s">
        <v>4876</v>
      </c>
      <c r="L7122" s="1081">
        <v>240000</v>
      </c>
      <c r="M7122" s="1510"/>
      <c r="N7122" s="49"/>
      <c r="O7122" s="1383"/>
      <c r="P7122" s="644"/>
      <c r="Q7122" s="1422"/>
      <c r="R7122" s="644"/>
      <c r="S7122" s="1510"/>
      <c r="T7122" s="1500"/>
      <c r="U7122" s="1494"/>
      <c r="V7122" s="1500"/>
    </row>
    <row r="7123" spans="7:22">
      <c r="G7123" s="48"/>
      <c r="H7123" s="48"/>
      <c r="I7123" s="1493"/>
      <c r="J7123" s="1081"/>
      <c r="K7123" s="1508" t="s">
        <v>4801</v>
      </c>
      <c r="L7123" s="1081">
        <v>600000</v>
      </c>
      <c r="M7123" s="1510"/>
      <c r="N7123" s="49"/>
      <c r="O7123" s="1383"/>
      <c r="P7123" s="644"/>
      <c r="Q7123" s="1422"/>
      <c r="R7123" s="644"/>
      <c r="S7123" s="1511"/>
      <c r="T7123" s="1500"/>
      <c r="U7123" s="1494"/>
      <c r="V7123" s="49"/>
    </row>
    <row r="7124" spans="7:22">
      <c r="G7124" s="48"/>
      <c r="H7124" s="48"/>
      <c r="I7124" s="1493"/>
      <c r="J7124" s="1081"/>
      <c r="K7124" s="1508" t="s">
        <v>4472</v>
      </c>
      <c r="L7124" s="1081">
        <v>500000</v>
      </c>
      <c r="M7124" s="1495"/>
      <c r="N7124" s="49"/>
      <c r="O7124" s="1383"/>
      <c r="P7124" s="644"/>
      <c r="Q7124" s="1494"/>
      <c r="R7124" s="644"/>
      <c r="S7124" s="1494"/>
      <c r="T7124" s="1500"/>
      <c r="U7124" s="1488"/>
      <c r="V7124" s="49"/>
    </row>
    <row r="7125" spans="7:22">
      <c r="G7125" s="48"/>
      <c r="H7125" s="48"/>
      <c r="I7125" s="1502"/>
      <c r="J7125" s="1081"/>
      <c r="K7125" s="1508"/>
      <c r="L7125" s="1081"/>
      <c r="M7125" s="1493"/>
      <c r="N7125" s="49"/>
      <c r="O7125" s="1383"/>
      <c r="P7125" s="644"/>
      <c r="Q7125" s="1383"/>
      <c r="R7125" s="644"/>
      <c r="S7125" s="1481"/>
      <c r="T7125" s="1500"/>
      <c r="U7125" s="1488"/>
      <c r="V7125" s="49"/>
    </row>
    <row r="7126" spans="7:22">
      <c r="G7126" s="48"/>
      <c r="H7126" s="48"/>
      <c r="I7126" s="1502"/>
      <c r="J7126" s="1081"/>
      <c r="K7126" s="1508"/>
      <c r="L7126" s="1081"/>
      <c r="M7126" s="1495"/>
      <c r="N7126" s="49"/>
      <c r="O7126" s="1383"/>
      <c r="P7126" s="644"/>
      <c r="Q7126" s="1385"/>
      <c r="R7126" s="644"/>
      <c r="S7126" s="48"/>
      <c r="T7126" s="1500"/>
      <c r="U7126" s="1488"/>
      <c r="V7126" s="49"/>
    </row>
    <row r="7127" spans="7:22">
      <c r="G7127" s="48"/>
      <c r="H7127" s="48"/>
      <c r="I7127" s="1502"/>
      <c r="J7127" s="1081"/>
      <c r="K7127" s="1510"/>
      <c r="L7127" s="1081"/>
      <c r="M7127" s="1495"/>
      <c r="N7127" s="49"/>
      <c r="O7127" s="644"/>
      <c r="P7127" s="644"/>
      <c r="Q7127" s="1383"/>
      <c r="R7127" s="644"/>
      <c r="S7127" s="48"/>
      <c r="T7127" s="1500"/>
      <c r="U7127" s="1494"/>
      <c r="V7127" s="49"/>
    </row>
    <row r="7128" spans="7:22">
      <c r="G7128" s="48"/>
      <c r="H7128" s="48"/>
      <c r="I7128" s="1503"/>
      <c r="J7128" s="1081"/>
      <c r="K7128" s="1509"/>
      <c r="L7128" s="1081"/>
      <c r="M7128" s="1498"/>
      <c r="N7128" s="49"/>
      <c r="O7128" s="644"/>
      <c r="P7128" s="644"/>
      <c r="Q7128" s="1383"/>
      <c r="R7128" s="644"/>
      <c r="S7128" s="48"/>
      <c r="T7128" s="1500"/>
      <c r="U7128" s="1494"/>
      <c r="V7128" s="49"/>
    </row>
    <row r="7129" spans="7:22">
      <c r="G7129" s="48"/>
      <c r="H7129" s="48"/>
      <c r="I7129" s="1503"/>
      <c r="J7129" s="1081"/>
      <c r="K7129" s="1493"/>
      <c r="L7129" s="1081"/>
      <c r="M7129" s="1498"/>
      <c r="N7129" s="49"/>
      <c r="O7129" s="644"/>
      <c r="P7129" s="644"/>
      <c r="Q7129" s="1383"/>
      <c r="R7129" s="644"/>
      <c r="S7129" s="48"/>
      <c r="T7129" s="1500"/>
      <c r="U7129" s="48"/>
      <c r="V7129" s="48"/>
    </row>
    <row r="7130" spans="7:22">
      <c r="G7130" s="48"/>
      <c r="H7130" s="48"/>
      <c r="I7130" s="1503"/>
      <c r="J7130" s="1081"/>
      <c r="K7130" s="1509"/>
      <c r="L7130" s="1081"/>
      <c r="M7130" s="1498"/>
      <c r="N7130" s="49"/>
      <c r="O7130" s="644"/>
      <c r="P7130" s="644"/>
      <c r="Q7130" s="1383"/>
      <c r="R7130" s="644"/>
      <c r="S7130" s="48"/>
      <c r="T7130" s="1500"/>
      <c r="U7130" s="48"/>
      <c r="V7130" s="48"/>
    </row>
    <row r="7131" spans="7:22">
      <c r="G7131" s="48"/>
      <c r="H7131" s="48"/>
      <c r="I7131" s="1503"/>
      <c r="J7131" s="1081"/>
      <c r="K7131" s="1509"/>
      <c r="L7131" s="1081"/>
      <c r="M7131" s="1498"/>
      <c r="N7131" s="49"/>
      <c r="O7131" s="644"/>
      <c r="P7131" s="644"/>
      <c r="Q7131" s="1383"/>
      <c r="R7131" s="644"/>
      <c r="S7131" s="48"/>
      <c r="T7131" s="1500"/>
      <c r="U7131" s="48"/>
      <c r="V7131" s="48"/>
    </row>
    <row r="7132" spans="7:22">
      <c r="G7132" s="48"/>
      <c r="H7132" s="48"/>
      <c r="I7132" s="1504"/>
      <c r="J7132" s="1081"/>
      <c r="K7132" s="1498"/>
      <c r="L7132" s="49"/>
      <c r="M7132" s="1498"/>
      <c r="N7132" s="49"/>
      <c r="O7132" s="644"/>
      <c r="P7132" s="644"/>
      <c r="Q7132" s="1383"/>
      <c r="R7132" s="644"/>
      <c r="S7132" s="48"/>
      <c r="T7132" s="1500"/>
      <c r="U7132" s="48"/>
      <c r="V7132" s="48"/>
    </row>
    <row r="7133" spans="7:22">
      <c r="G7133" s="48"/>
      <c r="H7133" s="48"/>
      <c r="I7133" s="1504"/>
      <c r="J7133" s="49"/>
      <c r="K7133" s="1498"/>
      <c r="L7133" s="49"/>
      <c r="M7133" s="1498"/>
      <c r="N7133" s="49"/>
      <c r="O7133" s="644"/>
      <c r="P7133" s="644"/>
      <c r="Q7133" s="1383"/>
      <c r="R7133" s="644"/>
      <c r="S7133" s="48"/>
      <c r="T7133" s="1500"/>
      <c r="U7133" s="48"/>
      <c r="V7133" s="48"/>
    </row>
    <row r="7134" spans="7:22">
      <c r="G7134" s="48"/>
      <c r="H7134" s="48"/>
      <c r="I7134" s="1504"/>
      <c r="J7134" s="49"/>
      <c r="K7134" s="1498"/>
      <c r="L7134" s="49"/>
      <c r="M7134" s="1498"/>
      <c r="N7134" s="49"/>
      <c r="O7134" s="644"/>
      <c r="P7134" s="644"/>
      <c r="Q7134" s="1383"/>
      <c r="R7134" s="644"/>
      <c r="S7134" s="48"/>
      <c r="T7134" s="1500"/>
      <c r="U7134" s="48"/>
      <c r="V7134" s="48"/>
    </row>
    <row r="7135" spans="7:22">
      <c r="G7135" s="48"/>
      <c r="H7135" s="48"/>
      <c r="I7135" s="1494"/>
      <c r="J7135" s="49"/>
      <c r="K7135" s="1498"/>
      <c r="L7135" s="49"/>
      <c r="M7135" s="1498"/>
      <c r="N7135" s="49"/>
      <c r="O7135" s="644"/>
      <c r="P7135" s="644"/>
      <c r="Q7135" s="1383"/>
      <c r="R7135" s="644"/>
      <c r="S7135" s="48"/>
      <c r="T7135" s="1500"/>
      <c r="U7135" s="48"/>
      <c r="V7135" s="48"/>
    </row>
    <row r="7136" spans="7:22">
      <c r="G7136" s="48"/>
      <c r="H7136" s="48"/>
      <c r="I7136" s="1494"/>
      <c r="J7136" s="49"/>
      <c r="K7136" s="1498"/>
      <c r="L7136" s="49"/>
      <c r="M7136" s="1498"/>
      <c r="N7136" s="49"/>
      <c r="O7136" s="644"/>
      <c r="P7136" s="644"/>
      <c r="Q7136" s="1383"/>
      <c r="R7136" s="644"/>
      <c r="S7136" s="48"/>
      <c r="T7136" s="1500"/>
      <c r="U7136" s="48"/>
      <c r="V7136" s="48"/>
    </row>
    <row r="7137" spans="7:22">
      <c r="G7137" s="48"/>
      <c r="H7137" s="48"/>
      <c r="I7137" s="48"/>
      <c r="J7137" s="49"/>
      <c r="K7137" s="1498"/>
      <c r="L7137" s="49"/>
      <c r="M7137" s="1498"/>
      <c r="N7137" s="49"/>
      <c r="O7137" s="644"/>
      <c r="P7137" s="644"/>
      <c r="Q7137" s="1383"/>
      <c r="R7137" s="644"/>
      <c r="S7137" s="48"/>
      <c r="T7137" s="1500"/>
      <c r="U7137" s="48"/>
      <c r="V7137" s="48"/>
    </row>
    <row r="7138" spans="7:22">
      <c r="G7138" s="48"/>
      <c r="H7138" s="48"/>
      <c r="I7138" s="48"/>
      <c r="J7138" s="954">
        <f>SUM(J7119:J7137)</f>
        <v>113260000</v>
      </c>
      <c r="K7138" s="954"/>
      <c r="L7138" s="954">
        <f>SUM(L7119:L7137)</f>
        <v>16440000</v>
      </c>
      <c r="M7138" s="1498"/>
      <c r="N7138" s="954">
        <f>SUM(N7119:N7137)</f>
        <v>332900000</v>
      </c>
      <c r="O7138" s="644"/>
      <c r="P7138" s="969">
        <f>SUM(P7119:P7126)</f>
        <v>0</v>
      </c>
      <c r="Q7138" s="969"/>
      <c r="R7138" s="969">
        <f>SUM(R7119:R7137)</f>
        <v>0</v>
      </c>
      <c r="S7138" s="48"/>
      <c r="T7138" s="1178">
        <f>SUM(T7119:T7137)</f>
        <v>32800</v>
      </c>
      <c r="U7138" s="48"/>
      <c r="V7138" s="878">
        <f>SUM(V7119:V7137)</f>
        <v>0</v>
      </c>
    </row>
    <row r="7139" spans="7:22">
      <c r="T7139" s="1499"/>
    </row>
    <row r="7140" spans="7:22">
      <c r="T7140" s="1499"/>
    </row>
    <row r="7141" spans="7:22">
      <c r="R7141" s="661"/>
      <c r="T7141" s="1499"/>
    </row>
    <row r="7142" spans="7:22">
      <c r="T7142" s="1499"/>
    </row>
    <row r="7143" spans="7:22">
      <c r="K7143" s="3" t="s">
        <v>5310</v>
      </c>
      <c r="T7143" s="1499"/>
    </row>
    <row r="7144" spans="7:22">
      <c r="I7144" s="946"/>
      <c r="M7144" s="1533" t="s">
        <v>3699</v>
      </c>
      <c r="O7144" s="1535" t="s">
        <v>3741</v>
      </c>
      <c r="P7144" s="1512">
        <f>P7138-R7138</f>
        <v>0</v>
      </c>
      <c r="S7144" s="906" t="s">
        <v>4049</v>
      </c>
      <c r="T7144" s="1107">
        <f>T7138-V7138</f>
        <v>32800</v>
      </c>
    </row>
    <row r="7145" spans="7:22">
      <c r="G7145" s="1574" t="s">
        <v>3530</v>
      </c>
      <c r="H7145" s="1574"/>
      <c r="I7145" s="1574"/>
      <c r="J7145" s="3">
        <f>J7138+L7138</f>
        <v>129700000</v>
      </c>
      <c r="K7145" s="1009"/>
      <c r="L7145" s="3"/>
      <c r="M7145" s="1533" t="s">
        <v>3664</v>
      </c>
      <c r="N7145" s="1527"/>
      <c r="O7145" s="1535" t="s">
        <v>4066</v>
      </c>
      <c r="P7145" s="1512"/>
      <c r="T7145" s="1499"/>
    </row>
    <row r="7146" spans="7:22">
      <c r="G7146" s="1574" t="s">
        <v>3512</v>
      </c>
      <c r="H7146" s="1574"/>
      <c r="I7146" s="1574"/>
      <c r="J7146" s="3">
        <f>N7138-J7145</f>
        <v>203200000</v>
      </c>
      <c r="K7146" s="1009"/>
      <c r="L7146" s="3"/>
      <c r="M7146" s="1528"/>
      <c r="O7146" s="1529"/>
      <c r="Q7146" s="661"/>
      <c r="T7146" s="1499"/>
    </row>
    <row r="7147" spans="7:22">
      <c r="G7147" s="1574" t="s">
        <v>3531</v>
      </c>
      <c r="H7147" s="1574"/>
      <c r="I7147" s="1574"/>
      <c r="J7147" s="3">
        <f>+T7144</f>
        <v>32800</v>
      </c>
      <c r="Q7147" s="3"/>
      <c r="T7147" s="1499"/>
    </row>
    <row r="7148" spans="7:22">
      <c r="G7148" s="1564" t="s">
        <v>4455</v>
      </c>
      <c r="H7148" s="1564"/>
      <c r="I7148" s="1564"/>
      <c r="J7148" s="3">
        <f>+P7144</f>
        <v>0</v>
      </c>
      <c r="R7148" s="3"/>
      <c r="T7148" s="1499"/>
    </row>
    <row r="7149" spans="7:22">
      <c r="T7149" s="1499"/>
    </row>
    <row r="7154" spans="7:22">
      <c r="T7154" s="1499"/>
    </row>
    <row r="7155" spans="7:22">
      <c r="G7155" s="1008">
        <v>46167</v>
      </c>
      <c r="H7155" s="1169"/>
      <c r="I7155" s="1575" t="s">
        <v>3510</v>
      </c>
      <c r="J7155" s="1576"/>
      <c r="K7155" s="1575" t="s">
        <v>3509</v>
      </c>
      <c r="L7155" s="1576"/>
      <c r="M7155" s="1575" t="s">
        <v>3541</v>
      </c>
      <c r="N7155" s="1576"/>
      <c r="O7155" s="1577" t="s">
        <v>3598</v>
      </c>
      <c r="P7155" s="1578"/>
      <c r="Q7155" s="1579" t="s">
        <v>3599</v>
      </c>
      <c r="R7155" s="1580"/>
      <c r="S7155" s="1581" t="s">
        <v>3953</v>
      </c>
      <c r="T7155" s="1582"/>
      <c r="U7155" s="1581" t="s">
        <v>3954</v>
      </c>
      <c r="V7155" s="1582"/>
    </row>
    <row r="7156" spans="7:22">
      <c r="G7156" s="1261"/>
      <c r="H7156" s="1261"/>
      <c r="I7156" s="1508" t="s">
        <v>5832</v>
      </c>
      <c r="J7156" s="1081">
        <v>13200000</v>
      </c>
      <c r="K7156" s="1508" t="s">
        <v>5391</v>
      </c>
      <c r="L7156" s="1081">
        <v>144000000</v>
      </c>
      <c r="M7156" s="1495" t="s">
        <v>4613</v>
      </c>
      <c r="N7156" s="1495">
        <v>216000000</v>
      </c>
      <c r="O7156" s="1383"/>
      <c r="P7156" s="644"/>
      <c r="Q7156" s="1495"/>
      <c r="R7156" s="644"/>
      <c r="S7156" s="1494" t="s">
        <v>4613</v>
      </c>
      <c r="T7156" s="1191">
        <v>32800</v>
      </c>
      <c r="U7156" s="1395"/>
      <c r="V7156" s="48"/>
    </row>
    <row r="7157" spans="7:22">
      <c r="G7157" s="1494"/>
      <c r="H7157" s="1494"/>
      <c r="I7157" s="1516" t="s">
        <v>5833</v>
      </c>
      <c r="J7157" s="1081">
        <v>33250000</v>
      </c>
      <c r="K7157" s="1516" t="s">
        <v>4903</v>
      </c>
      <c r="L7157" s="1081">
        <v>4000000</v>
      </c>
      <c r="M7157" s="1508" t="s">
        <v>4613</v>
      </c>
      <c r="N7157" s="1081">
        <v>100000000</v>
      </c>
      <c r="O7157" s="1383" t="s">
        <v>5262</v>
      </c>
      <c r="P7157" s="644">
        <v>5000000</v>
      </c>
      <c r="Q7157" s="1493"/>
      <c r="R7157" s="1383"/>
      <c r="S7157" s="1505"/>
      <c r="T7157" s="1191">
        <v>8600</v>
      </c>
      <c r="U7157" s="48" t="s">
        <v>4788</v>
      </c>
      <c r="V7157" s="49">
        <v>11500</v>
      </c>
    </row>
    <row r="7158" spans="7:22">
      <c r="G7158" s="48"/>
      <c r="H7158" s="48"/>
      <c r="I7158" s="1493" t="s">
        <v>5773</v>
      </c>
      <c r="J7158" s="1081">
        <v>93000000</v>
      </c>
      <c r="K7158" s="1509" t="s">
        <v>5820</v>
      </c>
      <c r="L7158" s="1509">
        <v>10000000</v>
      </c>
      <c r="M7158" s="1516" t="s">
        <v>5834</v>
      </c>
      <c r="N7158" s="49">
        <v>60000000</v>
      </c>
      <c r="O7158" s="1495"/>
      <c r="P7158" s="644"/>
      <c r="Q7158" s="1422"/>
      <c r="R7158" s="644"/>
      <c r="S7158" s="1508"/>
      <c r="T7158" s="1191"/>
      <c r="U7158" s="1508"/>
      <c r="V7158" s="1191"/>
    </row>
    <row r="7159" spans="7:22" ht="16.2">
      <c r="G7159" s="48"/>
      <c r="H7159" s="48"/>
      <c r="I7159" s="1516" t="s">
        <v>5836</v>
      </c>
      <c r="J7159" s="1489">
        <v>21000000</v>
      </c>
      <c r="K7159" s="1516" t="s">
        <v>2558</v>
      </c>
      <c r="L7159" s="1081">
        <v>2600000</v>
      </c>
      <c r="M7159" s="1510"/>
      <c r="N7159" s="49">
        <v>800000</v>
      </c>
      <c r="O7159" s="1383"/>
      <c r="P7159" s="644"/>
      <c r="Q7159" s="1422"/>
      <c r="R7159" s="644"/>
      <c r="S7159" s="1510"/>
      <c r="T7159" s="1500"/>
      <c r="U7159" s="1494"/>
      <c r="V7159" s="1500"/>
    </row>
    <row r="7160" spans="7:22">
      <c r="G7160" s="48"/>
      <c r="H7160" s="48"/>
      <c r="I7160" s="1516" t="s">
        <v>5837</v>
      </c>
      <c r="J7160" s="1081">
        <v>46000000</v>
      </c>
      <c r="K7160" s="1516" t="s">
        <v>4507</v>
      </c>
      <c r="L7160" s="1081">
        <v>1500000</v>
      </c>
      <c r="M7160" s="1510"/>
      <c r="N7160" s="49">
        <v>600000</v>
      </c>
      <c r="O7160" s="1383"/>
      <c r="P7160" s="644"/>
      <c r="Q7160" s="1422"/>
      <c r="R7160" s="644"/>
      <c r="S7160" s="1511"/>
      <c r="T7160" s="1500"/>
      <c r="U7160" s="1494"/>
      <c r="V7160" s="49"/>
    </row>
    <row r="7161" spans="7:22">
      <c r="G7161" s="48"/>
      <c r="H7161" s="48"/>
      <c r="I7161" s="1516" t="s">
        <v>5838</v>
      </c>
      <c r="J7161" s="1081">
        <v>27600000</v>
      </c>
      <c r="K7161" s="1516" t="s">
        <v>4495</v>
      </c>
      <c r="L7161" s="1081">
        <v>4000000</v>
      </c>
      <c r="M7161" s="1517" t="s">
        <v>4613</v>
      </c>
      <c r="N7161" s="49">
        <v>200000000</v>
      </c>
      <c r="O7161" s="1383"/>
      <c r="P7161" s="644"/>
      <c r="Q7161" s="1494"/>
      <c r="R7161" s="644"/>
      <c r="S7161" s="1494"/>
      <c r="T7161" s="1500"/>
      <c r="U7161" s="1488"/>
      <c r="V7161" s="49"/>
    </row>
    <row r="7162" spans="7:22">
      <c r="G7162" s="48"/>
      <c r="H7162" s="48"/>
      <c r="I7162" s="1516" t="s">
        <v>5839</v>
      </c>
      <c r="J7162" s="1081">
        <v>36800000</v>
      </c>
      <c r="K7162" s="1516" t="s">
        <v>5835</v>
      </c>
      <c r="L7162" s="1081">
        <v>3000000</v>
      </c>
      <c r="M7162" s="1493"/>
      <c r="N7162" s="49"/>
      <c r="O7162" s="1383"/>
      <c r="P7162" s="644"/>
      <c r="Q7162" s="1383"/>
      <c r="R7162" s="644"/>
      <c r="S7162" s="1481"/>
      <c r="T7162" s="1500"/>
      <c r="U7162" s="1488"/>
      <c r="V7162" s="49"/>
    </row>
    <row r="7163" spans="7:22">
      <c r="G7163" s="48"/>
      <c r="H7163" s="48"/>
      <c r="I7163" s="1516" t="s">
        <v>5840</v>
      </c>
      <c r="J7163" s="1081">
        <v>44000000</v>
      </c>
      <c r="K7163" s="1508"/>
      <c r="L7163" s="1081"/>
      <c r="M7163" s="1495"/>
      <c r="N7163" s="49"/>
      <c r="O7163" s="1383"/>
      <c r="P7163" s="644"/>
      <c r="Q7163" s="1385"/>
      <c r="R7163" s="644"/>
      <c r="S7163" s="48"/>
      <c r="T7163" s="1500"/>
      <c r="U7163" s="1488"/>
      <c r="V7163" s="49"/>
    </row>
    <row r="7164" spans="7:22">
      <c r="G7164" s="48"/>
      <c r="H7164" s="48"/>
      <c r="I7164" s="1502"/>
      <c r="J7164" s="1081"/>
      <c r="K7164" s="1510"/>
      <c r="L7164" s="1081"/>
      <c r="M7164" s="1495"/>
      <c r="N7164" s="49"/>
      <c r="O7164" s="644"/>
      <c r="P7164" s="644"/>
      <c r="Q7164" s="1383"/>
      <c r="R7164" s="644"/>
      <c r="S7164" s="48"/>
      <c r="T7164" s="1500"/>
      <c r="U7164" s="1494"/>
      <c r="V7164" s="49"/>
    </row>
    <row r="7165" spans="7:22">
      <c r="G7165" s="48"/>
      <c r="H7165" s="48"/>
      <c r="I7165" s="1503"/>
      <c r="J7165" s="1081"/>
      <c r="K7165" s="1509"/>
      <c r="L7165" s="1081"/>
      <c r="M7165" s="1498"/>
      <c r="N7165" s="49"/>
      <c r="O7165" s="644"/>
      <c r="P7165" s="644"/>
      <c r="Q7165" s="1383"/>
      <c r="R7165" s="644"/>
      <c r="S7165" s="48"/>
      <c r="T7165" s="1500"/>
      <c r="U7165" s="1494"/>
      <c r="V7165" s="49"/>
    </row>
    <row r="7166" spans="7:22">
      <c r="G7166" s="48"/>
      <c r="H7166" s="48"/>
      <c r="I7166" s="1503"/>
      <c r="J7166" s="1081"/>
      <c r="K7166" s="1493"/>
      <c r="L7166" s="1081"/>
      <c r="M7166" s="1498"/>
      <c r="N7166" s="49"/>
      <c r="O7166" s="644"/>
      <c r="P7166" s="644"/>
      <c r="Q7166" s="1383"/>
      <c r="R7166" s="644"/>
      <c r="S7166" s="48"/>
      <c r="T7166" s="1500"/>
      <c r="U7166" s="48"/>
      <c r="V7166" s="48"/>
    </row>
    <row r="7167" spans="7:22">
      <c r="G7167" s="48"/>
      <c r="H7167" s="48"/>
      <c r="I7167" s="1503"/>
      <c r="J7167" s="1081"/>
      <c r="K7167" s="1509"/>
      <c r="L7167" s="1081"/>
      <c r="M7167" s="1498"/>
      <c r="N7167" s="49"/>
      <c r="O7167" s="644"/>
      <c r="P7167" s="644"/>
      <c r="Q7167" s="1383"/>
      <c r="R7167" s="644"/>
      <c r="S7167" s="48"/>
      <c r="T7167" s="1500"/>
      <c r="U7167" s="48"/>
      <c r="V7167" s="48"/>
    </row>
    <row r="7168" spans="7:22">
      <c r="G7168" s="48"/>
      <c r="H7168" s="48"/>
      <c r="I7168" s="1503"/>
      <c r="J7168" s="1081"/>
      <c r="K7168" s="1509"/>
      <c r="L7168" s="1081"/>
      <c r="M7168" s="1498"/>
      <c r="N7168" s="49"/>
      <c r="O7168" s="644"/>
      <c r="P7168" s="644"/>
      <c r="Q7168" s="1383"/>
      <c r="R7168" s="644"/>
      <c r="S7168" s="48"/>
      <c r="T7168" s="1500"/>
      <c r="U7168" s="48"/>
      <c r="V7168" s="48"/>
    </row>
    <row r="7169" spans="7:22">
      <c r="G7169" s="48"/>
      <c r="H7169" s="48"/>
      <c r="I7169" s="1504"/>
      <c r="J7169" s="1081"/>
      <c r="K7169" s="1498"/>
      <c r="L7169" s="49"/>
      <c r="M7169" s="1498"/>
      <c r="N7169" s="49"/>
      <c r="O7169" s="644"/>
      <c r="P7169" s="644"/>
      <c r="Q7169" s="1383"/>
      <c r="R7169" s="644"/>
      <c r="S7169" s="48"/>
      <c r="T7169" s="1500"/>
      <c r="U7169" s="48"/>
      <c r="V7169" s="48"/>
    </row>
    <row r="7170" spans="7:22">
      <c r="G7170" s="48"/>
      <c r="H7170" s="48"/>
      <c r="I7170" s="1504"/>
      <c r="J7170" s="49"/>
      <c r="K7170" s="1498"/>
      <c r="L7170" s="49"/>
      <c r="M7170" s="1498"/>
      <c r="N7170" s="49"/>
      <c r="O7170" s="644"/>
      <c r="P7170" s="644"/>
      <c r="Q7170" s="1383"/>
      <c r="R7170" s="644"/>
      <c r="S7170" s="48"/>
      <c r="T7170" s="1500"/>
      <c r="U7170" s="48"/>
      <c r="V7170" s="48"/>
    </row>
    <row r="7171" spans="7:22">
      <c r="G7171" s="48"/>
      <c r="H7171" s="48"/>
      <c r="I7171" s="1504"/>
      <c r="J7171" s="49"/>
      <c r="K7171" s="1498"/>
      <c r="L7171" s="49"/>
      <c r="M7171" s="1498"/>
      <c r="N7171" s="49"/>
      <c r="O7171" s="644"/>
      <c r="P7171" s="644"/>
      <c r="Q7171" s="1383"/>
      <c r="R7171" s="644"/>
      <c r="S7171" s="48"/>
      <c r="T7171" s="1500"/>
      <c r="U7171" s="48"/>
      <c r="V7171" s="48"/>
    </row>
    <row r="7172" spans="7:22">
      <c r="G7172" s="48"/>
      <c r="H7172" s="48"/>
      <c r="I7172" s="1494"/>
      <c r="J7172" s="49"/>
      <c r="K7172" s="1498"/>
      <c r="L7172" s="49"/>
      <c r="M7172" s="1498"/>
      <c r="N7172" s="49"/>
      <c r="O7172" s="644"/>
      <c r="P7172" s="644"/>
      <c r="Q7172" s="1383"/>
      <c r="R7172" s="644"/>
      <c r="S7172" s="48"/>
      <c r="T7172" s="1500"/>
      <c r="U7172" s="48"/>
      <c r="V7172" s="48"/>
    </row>
    <row r="7173" spans="7:22">
      <c r="G7173" s="48"/>
      <c r="H7173" s="48"/>
      <c r="I7173" s="1494"/>
      <c r="J7173" s="49"/>
      <c r="K7173" s="1498"/>
      <c r="L7173" s="49"/>
      <c r="M7173" s="1498"/>
      <c r="N7173" s="49"/>
      <c r="O7173" s="644"/>
      <c r="P7173" s="644"/>
      <c r="Q7173" s="1383"/>
      <c r="R7173" s="644"/>
      <c r="S7173" s="48"/>
      <c r="T7173" s="1500"/>
      <c r="U7173" s="48"/>
      <c r="V7173" s="48"/>
    </row>
    <row r="7174" spans="7:22">
      <c r="G7174" s="48"/>
      <c r="H7174" s="48"/>
      <c r="I7174" s="48"/>
      <c r="J7174" s="49"/>
      <c r="K7174" s="1498"/>
      <c r="L7174" s="49"/>
      <c r="M7174" s="1498"/>
      <c r="N7174" s="49"/>
      <c r="O7174" s="644"/>
      <c r="P7174" s="644"/>
      <c r="Q7174" s="1383"/>
      <c r="R7174" s="644"/>
      <c r="S7174" s="48"/>
      <c r="T7174" s="1500"/>
      <c r="U7174" s="48"/>
      <c r="V7174" s="48"/>
    </row>
    <row r="7175" spans="7:22">
      <c r="G7175" s="48"/>
      <c r="H7175" s="48"/>
      <c r="I7175" s="48"/>
      <c r="J7175" s="954">
        <f>SUM(J7156:J7174)</f>
        <v>314850000</v>
      </c>
      <c r="K7175" s="954"/>
      <c r="L7175" s="954">
        <f>SUM(L7156:L7174)</f>
        <v>169100000</v>
      </c>
      <c r="M7175" s="1498"/>
      <c r="N7175" s="954">
        <f>SUM(N7156:N7174)</f>
        <v>577400000</v>
      </c>
      <c r="O7175" s="644"/>
      <c r="P7175" s="969">
        <f>SUM(P7156:P7163)</f>
        <v>5000000</v>
      </c>
      <c r="Q7175" s="969"/>
      <c r="R7175" s="969">
        <f>SUM(R7156:R7174)</f>
        <v>0</v>
      </c>
      <c r="S7175" s="48"/>
      <c r="T7175" s="1178">
        <f>SUM(T7156:T7174)</f>
        <v>41400</v>
      </c>
      <c r="U7175" s="48"/>
      <c r="V7175" s="878">
        <f>SUM(V7156:V7174)</f>
        <v>11500</v>
      </c>
    </row>
    <row r="7176" spans="7:22">
      <c r="T7176" s="1499"/>
    </row>
    <row r="7177" spans="7:22">
      <c r="T7177" s="1499"/>
    </row>
    <row r="7178" spans="7:22">
      <c r="R7178" s="661"/>
      <c r="T7178" s="1499"/>
    </row>
    <row r="7179" spans="7:22">
      <c r="T7179" s="1499"/>
    </row>
    <row r="7180" spans="7:22">
      <c r="K7180" s="3" t="s">
        <v>5310</v>
      </c>
      <c r="T7180" s="1499"/>
    </row>
    <row r="7181" spans="7:22">
      <c r="I7181" s="946"/>
      <c r="M7181" s="1533" t="s">
        <v>3699</v>
      </c>
      <c r="O7181" s="1535" t="s">
        <v>3741</v>
      </c>
      <c r="P7181" s="1512">
        <f>P7175-R7175</f>
        <v>5000000</v>
      </c>
      <c r="S7181" s="906" t="s">
        <v>4049</v>
      </c>
      <c r="T7181" s="1107">
        <f>T7175-V7175</f>
        <v>29900</v>
      </c>
    </row>
    <row r="7182" spans="7:22">
      <c r="G7182" s="1574" t="s">
        <v>3530</v>
      </c>
      <c r="H7182" s="1574"/>
      <c r="I7182" s="1574"/>
      <c r="J7182" s="3">
        <f>J7175+L7175</f>
        <v>483950000</v>
      </c>
      <c r="K7182" s="1009"/>
      <c r="L7182" s="3"/>
      <c r="M7182" s="1533" t="s">
        <v>3664</v>
      </c>
      <c r="N7182" s="1527"/>
      <c r="O7182" s="1535" t="s">
        <v>4066</v>
      </c>
      <c r="P7182" s="1512"/>
      <c r="T7182" s="1499"/>
    </row>
    <row r="7183" spans="7:22">
      <c r="G7183" s="1574" t="s">
        <v>3512</v>
      </c>
      <c r="H7183" s="1574"/>
      <c r="I7183" s="1574"/>
      <c r="J7183" s="3">
        <f>N7175-J7182</f>
        <v>93450000</v>
      </c>
      <c r="K7183" s="1009"/>
      <c r="L7183" s="3"/>
      <c r="M7183" s="1528"/>
      <c r="O7183" s="1529"/>
      <c r="Q7183" s="661"/>
      <c r="T7183" s="1499"/>
    </row>
    <row r="7184" spans="7:22">
      <c r="G7184" s="1574" t="s">
        <v>3531</v>
      </c>
      <c r="H7184" s="1574"/>
      <c r="I7184" s="1574"/>
      <c r="J7184" s="3">
        <f>+T7181</f>
        <v>29900</v>
      </c>
      <c r="Q7184" s="3"/>
      <c r="T7184" s="1499"/>
    </row>
    <row r="7185" spans="7:22">
      <c r="G7185" s="1564" t="s">
        <v>4455</v>
      </c>
      <c r="H7185" s="1564"/>
      <c r="I7185" s="1564"/>
      <c r="J7185" s="3">
        <f>+P7181</f>
        <v>5000000</v>
      </c>
      <c r="R7185" s="3"/>
      <c r="T7185" s="1499"/>
    </row>
    <row r="7186" spans="7:22">
      <c r="T7186" s="1499"/>
    </row>
    <row r="7187" spans="7:22">
      <c r="T7187" s="1499"/>
    </row>
    <row r="7189" spans="7:22">
      <c r="T7189" s="1506"/>
    </row>
    <row r="7190" spans="7:22">
      <c r="T7190" s="1506"/>
    </row>
    <row r="7191" spans="7:22">
      <c r="T7191" s="1506"/>
    </row>
    <row r="7192" spans="7:22">
      <c r="G7192" s="1008">
        <v>46168</v>
      </c>
      <c r="H7192" s="1169"/>
      <c r="I7192" s="1575" t="s">
        <v>3510</v>
      </c>
      <c r="J7192" s="1576"/>
      <c r="K7192" s="1575" t="s">
        <v>3509</v>
      </c>
      <c r="L7192" s="1576"/>
      <c r="M7192" s="1575" t="s">
        <v>3541</v>
      </c>
      <c r="N7192" s="1576"/>
      <c r="O7192" s="1577" t="s">
        <v>3598</v>
      </c>
      <c r="P7192" s="1578"/>
      <c r="Q7192" s="1579" t="s">
        <v>3599</v>
      </c>
      <c r="R7192" s="1580"/>
      <c r="S7192" s="1581" t="s">
        <v>3953</v>
      </c>
      <c r="T7192" s="1582"/>
      <c r="U7192" s="1581" t="s">
        <v>3954</v>
      </c>
      <c r="V7192" s="1582"/>
    </row>
    <row r="7193" spans="7:22">
      <c r="G7193" s="1261"/>
      <c r="H7193" s="1261"/>
      <c r="I7193" s="1516" t="s">
        <v>5844</v>
      </c>
      <c r="J7193" s="1081">
        <v>93000000</v>
      </c>
      <c r="K7193" s="1516" t="s">
        <v>5842</v>
      </c>
      <c r="L7193" s="1081">
        <v>2000000</v>
      </c>
      <c r="M7193" s="1495" t="s">
        <v>4613</v>
      </c>
      <c r="N7193" s="1495">
        <v>93500000</v>
      </c>
      <c r="O7193" s="1383"/>
      <c r="P7193" s="644"/>
      <c r="Q7193" s="1495"/>
      <c r="R7193" s="644"/>
      <c r="S7193" s="1494" t="s">
        <v>4613</v>
      </c>
      <c r="T7193" s="1191">
        <v>29900</v>
      </c>
      <c r="U7193" s="1395"/>
      <c r="V7193" s="48"/>
    </row>
    <row r="7194" spans="7:22">
      <c r="G7194" s="1494"/>
      <c r="H7194" s="1494"/>
      <c r="I7194" s="1516" t="s">
        <v>5846</v>
      </c>
      <c r="J7194" s="1081">
        <v>46500000</v>
      </c>
      <c r="K7194" s="1516" t="s">
        <v>4646</v>
      </c>
      <c r="L7194" s="1081">
        <v>550000</v>
      </c>
      <c r="M7194" s="1516" t="s">
        <v>5841</v>
      </c>
      <c r="N7194" s="1081">
        <v>31000000</v>
      </c>
      <c r="O7194" s="1383" t="s">
        <v>5262</v>
      </c>
      <c r="P7194" s="644">
        <v>5000000</v>
      </c>
      <c r="Q7194" s="1493"/>
      <c r="R7194" s="1383"/>
      <c r="S7194" s="1505"/>
      <c r="T7194" s="1191"/>
      <c r="U7194" s="48"/>
      <c r="V7194" s="49"/>
    </row>
    <row r="7195" spans="7:22">
      <c r="G7195" s="48"/>
      <c r="H7195" s="48"/>
      <c r="I7195" s="1516" t="s">
        <v>5847</v>
      </c>
      <c r="J7195" s="1081">
        <v>46500000</v>
      </c>
      <c r="K7195" s="1516" t="s">
        <v>4554</v>
      </c>
      <c r="L7195" s="1509">
        <v>2000000</v>
      </c>
      <c r="M7195" s="1516" t="s">
        <v>5843</v>
      </c>
      <c r="N7195" s="49">
        <v>198000000</v>
      </c>
      <c r="O7195" s="1516" t="s">
        <v>5845</v>
      </c>
      <c r="P7195" s="1081">
        <v>2500000</v>
      </c>
      <c r="Q7195" s="1422"/>
      <c r="R7195" s="644"/>
      <c r="S7195" s="1508"/>
      <c r="T7195" s="1191"/>
      <c r="U7195" s="1508"/>
      <c r="V7195" s="1191"/>
    </row>
    <row r="7196" spans="7:22" ht="16.2">
      <c r="G7196" s="48"/>
      <c r="H7196" s="48"/>
      <c r="I7196" s="1516" t="s">
        <v>5849</v>
      </c>
      <c r="J7196" s="1489">
        <v>36800000</v>
      </c>
      <c r="K7196" s="1516" t="s">
        <v>2558</v>
      </c>
      <c r="L7196" s="1081">
        <f>2900000+1500000</f>
        <v>4400000</v>
      </c>
      <c r="M7196" s="1516" t="s">
        <v>5845</v>
      </c>
      <c r="N7196" s="1081">
        <v>2500000</v>
      </c>
      <c r="O7196" s="1383"/>
      <c r="P7196" s="644"/>
      <c r="Q7196" s="1422"/>
      <c r="R7196" s="644"/>
      <c r="S7196" s="1510"/>
      <c r="T7196" s="1507"/>
      <c r="U7196" s="1494"/>
      <c r="V7196" s="1507"/>
    </row>
    <row r="7197" spans="7:22">
      <c r="G7197" s="48"/>
      <c r="H7197" s="48"/>
      <c r="I7197" s="1516" t="s">
        <v>5850</v>
      </c>
      <c r="J7197" s="1081">
        <v>93000000</v>
      </c>
      <c r="K7197" s="1516" t="s">
        <v>4541</v>
      </c>
      <c r="L7197" s="1081">
        <v>500000</v>
      </c>
      <c r="M7197" s="1517" t="s">
        <v>4613</v>
      </c>
      <c r="N7197" s="49">
        <v>500000000</v>
      </c>
      <c r="O7197" s="1383"/>
      <c r="P7197" s="644"/>
      <c r="Q7197" s="1422"/>
      <c r="R7197" s="644"/>
      <c r="S7197" s="1511"/>
      <c r="T7197" s="1507"/>
      <c r="U7197" s="1494"/>
      <c r="V7197" s="49"/>
    </row>
    <row r="7198" spans="7:22">
      <c r="G7198" s="48"/>
      <c r="H7198" s="48"/>
      <c r="I7198" s="1516" t="s">
        <v>5851</v>
      </c>
      <c r="J7198" s="1081">
        <v>93000000</v>
      </c>
      <c r="K7198" s="1516" t="s">
        <v>5504</v>
      </c>
      <c r="L7198" s="1081">
        <v>2800000</v>
      </c>
      <c r="M7198" s="1517"/>
      <c r="N7198" s="49"/>
      <c r="O7198" s="1383"/>
      <c r="P7198" s="644"/>
      <c r="Q7198" s="1494"/>
      <c r="R7198" s="644"/>
      <c r="S7198" s="1494"/>
      <c r="T7198" s="1507"/>
      <c r="U7198" s="1488"/>
      <c r="V7198" s="49"/>
    </row>
    <row r="7199" spans="7:22">
      <c r="G7199" s="48"/>
      <c r="H7199" s="48"/>
      <c r="I7199" s="1516" t="s">
        <v>5852</v>
      </c>
      <c r="J7199" s="1081">
        <v>21160000</v>
      </c>
      <c r="K7199" s="1516" t="s">
        <v>5848</v>
      </c>
      <c r="L7199" s="1081">
        <v>3600000</v>
      </c>
      <c r="M7199" s="1493"/>
      <c r="N7199" s="49"/>
      <c r="O7199" s="1383"/>
      <c r="P7199" s="644"/>
      <c r="Q7199" s="1383"/>
      <c r="R7199" s="644"/>
      <c r="S7199" s="1481"/>
      <c r="T7199" s="1507"/>
      <c r="U7199" s="1488"/>
      <c r="V7199" s="49"/>
    </row>
    <row r="7200" spans="7:22">
      <c r="G7200" s="48"/>
      <c r="H7200" s="48"/>
      <c r="I7200" s="1516" t="s">
        <v>5853</v>
      </c>
      <c r="J7200" s="1081">
        <v>92000000</v>
      </c>
      <c r="K7200" s="1516" t="s">
        <v>4822</v>
      </c>
      <c r="L7200" s="1081">
        <v>2000000</v>
      </c>
      <c r="M7200" s="1495"/>
      <c r="N7200" s="49"/>
      <c r="O7200" s="1383"/>
      <c r="P7200" s="644"/>
      <c r="Q7200" s="1385"/>
      <c r="R7200" s="644"/>
      <c r="S7200" s="48"/>
      <c r="T7200" s="1507"/>
      <c r="U7200" s="1488"/>
      <c r="V7200" s="49"/>
    </row>
    <row r="7201" spans="7:22">
      <c r="G7201" s="48"/>
      <c r="H7201" s="48"/>
      <c r="I7201" s="1516" t="s">
        <v>5855</v>
      </c>
      <c r="J7201" s="1081">
        <v>45000000</v>
      </c>
      <c r="K7201" s="1517" t="s">
        <v>5854</v>
      </c>
      <c r="L7201" s="1081">
        <f>4500000+3000000</f>
        <v>7500000</v>
      </c>
      <c r="M7201" s="1495"/>
      <c r="N7201" s="49"/>
      <c r="O7201" s="644"/>
      <c r="P7201" s="644"/>
      <c r="Q7201" s="1383"/>
      <c r="R7201" s="644"/>
      <c r="S7201" s="48"/>
      <c r="T7201" s="1507"/>
      <c r="U7201" s="1494"/>
      <c r="V7201" s="49"/>
    </row>
    <row r="7202" spans="7:22">
      <c r="G7202" s="48"/>
      <c r="H7202" s="48"/>
      <c r="I7202" s="1518" t="s">
        <v>5856</v>
      </c>
      <c r="J7202" s="1081">
        <v>40680000</v>
      </c>
      <c r="K7202" s="1516" t="s">
        <v>5858</v>
      </c>
      <c r="L7202" s="1081">
        <v>500000</v>
      </c>
      <c r="M7202" s="1498"/>
      <c r="N7202" s="49"/>
      <c r="O7202" s="644"/>
      <c r="P7202" s="644"/>
      <c r="Q7202" s="1383"/>
      <c r="R7202" s="644"/>
      <c r="S7202" s="48"/>
      <c r="T7202" s="1507"/>
      <c r="U7202" s="1494"/>
      <c r="V7202" s="49"/>
    </row>
    <row r="7203" spans="7:22">
      <c r="G7203" s="48"/>
      <c r="H7203" s="48"/>
      <c r="I7203" s="1518" t="s">
        <v>5857</v>
      </c>
      <c r="J7203" s="1081">
        <v>37000000</v>
      </c>
      <c r="K7203" s="1493"/>
      <c r="L7203" s="1081"/>
      <c r="M7203" s="1498"/>
      <c r="N7203" s="49"/>
      <c r="O7203" s="644"/>
      <c r="P7203" s="644"/>
      <c r="Q7203" s="1383"/>
      <c r="R7203" s="644"/>
      <c r="S7203" s="48"/>
      <c r="T7203" s="1507"/>
      <c r="U7203" s="48"/>
      <c r="V7203" s="48"/>
    </row>
    <row r="7204" spans="7:22">
      <c r="G7204" s="48"/>
      <c r="H7204" s="48"/>
      <c r="I7204" s="1503"/>
      <c r="J7204" s="1081"/>
      <c r="K7204" s="1509"/>
      <c r="L7204" s="1081"/>
      <c r="M7204" s="1498"/>
      <c r="N7204" s="49"/>
      <c r="O7204" s="644"/>
      <c r="P7204" s="644"/>
      <c r="Q7204" s="1383"/>
      <c r="R7204" s="644"/>
      <c r="S7204" s="48"/>
      <c r="T7204" s="1507"/>
      <c r="U7204" s="48"/>
      <c r="V7204" s="48"/>
    </row>
    <row r="7205" spans="7:22">
      <c r="G7205" s="48"/>
      <c r="H7205" s="48"/>
      <c r="I7205" s="1503"/>
      <c r="J7205" s="1081"/>
      <c r="K7205" s="1509"/>
      <c r="L7205" s="1081"/>
      <c r="M7205" s="1498"/>
      <c r="N7205" s="49"/>
      <c r="O7205" s="644"/>
      <c r="P7205" s="644"/>
      <c r="Q7205" s="1383"/>
      <c r="R7205" s="644"/>
      <c r="S7205" s="48"/>
      <c r="T7205" s="1507"/>
      <c r="U7205" s="48"/>
      <c r="V7205" s="48"/>
    </row>
    <row r="7206" spans="7:22">
      <c r="G7206" s="48"/>
      <c r="H7206" s="48"/>
      <c r="I7206" s="1504"/>
      <c r="J7206" s="1081"/>
      <c r="K7206" s="1498"/>
      <c r="L7206" s="49"/>
      <c r="M7206" s="1498"/>
      <c r="N7206" s="49"/>
      <c r="O7206" s="644"/>
      <c r="P7206" s="644"/>
      <c r="Q7206" s="1383"/>
      <c r="R7206" s="644"/>
      <c r="S7206" s="48"/>
      <c r="T7206" s="1507"/>
      <c r="U7206" s="48"/>
      <c r="V7206" s="48"/>
    </row>
    <row r="7207" spans="7:22">
      <c r="G7207" s="48"/>
      <c r="H7207" s="48"/>
      <c r="I7207" s="1504"/>
      <c r="J7207" s="49"/>
      <c r="K7207" s="1498"/>
      <c r="L7207" s="49"/>
      <c r="M7207" s="1498"/>
      <c r="N7207" s="49"/>
      <c r="O7207" s="644"/>
      <c r="P7207" s="644"/>
      <c r="Q7207" s="1383"/>
      <c r="R7207" s="644"/>
      <c r="S7207" s="48"/>
      <c r="T7207" s="1507"/>
      <c r="U7207" s="48"/>
      <c r="V7207" s="48"/>
    </row>
    <row r="7208" spans="7:22">
      <c r="G7208" s="48"/>
      <c r="H7208" s="48"/>
      <c r="I7208" s="1504"/>
      <c r="J7208" s="49"/>
      <c r="K7208" s="1498"/>
      <c r="L7208" s="49"/>
      <c r="M7208" s="1498"/>
      <c r="N7208" s="49"/>
      <c r="O7208" s="644"/>
      <c r="P7208" s="644"/>
      <c r="Q7208" s="1383"/>
      <c r="R7208" s="644"/>
      <c r="S7208" s="48"/>
      <c r="T7208" s="1507"/>
      <c r="U7208" s="48"/>
      <c r="V7208" s="48"/>
    </row>
    <row r="7209" spans="7:22">
      <c r="G7209" s="48"/>
      <c r="H7209" s="48"/>
      <c r="I7209" s="1494"/>
      <c r="J7209" s="49"/>
      <c r="K7209" s="1498"/>
      <c r="L7209" s="49"/>
      <c r="M7209" s="1498"/>
      <c r="N7209" s="49"/>
      <c r="O7209" s="644"/>
      <c r="P7209" s="644"/>
      <c r="Q7209" s="1383"/>
      <c r="R7209" s="644"/>
      <c r="S7209" s="48"/>
      <c r="T7209" s="1507"/>
      <c r="U7209" s="48"/>
      <c r="V7209" s="48"/>
    </row>
    <row r="7210" spans="7:22">
      <c r="G7210" s="48"/>
      <c r="H7210" s="48"/>
      <c r="I7210" s="1494"/>
      <c r="J7210" s="49"/>
      <c r="K7210" s="1498"/>
      <c r="L7210" s="49"/>
      <c r="M7210" s="1498"/>
      <c r="N7210" s="49"/>
      <c r="O7210" s="644"/>
      <c r="P7210" s="644"/>
      <c r="Q7210" s="1383"/>
      <c r="R7210" s="644"/>
      <c r="S7210" s="48"/>
      <c r="T7210" s="1507"/>
      <c r="U7210" s="48"/>
      <c r="V7210" s="48"/>
    </row>
    <row r="7211" spans="7:22">
      <c r="G7211" s="48"/>
      <c r="H7211" s="48"/>
      <c r="I7211" s="48"/>
      <c r="J7211" s="49"/>
      <c r="K7211" s="1498"/>
      <c r="L7211" s="49"/>
      <c r="M7211" s="1498"/>
      <c r="N7211" s="49"/>
      <c r="O7211" s="644"/>
      <c r="P7211" s="644"/>
      <c r="Q7211" s="1383"/>
      <c r="R7211" s="644"/>
      <c r="S7211" s="48"/>
      <c r="T7211" s="1507"/>
      <c r="U7211" s="48"/>
      <c r="V7211" s="48"/>
    </row>
    <row r="7212" spans="7:22">
      <c r="G7212" s="48"/>
      <c r="H7212" s="48"/>
      <c r="I7212" s="48"/>
      <c r="J7212" s="954">
        <f>SUM(J7193:J7211)</f>
        <v>644640000</v>
      </c>
      <c r="K7212" s="954"/>
      <c r="L7212" s="954">
        <f>SUM(L7193:L7211)</f>
        <v>25850000</v>
      </c>
      <c r="M7212" s="1498"/>
      <c r="N7212" s="954">
        <f>SUM(N7193:N7211)</f>
        <v>825000000</v>
      </c>
      <c r="O7212" s="644"/>
      <c r="P7212" s="969">
        <f>SUM(P7193:P7200)</f>
        <v>7500000</v>
      </c>
      <c r="Q7212" s="969"/>
      <c r="R7212" s="969">
        <f>SUM(R7193:R7211)</f>
        <v>0</v>
      </c>
      <c r="S7212" s="48"/>
      <c r="T7212" s="1178">
        <f>SUM(T7193:T7211)</f>
        <v>29900</v>
      </c>
      <c r="U7212" s="48"/>
      <c r="V7212" s="878">
        <f>SUM(V7193:V7211)</f>
        <v>0</v>
      </c>
    </row>
    <row r="7213" spans="7:22">
      <c r="T7213" s="1506"/>
    </row>
    <row r="7214" spans="7:22">
      <c r="T7214" s="1506"/>
    </row>
    <row r="7215" spans="7:22">
      <c r="R7215" s="661"/>
      <c r="T7215" s="1506"/>
    </row>
    <row r="7216" spans="7:22">
      <c r="T7216" s="1506"/>
    </row>
    <row r="7217" spans="7:22">
      <c r="K7217" s="3" t="s">
        <v>5310</v>
      </c>
      <c r="T7217" s="1506"/>
    </row>
    <row r="7218" spans="7:22">
      <c r="I7218" s="946"/>
      <c r="M7218" s="1533" t="s">
        <v>3699</v>
      </c>
      <c r="O7218" s="1535" t="s">
        <v>3741</v>
      </c>
      <c r="P7218" s="1512">
        <f>P7212-R7212</f>
        <v>7500000</v>
      </c>
      <c r="S7218" s="906" t="s">
        <v>4049</v>
      </c>
      <c r="T7218" s="1107">
        <f>T7212-V7212</f>
        <v>29900</v>
      </c>
    </row>
    <row r="7219" spans="7:22">
      <c r="G7219" s="1574" t="s">
        <v>3530</v>
      </c>
      <c r="H7219" s="1574"/>
      <c r="I7219" s="1574"/>
      <c r="J7219" s="3">
        <f>J7212+L7212</f>
        <v>670490000</v>
      </c>
      <c r="K7219" s="1009"/>
      <c r="L7219" s="3"/>
      <c r="M7219" s="1533" t="s">
        <v>3664</v>
      </c>
      <c r="N7219" s="1527"/>
      <c r="O7219" s="1535" t="s">
        <v>4066</v>
      </c>
      <c r="P7219" s="1512"/>
      <c r="T7219" s="1506"/>
    </row>
    <row r="7220" spans="7:22">
      <c r="G7220" s="1574" t="s">
        <v>3512</v>
      </c>
      <c r="H7220" s="1574"/>
      <c r="I7220" s="1574"/>
      <c r="J7220" s="3">
        <f>N7212-J7219</f>
        <v>154510000</v>
      </c>
      <c r="K7220" s="1009"/>
      <c r="L7220" s="3"/>
      <c r="M7220" s="1528"/>
      <c r="O7220" s="1529"/>
      <c r="Q7220" s="661"/>
      <c r="T7220" s="1506"/>
    </row>
    <row r="7221" spans="7:22">
      <c r="G7221" s="1574" t="s">
        <v>3531</v>
      </c>
      <c r="H7221" s="1574"/>
      <c r="I7221" s="1574"/>
      <c r="J7221" s="3">
        <f>+T7218</f>
        <v>29900</v>
      </c>
      <c r="Q7221" s="3"/>
      <c r="T7221" s="1506"/>
    </row>
    <row r="7222" spans="7:22">
      <c r="G7222" s="1564" t="s">
        <v>4455</v>
      </c>
      <c r="H7222" s="1564"/>
      <c r="I7222" s="1564"/>
      <c r="J7222" s="3">
        <f>+P7218</f>
        <v>7500000</v>
      </c>
      <c r="R7222" s="3"/>
      <c r="T7222" s="1506"/>
    </row>
    <row r="7223" spans="7:22">
      <c r="T7223" s="1506"/>
    </row>
    <row r="7226" spans="7:22">
      <c r="T7226" s="1514"/>
    </row>
    <row r="7227" spans="7:22">
      <c r="T7227" s="1514"/>
    </row>
    <row r="7228" spans="7:22">
      <c r="G7228" s="1008">
        <v>46174</v>
      </c>
      <c r="H7228" s="1169"/>
      <c r="I7228" s="1575" t="s">
        <v>3510</v>
      </c>
      <c r="J7228" s="1576"/>
      <c r="K7228" s="1575" t="s">
        <v>3509</v>
      </c>
      <c r="L7228" s="1576"/>
      <c r="M7228" s="1575" t="s">
        <v>3541</v>
      </c>
      <c r="N7228" s="1576"/>
      <c r="O7228" s="1577" t="s">
        <v>3598</v>
      </c>
      <c r="P7228" s="1578"/>
      <c r="Q7228" s="1579" t="s">
        <v>3599</v>
      </c>
      <c r="R7228" s="1580"/>
      <c r="S7228" s="1581" t="s">
        <v>3953</v>
      </c>
      <c r="T7228" s="1582"/>
      <c r="U7228" s="1581" t="s">
        <v>3954</v>
      </c>
      <c r="V7228" s="1582"/>
    </row>
    <row r="7229" spans="7:22">
      <c r="G7229" s="1261"/>
      <c r="H7229" s="1261"/>
      <c r="I7229" s="1522" t="s">
        <v>5864</v>
      </c>
      <c r="J7229" s="1522">
        <f>20000000*0.93</f>
        <v>18600000</v>
      </c>
      <c r="K7229" s="1522" t="s">
        <v>5297</v>
      </c>
      <c r="L7229" s="1522">
        <v>905000</v>
      </c>
      <c r="M7229" s="1495" t="s">
        <v>4613</v>
      </c>
      <c r="N7229" s="1495">
        <v>155400000</v>
      </c>
      <c r="O7229" s="1383"/>
      <c r="P7229" s="644"/>
      <c r="Q7229" s="1495"/>
      <c r="R7229" s="644"/>
      <c r="S7229" s="1494" t="s">
        <v>4613</v>
      </c>
      <c r="T7229" s="1191">
        <v>31300</v>
      </c>
      <c r="U7229" s="1395"/>
      <c r="V7229" s="48"/>
    </row>
    <row r="7230" spans="7:22">
      <c r="G7230" s="1494"/>
      <c r="H7230" s="1494"/>
      <c r="I7230" s="1522" t="s">
        <v>5120</v>
      </c>
      <c r="J7230" s="1522">
        <v>9500000</v>
      </c>
      <c r="K7230" s="1522" t="s">
        <v>5862</v>
      </c>
      <c r="L7230" s="1522">
        <v>4200000</v>
      </c>
      <c r="M7230" s="1522" t="s">
        <v>5861</v>
      </c>
      <c r="N7230" s="1081">
        <v>3980000</v>
      </c>
      <c r="O7230" s="1537" t="s">
        <v>5859</v>
      </c>
      <c r="P7230" s="644">
        <v>3102000</v>
      </c>
      <c r="Q7230" s="1493"/>
      <c r="R7230" s="1383"/>
      <c r="S7230" s="1525" t="s">
        <v>5860</v>
      </c>
      <c r="T7230" s="1191">
        <v>2000</v>
      </c>
      <c r="U7230" s="48"/>
      <c r="V7230" s="49"/>
    </row>
    <row r="7231" spans="7:22">
      <c r="G7231" s="48"/>
      <c r="H7231" s="48"/>
      <c r="I7231" s="1522"/>
      <c r="J7231" s="1522"/>
      <c r="K7231" s="1522" t="s">
        <v>5865</v>
      </c>
      <c r="L7231" s="1522">
        <v>5000000</v>
      </c>
      <c r="M7231" s="1522" t="s">
        <v>5863</v>
      </c>
      <c r="N7231" s="49">
        <v>27500000</v>
      </c>
      <c r="O7231" s="1522" t="s">
        <v>5861</v>
      </c>
      <c r="P7231" s="1081">
        <v>1020000</v>
      </c>
      <c r="Q7231" s="1422"/>
      <c r="R7231" s="644"/>
      <c r="S7231" s="1508"/>
      <c r="T7231" s="1191"/>
      <c r="U7231" s="1508"/>
      <c r="V7231" s="1191"/>
    </row>
    <row r="7232" spans="7:22" ht="16.2">
      <c r="G7232" s="48"/>
      <c r="H7232" s="48"/>
      <c r="I7232" s="1522"/>
      <c r="J7232" s="1489"/>
      <c r="K7232" s="1522" t="s">
        <v>4635</v>
      </c>
      <c r="L7232" s="1522">
        <v>15000000</v>
      </c>
      <c r="M7232" s="1522" t="s">
        <v>5611</v>
      </c>
      <c r="N7232" s="1081">
        <v>552600000</v>
      </c>
      <c r="O7232" s="1383"/>
      <c r="P7232" s="644"/>
      <c r="Q7232" s="1422"/>
      <c r="R7232" s="644"/>
      <c r="S7232" s="1510"/>
      <c r="T7232" s="1515"/>
      <c r="U7232" s="1494"/>
      <c r="V7232" s="1515"/>
    </row>
    <row r="7233" spans="7:22">
      <c r="G7233" s="48"/>
      <c r="H7233" s="48"/>
      <c r="I7233" s="1522"/>
      <c r="J7233" s="1522"/>
      <c r="K7233" s="1522" t="s">
        <v>5867</v>
      </c>
      <c r="L7233" s="1522">
        <v>20000000</v>
      </c>
      <c r="M7233" s="1526" t="s">
        <v>5866</v>
      </c>
      <c r="N7233" s="49">
        <v>116000000</v>
      </c>
      <c r="O7233" s="1383"/>
      <c r="P7233" s="644"/>
      <c r="Q7233" s="1422"/>
      <c r="R7233" s="644"/>
      <c r="S7233" s="1511"/>
      <c r="T7233" s="1515"/>
      <c r="U7233" s="1494"/>
      <c r="V7233" s="49"/>
    </row>
    <row r="7234" spans="7:22">
      <c r="G7234" s="48"/>
      <c r="H7234" s="48"/>
      <c r="I7234" s="1522"/>
      <c r="J7234" s="1522"/>
      <c r="K7234" s="1522"/>
      <c r="L7234" s="1522"/>
      <c r="M7234" s="1517"/>
      <c r="N7234" s="49"/>
      <c r="O7234" s="1383"/>
      <c r="P7234" s="644"/>
      <c r="Q7234" s="1494"/>
      <c r="R7234" s="644"/>
      <c r="S7234" s="1494"/>
      <c r="T7234" s="1515"/>
      <c r="U7234" s="1488"/>
      <c r="V7234" s="49"/>
    </row>
    <row r="7235" spans="7:22">
      <c r="G7235" s="48"/>
      <c r="H7235" s="48"/>
      <c r="I7235" s="1522"/>
      <c r="J7235" s="1522"/>
      <c r="K7235" s="1522"/>
      <c r="L7235" s="1522"/>
      <c r="M7235" s="1493"/>
      <c r="N7235" s="49"/>
      <c r="O7235" s="1383"/>
      <c r="P7235" s="644"/>
      <c r="Q7235" s="1383"/>
      <c r="R7235" s="644"/>
      <c r="S7235" s="1481"/>
      <c r="T7235" s="1515"/>
      <c r="U7235" s="1488"/>
      <c r="V7235" s="49"/>
    </row>
    <row r="7236" spans="7:22">
      <c r="G7236" s="48"/>
      <c r="H7236" s="48"/>
      <c r="I7236" s="1522"/>
      <c r="J7236" s="1522"/>
      <c r="K7236" s="1522"/>
      <c r="L7236" s="1522"/>
      <c r="M7236" s="1495"/>
      <c r="N7236" s="49"/>
      <c r="O7236" s="1383"/>
      <c r="P7236" s="644"/>
      <c r="Q7236" s="1385"/>
      <c r="R7236" s="644"/>
      <c r="S7236" s="48"/>
      <c r="T7236" s="1515"/>
      <c r="U7236" s="1488"/>
      <c r="V7236" s="49"/>
    </row>
    <row r="7237" spans="7:22">
      <c r="G7237" s="48"/>
      <c r="H7237" s="48"/>
      <c r="I7237" s="1522"/>
      <c r="J7237" s="1522"/>
      <c r="K7237" s="1526"/>
      <c r="L7237" s="1522"/>
      <c r="M7237" s="1495"/>
      <c r="N7237" s="49"/>
      <c r="O7237" s="644"/>
      <c r="P7237" s="644"/>
      <c r="Q7237" s="1383"/>
      <c r="R7237" s="644"/>
      <c r="S7237" s="48"/>
      <c r="T7237" s="1515"/>
      <c r="U7237" s="1494"/>
      <c r="V7237" s="49"/>
    </row>
    <row r="7238" spans="7:22">
      <c r="G7238" s="48"/>
      <c r="H7238" s="48"/>
      <c r="I7238" s="1524"/>
      <c r="J7238" s="1522"/>
      <c r="K7238" s="1522"/>
      <c r="L7238" s="1522"/>
      <c r="M7238" s="1498"/>
      <c r="N7238" s="49"/>
      <c r="O7238" s="644"/>
      <c r="P7238" s="644"/>
      <c r="Q7238" s="1383"/>
      <c r="R7238" s="644"/>
      <c r="S7238" s="48"/>
      <c r="T7238" s="1515"/>
      <c r="U7238" s="1494"/>
      <c r="V7238" s="49"/>
    </row>
    <row r="7239" spans="7:22">
      <c r="G7239" s="48"/>
      <c r="H7239" s="48"/>
      <c r="I7239" s="1524"/>
      <c r="J7239" s="1522"/>
      <c r="K7239" s="1522"/>
      <c r="L7239" s="1522"/>
      <c r="M7239" s="1498"/>
      <c r="N7239" s="49"/>
      <c r="O7239" s="644"/>
      <c r="P7239" s="644"/>
      <c r="Q7239" s="1383"/>
      <c r="R7239" s="644"/>
      <c r="S7239" s="48"/>
      <c r="T7239" s="1515"/>
      <c r="U7239" s="48"/>
      <c r="V7239" s="48"/>
    </row>
    <row r="7240" spans="7:22">
      <c r="G7240" s="48"/>
      <c r="H7240" s="48"/>
      <c r="I7240" s="1503"/>
      <c r="J7240" s="1081"/>
      <c r="K7240" s="1509"/>
      <c r="L7240" s="1081"/>
      <c r="M7240" s="1498"/>
      <c r="N7240" s="49"/>
      <c r="O7240" s="644"/>
      <c r="P7240" s="644"/>
      <c r="Q7240" s="1383"/>
      <c r="R7240" s="644"/>
      <c r="S7240" s="48"/>
      <c r="T7240" s="1515"/>
      <c r="U7240" s="48"/>
      <c r="V7240" s="48"/>
    </row>
    <row r="7241" spans="7:22">
      <c r="G7241" s="48"/>
      <c r="H7241" s="48"/>
      <c r="I7241" s="1503"/>
      <c r="J7241" s="1081"/>
      <c r="K7241" s="1509"/>
      <c r="L7241" s="1081"/>
      <c r="M7241" s="1498"/>
      <c r="N7241" s="49"/>
      <c r="O7241" s="644"/>
      <c r="P7241" s="644"/>
      <c r="Q7241" s="1383"/>
      <c r="R7241" s="644"/>
      <c r="S7241" s="48"/>
      <c r="T7241" s="1515"/>
      <c r="U7241" s="48"/>
      <c r="V7241" s="48"/>
    </row>
    <row r="7242" spans="7:22">
      <c r="G7242" s="48"/>
      <c r="H7242" s="48"/>
      <c r="I7242" s="1504"/>
      <c r="J7242" s="1081"/>
      <c r="K7242" s="1498"/>
      <c r="L7242" s="49"/>
      <c r="M7242" s="1498"/>
      <c r="N7242" s="49"/>
      <c r="O7242" s="644"/>
      <c r="P7242" s="644"/>
      <c r="Q7242" s="1383"/>
      <c r="R7242" s="644"/>
      <c r="S7242" s="48"/>
      <c r="T7242" s="1515"/>
      <c r="U7242" s="48"/>
      <c r="V7242" s="48"/>
    </row>
    <row r="7243" spans="7:22">
      <c r="G7243" s="48"/>
      <c r="H7243" s="48"/>
      <c r="I7243" s="1504"/>
      <c r="J7243" s="49"/>
      <c r="K7243" s="1498"/>
      <c r="L7243" s="49"/>
      <c r="M7243" s="1498"/>
      <c r="N7243" s="49"/>
      <c r="O7243" s="644"/>
      <c r="P7243" s="644"/>
      <c r="Q7243" s="1383"/>
      <c r="R7243" s="644"/>
      <c r="S7243" s="48"/>
      <c r="T7243" s="1515"/>
      <c r="U7243" s="48"/>
      <c r="V7243" s="48"/>
    </row>
    <row r="7244" spans="7:22">
      <c r="G7244" s="48"/>
      <c r="H7244" s="48"/>
      <c r="I7244" s="1504"/>
      <c r="J7244" s="49"/>
      <c r="K7244" s="1498"/>
      <c r="L7244" s="49"/>
      <c r="M7244" s="1498"/>
      <c r="N7244" s="49"/>
      <c r="O7244" s="644"/>
      <c r="P7244" s="644"/>
      <c r="Q7244" s="1383"/>
      <c r="R7244" s="644"/>
      <c r="S7244" s="48"/>
      <c r="T7244" s="1515"/>
      <c r="U7244" s="48"/>
      <c r="V7244" s="48"/>
    </row>
    <row r="7245" spans="7:22">
      <c r="G7245" s="48"/>
      <c r="H7245" s="48"/>
      <c r="I7245" s="1494"/>
      <c r="J7245" s="49"/>
      <c r="K7245" s="1498"/>
      <c r="L7245" s="49"/>
      <c r="M7245" s="1498"/>
      <c r="N7245" s="49"/>
      <c r="O7245" s="644"/>
      <c r="P7245" s="644"/>
      <c r="Q7245" s="1383"/>
      <c r="R7245" s="644"/>
      <c r="S7245" s="48"/>
      <c r="T7245" s="1515"/>
      <c r="U7245" s="48"/>
      <c r="V7245" s="48"/>
    </row>
    <row r="7246" spans="7:22">
      <c r="G7246" s="48"/>
      <c r="H7246" s="48"/>
      <c r="I7246" s="1494"/>
      <c r="J7246" s="49"/>
      <c r="K7246" s="1498"/>
      <c r="L7246" s="49"/>
      <c r="M7246" s="1498"/>
      <c r="N7246" s="49"/>
      <c r="O7246" s="644"/>
      <c r="P7246" s="644"/>
      <c r="Q7246" s="1383"/>
      <c r="R7246" s="644"/>
      <c r="S7246" s="48"/>
      <c r="T7246" s="1515"/>
      <c r="U7246" s="48"/>
      <c r="V7246" s="48"/>
    </row>
    <row r="7247" spans="7:22">
      <c r="G7247" s="48"/>
      <c r="H7247" s="48"/>
      <c r="I7247" s="48"/>
      <c r="J7247" s="49"/>
      <c r="K7247" s="1498"/>
      <c r="L7247" s="49"/>
      <c r="M7247" s="1498"/>
      <c r="N7247" s="49"/>
      <c r="O7247" s="644"/>
      <c r="P7247" s="644"/>
      <c r="Q7247" s="1383"/>
      <c r="R7247" s="644"/>
      <c r="S7247" s="48"/>
      <c r="T7247" s="1515"/>
      <c r="U7247" s="48"/>
      <c r="V7247" s="48"/>
    </row>
    <row r="7248" spans="7:22">
      <c r="G7248" s="48"/>
      <c r="H7248" s="48"/>
      <c r="I7248" s="48"/>
      <c r="J7248" s="954">
        <f>SUM(J7229:J7247)</f>
        <v>28100000</v>
      </c>
      <c r="K7248" s="954"/>
      <c r="L7248" s="954">
        <f>SUM(L7229:L7247)</f>
        <v>45105000</v>
      </c>
      <c r="M7248" s="1498"/>
      <c r="N7248" s="954">
        <f>SUM(N7229:N7247)</f>
        <v>855480000</v>
      </c>
      <c r="O7248" s="644"/>
      <c r="P7248" s="969">
        <f>SUM(P7229:P7236)</f>
        <v>4122000</v>
      </c>
      <c r="Q7248" s="969"/>
      <c r="R7248" s="969">
        <f>SUM(R7229:R7247)</f>
        <v>0</v>
      </c>
      <c r="S7248" s="48"/>
      <c r="T7248" s="1178">
        <f>SUM(T7229:T7247)</f>
        <v>33300</v>
      </c>
      <c r="U7248" s="48"/>
      <c r="V7248" s="878">
        <f>SUM(V7229:V7247)</f>
        <v>0</v>
      </c>
    </row>
    <row r="7249" spans="7:20">
      <c r="T7249" s="1514"/>
    </row>
    <row r="7250" spans="7:20">
      <c r="T7250" s="1514"/>
    </row>
    <row r="7251" spans="7:20">
      <c r="R7251" s="661"/>
      <c r="T7251" s="1514"/>
    </row>
    <row r="7252" spans="7:20">
      <c r="T7252" s="1514"/>
    </row>
    <row r="7253" spans="7:20">
      <c r="K7253" s="3" t="s">
        <v>5310</v>
      </c>
      <c r="T7253" s="1514"/>
    </row>
    <row r="7254" spans="7:20">
      <c r="I7254" s="946"/>
      <c r="M7254" s="1533" t="s">
        <v>3699</v>
      </c>
      <c r="O7254" s="1535" t="s">
        <v>3741</v>
      </c>
      <c r="P7254" s="1512">
        <f>P7248-R7248</f>
        <v>4122000</v>
      </c>
      <c r="S7254" s="906" t="s">
        <v>4049</v>
      </c>
      <c r="T7254" s="1107">
        <f>T7248-V7248</f>
        <v>33300</v>
      </c>
    </row>
    <row r="7255" spans="7:20">
      <c r="G7255" s="1574" t="s">
        <v>3530</v>
      </c>
      <c r="H7255" s="1574"/>
      <c r="I7255" s="1574"/>
      <c r="J7255" s="3">
        <f>J7248+L7248</f>
        <v>73205000</v>
      </c>
      <c r="K7255" s="1009"/>
      <c r="L7255" s="3"/>
      <c r="M7255" s="1533" t="s">
        <v>3664</v>
      </c>
      <c r="N7255" s="1527"/>
      <c r="O7255" s="1535" t="s">
        <v>4066</v>
      </c>
      <c r="P7255" s="1512"/>
      <c r="T7255" s="1514"/>
    </row>
    <row r="7256" spans="7:20">
      <c r="G7256" s="1574" t="s">
        <v>3512</v>
      </c>
      <c r="H7256" s="1574"/>
      <c r="I7256" s="1574"/>
      <c r="J7256" s="3">
        <f>N7248-J7255</f>
        <v>782275000</v>
      </c>
      <c r="K7256" s="1009"/>
      <c r="L7256" s="3"/>
      <c r="M7256" s="1528"/>
      <c r="O7256" s="1529"/>
      <c r="Q7256" s="661"/>
      <c r="T7256" s="1514"/>
    </row>
    <row r="7257" spans="7:20">
      <c r="G7257" s="1574" t="s">
        <v>3531</v>
      </c>
      <c r="H7257" s="1574"/>
      <c r="I7257" s="1574"/>
      <c r="J7257" s="3">
        <f>+T7254</f>
        <v>33300</v>
      </c>
      <c r="Q7257" s="3"/>
      <c r="T7257" s="1514"/>
    </row>
    <row r="7258" spans="7:20">
      <c r="G7258" s="1564" t="s">
        <v>4455</v>
      </c>
      <c r="H7258" s="1564"/>
      <c r="I7258" s="1564"/>
      <c r="J7258" s="3">
        <f>+P7254</f>
        <v>4122000</v>
      </c>
      <c r="R7258" s="3"/>
      <c r="T7258" s="1514"/>
    </row>
    <row r="7259" spans="7:20">
      <c r="T7259" s="1514"/>
    </row>
    <row r="7260" spans="7:20">
      <c r="T7260" s="1514"/>
    </row>
    <row r="7265" spans="7:22">
      <c r="T7265" s="1514"/>
    </row>
    <row r="7266" spans="7:22">
      <c r="T7266" s="1514"/>
    </row>
    <row r="7267" spans="7:22">
      <c r="T7267" s="1514"/>
    </row>
    <row r="7268" spans="7:22">
      <c r="G7268" s="1008">
        <v>46175</v>
      </c>
      <c r="H7268" s="1169"/>
      <c r="I7268" s="1575" t="s">
        <v>3510</v>
      </c>
      <c r="J7268" s="1576"/>
      <c r="K7268" s="1575" t="s">
        <v>3509</v>
      </c>
      <c r="L7268" s="1576"/>
      <c r="M7268" s="1575" t="s">
        <v>3541</v>
      </c>
      <c r="N7268" s="1576"/>
      <c r="O7268" s="1577" t="s">
        <v>3598</v>
      </c>
      <c r="P7268" s="1578"/>
      <c r="Q7268" s="1579" t="s">
        <v>3599</v>
      </c>
      <c r="R7268" s="1580"/>
      <c r="S7268" s="1581" t="s">
        <v>3953</v>
      </c>
      <c r="T7268" s="1582"/>
      <c r="U7268" s="1581" t="s">
        <v>3954</v>
      </c>
      <c r="V7268" s="1582"/>
    </row>
    <row r="7269" spans="7:22">
      <c r="G7269" s="1261"/>
      <c r="H7269" s="1261"/>
      <c r="I7269" s="1522" t="s">
        <v>5868</v>
      </c>
      <c r="J7269" s="1522">
        <v>16400000</v>
      </c>
      <c r="K7269" s="1522" t="s">
        <v>5391</v>
      </c>
      <c r="L7269" s="1522">
        <v>476800000</v>
      </c>
      <c r="M7269" s="1495" t="s">
        <v>4613</v>
      </c>
      <c r="N7269" s="1495">
        <v>780000000</v>
      </c>
      <c r="O7269" s="1383"/>
      <c r="P7269" s="644"/>
      <c r="Q7269" s="1495"/>
      <c r="R7269" s="644"/>
      <c r="S7269" s="1494" t="s">
        <v>4613</v>
      </c>
      <c r="T7269" s="1191">
        <v>33300</v>
      </c>
      <c r="U7269" s="1395"/>
      <c r="V7269" s="48"/>
    </row>
    <row r="7270" spans="7:22">
      <c r="G7270" s="1494"/>
      <c r="H7270" s="1494"/>
      <c r="I7270" s="1522" t="s">
        <v>5871</v>
      </c>
      <c r="J7270" s="1522">
        <v>26400000</v>
      </c>
      <c r="K7270" s="1522" t="s">
        <v>5869</v>
      </c>
      <c r="L7270" s="1522">
        <v>1000000</v>
      </c>
      <c r="M7270" s="1522" t="s">
        <v>5875</v>
      </c>
      <c r="N7270" s="1081">
        <v>623700000</v>
      </c>
      <c r="O7270" s="1537" t="s">
        <v>5859</v>
      </c>
      <c r="P7270" s="644">
        <v>9060000</v>
      </c>
      <c r="Q7270" s="1493"/>
      <c r="R7270" s="1383"/>
      <c r="S7270" s="1525"/>
      <c r="T7270" s="1191"/>
      <c r="U7270" s="48"/>
      <c r="V7270" s="49"/>
    </row>
    <row r="7271" spans="7:22">
      <c r="G7271" s="48"/>
      <c r="H7271" s="48"/>
      <c r="I7271" s="1522" t="s">
        <v>5872</v>
      </c>
      <c r="J7271" s="1522">
        <v>27000000</v>
      </c>
      <c r="K7271" s="1522" t="s">
        <v>4541</v>
      </c>
      <c r="L7271" s="1522">
        <v>550000</v>
      </c>
      <c r="M7271" s="1522" t="s">
        <v>5879</v>
      </c>
      <c r="N7271" s="49">
        <v>4400000</v>
      </c>
      <c r="O7271" s="1522"/>
      <c r="P7271" s="1081"/>
      <c r="Q7271" s="1422"/>
      <c r="R7271" s="644"/>
      <c r="S7271" s="1508"/>
      <c r="T7271" s="1191"/>
      <c r="U7271" s="1508"/>
      <c r="V7271" s="1191"/>
    </row>
    <row r="7272" spans="7:22" ht="16.2">
      <c r="G7272" s="48"/>
      <c r="H7272" s="48"/>
      <c r="I7272" s="1522" t="s">
        <v>5873</v>
      </c>
      <c r="J7272" s="1489">
        <v>37200000</v>
      </c>
      <c r="K7272" s="1522" t="s">
        <v>5870</v>
      </c>
      <c r="L7272" s="1522">
        <v>36800000</v>
      </c>
      <c r="M7272" s="1522" t="s">
        <v>5882</v>
      </c>
      <c r="N7272" s="1081">
        <v>4000000</v>
      </c>
      <c r="O7272" s="1383"/>
      <c r="P7272" s="644"/>
      <c r="Q7272" s="1422"/>
      <c r="R7272" s="644"/>
      <c r="S7272" s="1510"/>
      <c r="T7272" s="1515"/>
      <c r="U7272" s="1494"/>
      <c r="V7272" s="1515"/>
    </row>
    <row r="7273" spans="7:22">
      <c r="G7273" s="48"/>
      <c r="H7273" s="48"/>
      <c r="I7273" s="1522" t="s">
        <v>5880</v>
      </c>
      <c r="J7273" s="1522">
        <v>30360000</v>
      </c>
      <c r="K7273" s="1522" t="s">
        <v>5874</v>
      </c>
      <c r="L7273" s="1522">
        <f>1200000+600000</f>
        <v>1800000</v>
      </c>
      <c r="M7273" s="1526" t="s">
        <v>5875</v>
      </c>
      <c r="N7273" s="49">
        <v>789600000</v>
      </c>
      <c r="O7273" s="1383"/>
      <c r="P7273" s="644"/>
      <c r="Q7273" s="1422"/>
      <c r="R7273" s="644"/>
      <c r="S7273" s="1511"/>
      <c r="T7273" s="1515"/>
      <c r="U7273" s="1494"/>
      <c r="V7273" s="49"/>
    </row>
    <row r="7274" spans="7:22">
      <c r="G7274" s="48"/>
      <c r="H7274" s="48"/>
      <c r="I7274" s="1522" t="s">
        <v>5881</v>
      </c>
      <c r="J7274" s="1522">
        <f>30000000*0.92</f>
        <v>27600000</v>
      </c>
      <c r="K7274" s="1522"/>
      <c r="L7274" s="1522"/>
      <c r="M7274" s="1526" t="s">
        <v>5887</v>
      </c>
      <c r="N7274" s="49">
        <v>10000000</v>
      </c>
      <c r="O7274" s="1383"/>
      <c r="P7274" s="644"/>
      <c r="Q7274" s="1494"/>
      <c r="R7274" s="644"/>
      <c r="S7274" s="1494"/>
      <c r="T7274" s="1515"/>
      <c r="U7274" s="1488"/>
      <c r="V7274" s="49"/>
    </row>
    <row r="7275" spans="7:22">
      <c r="G7275" s="48"/>
      <c r="H7275" s="48"/>
      <c r="I7275" s="1522" t="s">
        <v>5883</v>
      </c>
      <c r="J7275" s="1522">
        <v>46500000</v>
      </c>
      <c r="K7275" s="1522" t="s">
        <v>5876</v>
      </c>
      <c r="L7275" s="1522">
        <v>4000000</v>
      </c>
      <c r="M7275" s="1493"/>
      <c r="N7275" s="49"/>
      <c r="O7275" s="1383"/>
      <c r="P7275" s="644"/>
      <c r="Q7275" s="1383"/>
      <c r="R7275" s="644"/>
      <c r="S7275" s="1481"/>
      <c r="T7275" s="1515"/>
      <c r="U7275" s="1488"/>
      <c r="V7275" s="49"/>
    </row>
    <row r="7276" spans="7:22">
      <c r="G7276" s="48"/>
      <c r="H7276" s="48"/>
      <c r="I7276" s="1522" t="s">
        <v>5884</v>
      </c>
      <c r="J7276" s="1522">
        <v>37600000</v>
      </c>
      <c r="K7276" s="1522" t="s">
        <v>5877</v>
      </c>
      <c r="L7276" s="1522">
        <v>1000000</v>
      </c>
      <c r="M7276" s="1495"/>
      <c r="N7276" s="49"/>
      <c r="O7276" s="1383"/>
      <c r="P7276" s="644"/>
      <c r="Q7276" s="1385"/>
      <c r="R7276" s="644"/>
      <c r="S7276" s="48"/>
      <c r="T7276" s="1515"/>
      <c r="U7276" s="1488"/>
      <c r="V7276" s="49"/>
    </row>
    <row r="7277" spans="7:22">
      <c r="G7277" s="48"/>
      <c r="H7277" s="48"/>
      <c r="I7277" s="1522" t="s">
        <v>5885</v>
      </c>
      <c r="J7277" s="1522">
        <v>45500000</v>
      </c>
      <c r="K7277" s="1526" t="s">
        <v>5878</v>
      </c>
      <c r="L7277" s="1522">
        <v>16000000</v>
      </c>
      <c r="M7277" s="1495"/>
      <c r="N7277" s="49"/>
      <c r="O7277" s="644"/>
      <c r="P7277" s="644"/>
      <c r="Q7277" s="1383"/>
      <c r="R7277" s="644"/>
      <c r="S7277" s="48"/>
      <c r="T7277" s="1515"/>
      <c r="U7277" s="1494"/>
      <c r="V7277" s="49"/>
    </row>
    <row r="7278" spans="7:22">
      <c r="G7278" s="48"/>
      <c r="H7278" s="48"/>
      <c r="I7278" s="1524" t="s">
        <v>5886</v>
      </c>
      <c r="J7278" s="1522">
        <f>40000000*0.92</f>
        <v>36800000</v>
      </c>
      <c r="K7278" s="1522" t="s">
        <v>4541</v>
      </c>
      <c r="L7278" s="1522">
        <v>360000</v>
      </c>
      <c r="M7278" s="1498"/>
      <c r="N7278" s="49"/>
      <c r="O7278" s="644"/>
      <c r="P7278" s="644"/>
      <c r="Q7278" s="1383"/>
      <c r="R7278" s="644"/>
      <c r="S7278" s="48"/>
      <c r="T7278" s="1515"/>
      <c r="U7278" s="1494"/>
      <c r="V7278" s="49"/>
    </row>
    <row r="7279" spans="7:22">
      <c r="G7279" s="48"/>
      <c r="H7279" s="48"/>
      <c r="I7279" s="1524" t="s">
        <v>5888</v>
      </c>
      <c r="J7279" s="1522">
        <v>46000000</v>
      </c>
      <c r="K7279" s="1522" t="s">
        <v>5889</v>
      </c>
      <c r="L7279" s="1522">
        <v>300000</v>
      </c>
      <c r="M7279" s="1498"/>
      <c r="N7279" s="49"/>
      <c r="O7279" s="644"/>
      <c r="P7279" s="644"/>
      <c r="Q7279" s="1383"/>
      <c r="R7279" s="644"/>
      <c r="S7279" s="48"/>
      <c r="T7279" s="1515"/>
      <c r="U7279" s="48"/>
      <c r="V7279" s="48"/>
    </row>
    <row r="7280" spans="7:22">
      <c r="G7280" s="48"/>
      <c r="H7280" s="48"/>
      <c r="I7280" s="1524" t="s">
        <v>5890</v>
      </c>
      <c r="J7280" s="1081">
        <v>46000000</v>
      </c>
      <c r="K7280" s="1522" t="s">
        <v>5292</v>
      </c>
      <c r="L7280" s="1081">
        <v>1000000</v>
      </c>
      <c r="M7280" s="1498"/>
      <c r="N7280" s="49"/>
      <c r="O7280" s="644"/>
      <c r="P7280" s="644"/>
      <c r="Q7280" s="1383"/>
      <c r="R7280" s="644"/>
      <c r="S7280" s="48"/>
      <c r="T7280" s="1515"/>
      <c r="U7280" s="48"/>
      <c r="V7280" s="48"/>
    </row>
    <row r="7281" spans="7:22">
      <c r="G7281" s="48"/>
      <c r="H7281" s="48"/>
      <c r="I7281" s="1524" t="s">
        <v>5891</v>
      </c>
      <c r="J7281" s="1081">
        <v>46000000</v>
      </c>
      <c r="K7281" s="1522" t="s">
        <v>5894</v>
      </c>
      <c r="L7281" s="1081">
        <v>1500000</v>
      </c>
      <c r="M7281" s="1498"/>
      <c r="N7281" s="49"/>
      <c r="O7281" s="644"/>
      <c r="P7281" s="644"/>
      <c r="Q7281" s="1383"/>
      <c r="R7281" s="644"/>
      <c r="S7281" s="48"/>
      <c r="T7281" s="1515"/>
      <c r="U7281" s="48"/>
      <c r="V7281" s="48"/>
    </row>
    <row r="7282" spans="7:22">
      <c r="G7282" s="48"/>
      <c r="H7282" s="48"/>
      <c r="I7282" s="1523" t="s">
        <v>5892</v>
      </c>
      <c r="J7282" s="1081">
        <v>36800000</v>
      </c>
      <c r="K7282" s="1498"/>
      <c r="L7282" s="49"/>
      <c r="M7282" s="1498"/>
      <c r="N7282" s="49"/>
      <c r="O7282" s="644"/>
      <c r="P7282" s="644"/>
      <c r="Q7282" s="1383"/>
      <c r="R7282" s="644"/>
      <c r="S7282" s="48"/>
      <c r="T7282" s="1515"/>
      <c r="U7282" s="48"/>
      <c r="V7282" s="48"/>
    </row>
    <row r="7283" spans="7:22">
      <c r="G7283" s="48"/>
      <c r="H7283" s="48"/>
      <c r="I7283" s="1523" t="s">
        <v>5893</v>
      </c>
      <c r="J7283" s="49">
        <v>14000000</v>
      </c>
      <c r="K7283" s="1498"/>
      <c r="L7283" s="49"/>
      <c r="M7283" s="1498"/>
      <c r="N7283" s="49"/>
      <c r="O7283" s="644"/>
      <c r="P7283" s="644"/>
      <c r="Q7283" s="1383"/>
      <c r="R7283" s="644"/>
      <c r="S7283" s="48"/>
      <c r="T7283" s="1515"/>
      <c r="U7283" s="48"/>
      <c r="V7283" s="48"/>
    </row>
    <row r="7284" spans="7:22">
      <c r="G7284" s="48"/>
      <c r="H7284" s="48"/>
      <c r="I7284" s="1504"/>
      <c r="J7284" s="49"/>
      <c r="K7284" s="1498"/>
      <c r="L7284" s="49"/>
      <c r="M7284" s="1498"/>
      <c r="N7284" s="49"/>
      <c r="O7284" s="644"/>
      <c r="P7284" s="644"/>
      <c r="Q7284" s="1383"/>
      <c r="R7284" s="644"/>
      <c r="S7284" s="48"/>
      <c r="T7284" s="1515"/>
      <c r="U7284" s="48"/>
      <c r="V7284" s="48"/>
    </row>
    <row r="7285" spans="7:22">
      <c r="G7285" s="48"/>
      <c r="H7285" s="48"/>
      <c r="I7285" s="1494"/>
      <c r="J7285" s="49"/>
      <c r="K7285" s="1498"/>
      <c r="L7285" s="49"/>
      <c r="M7285" s="1498"/>
      <c r="N7285" s="49"/>
      <c r="O7285" s="644"/>
      <c r="P7285" s="644"/>
      <c r="Q7285" s="1383"/>
      <c r="R7285" s="644"/>
      <c r="S7285" s="48"/>
      <c r="T7285" s="1515"/>
      <c r="U7285" s="48"/>
      <c r="V7285" s="48"/>
    </row>
    <row r="7286" spans="7:22">
      <c r="G7286" s="48"/>
      <c r="H7286" s="48"/>
      <c r="I7286" s="1494"/>
      <c r="J7286" s="49"/>
      <c r="K7286" s="1498"/>
      <c r="L7286" s="49"/>
      <c r="M7286" s="1498"/>
      <c r="N7286" s="49"/>
      <c r="O7286" s="644"/>
      <c r="P7286" s="644"/>
      <c r="Q7286" s="1383"/>
      <c r="R7286" s="644"/>
      <c r="S7286" s="48"/>
      <c r="T7286" s="1515"/>
      <c r="U7286" s="48"/>
      <c r="V7286" s="48"/>
    </row>
    <row r="7287" spans="7:22">
      <c r="G7287" s="48"/>
      <c r="H7287" s="48"/>
      <c r="I7287" s="48"/>
      <c r="J7287" s="49"/>
      <c r="K7287" s="1498"/>
      <c r="L7287" s="49"/>
      <c r="M7287" s="1498"/>
      <c r="N7287" s="49"/>
      <c r="O7287" s="644"/>
      <c r="P7287" s="644"/>
      <c r="Q7287" s="1383"/>
      <c r="R7287" s="644"/>
      <c r="S7287" s="48"/>
      <c r="T7287" s="1515"/>
      <c r="U7287" s="48"/>
      <c r="V7287" s="48"/>
    </row>
    <row r="7288" spans="7:22">
      <c r="G7288" s="48"/>
      <c r="H7288" s="48"/>
      <c r="I7288" s="48"/>
      <c r="J7288" s="954">
        <f>SUM(J7269:J7287)</f>
        <v>520160000</v>
      </c>
      <c r="K7288" s="954"/>
      <c r="L7288" s="954">
        <f>SUM(L7269:L7287)</f>
        <v>541110000</v>
      </c>
      <c r="M7288" s="1498"/>
      <c r="N7288" s="954">
        <f>SUM(N7269:N7287)</f>
        <v>2211700000</v>
      </c>
      <c r="O7288" s="644"/>
      <c r="P7288" s="969">
        <f>SUM(P7269:P7276)</f>
        <v>9060000</v>
      </c>
      <c r="Q7288" s="969"/>
      <c r="R7288" s="969">
        <f>SUM(R7269:R7287)</f>
        <v>0</v>
      </c>
      <c r="S7288" s="48"/>
      <c r="T7288" s="1178">
        <f>SUM(T7269:T7287)</f>
        <v>33300</v>
      </c>
      <c r="U7288" s="48"/>
      <c r="V7288" s="878">
        <f>SUM(V7269:V7287)</f>
        <v>0</v>
      </c>
    </row>
    <row r="7289" spans="7:22">
      <c r="T7289" s="1514"/>
    </row>
    <row r="7290" spans="7:22">
      <c r="T7290" s="1514"/>
    </row>
    <row r="7291" spans="7:22">
      <c r="R7291" s="661"/>
      <c r="T7291" s="1514"/>
    </row>
    <row r="7292" spans="7:22">
      <c r="T7292" s="1514"/>
    </row>
    <row r="7293" spans="7:22">
      <c r="K7293" s="3" t="s">
        <v>5310</v>
      </c>
      <c r="T7293" s="1514"/>
    </row>
    <row r="7294" spans="7:22">
      <c r="I7294" s="946"/>
      <c r="M7294" s="1533" t="s">
        <v>3699</v>
      </c>
      <c r="O7294" s="1535" t="s">
        <v>3741</v>
      </c>
      <c r="P7294" s="1512">
        <f>P7288-R7288</f>
        <v>9060000</v>
      </c>
      <c r="S7294" s="906" t="s">
        <v>4049</v>
      </c>
      <c r="T7294" s="1107">
        <f>T7288-V7288</f>
        <v>33300</v>
      </c>
    </row>
    <row r="7295" spans="7:22">
      <c r="G7295" s="1574" t="s">
        <v>3530</v>
      </c>
      <c r="H7295" s="1574"/>
      <c r="I7295" s="1574"/>
      <c r="J7295" s="3">
        <f>J7288+L7288</f>
        <v>1061270000</v>
      </c>
      <c r="K7295" s="1009"/>
      <c r="L7295" s="3"/>
      <c r="M7295" s="1533" t="s">
        <v>3664</v>
      </c>
      <c r="N7295" s="1527"/>
      <c r="O7295" s="1535" t="s">
        <v>4066</v>
      </c>
      <c r="P7295" s="1512"/>
      <c r="T7295" s="1514"/>
    </row>
    <row r="7296" spans="7:22">
      <c r="G7296" s="1574" t="s">
        <v>3512</v>
      </c>
      <c r="H7296" s="1574"/>
      <c r="I7296" s="1574"/>
      <c r="J7296" s="3">
        <f>N7288-J7295</f>
        <v>1150430000</v>
      </c>
      <c r="K7296" s="1009"/>
      <c r="L7296" s="3"/>
      <c r="M7296" s="1528"/>
      <c r="O7296" s="1529"/>
      <c r="Q7296" s="661"/>
      <c r="T7296" s="1514"/>
    </row>
    <row r="7297" spans="7:22">
      <c r="G7297" s="1574" t="s">
        <v>3531</v>
      </c>
      <c r="H7297" s="1574"/>
      <c r="I7297" s="1574"/>
      <c r="J7297" s="3">
        <f>+T7294</f>
        <v>33300</v>
      </c>
      <c r="Q7297" s="3"/>
      <c r="T7297" s="1514"/>
    </row>
    <row r="7298" spans="7:22">
      <c r="G7298" s="1564" t="s">
        <v>4455</v>
      </c>
      <c r="H7298" s="1564"/>
      <c r="I7298" s="1564"/>
      <c r="J7298" s="3">
        <f>+P7294</f>
        <v>9060000</v>
      </c>
      <c r="R7298" s="3"/>
      <c r="T7298" s="1514"/>
    </row>
    <row r="7299" spans="7:22">
      <c r="T7299" s="1514"/>
    </row>
    <row r="7300" spans="7:22">
      <c r="T7300" s="1514"/>
    </row>
    <row r="7301" spans="7:22">
      <c r="T7301" s="1514"/>
    </row>
    <row r="7302" spans="7:22">
      <c r="T7302" s="1514"/>
    </row>
    <row r="7303" spans="7:22">
      <c r="G7303" s="1008">
        <v>46176</v>
      </c>
      <c r="H7303" s="1169"/>
      <c r="I7303" s="1575" t="s">
        <v>3510</v>
      </c>
      <c r="J7303" s="1576"/>
      <c r="K7303" s="1575" t="s">
        <v>3509</v>
      </c>
      <c r="L7303" s="1576"/>
      <c r="M7303" s="1575" t="s">
        <v>3541</v>
      </c>
      <c r="N7303" s="1576"/>
      <c r="O7303" s="1577" t="s">
        <v>3598</v>
      </c>
      <c r="P7303" s="1578"/>
      <c r="Q7303" s="1579" t="s">
        <v>3599</v>
      </c>
      <c r="R7303" s="1580"/>
      <c r="S7303" s="1581" t="s">
        <v>3953</v>
      </c>
      <c r="T7303" s="1582"/>
      <c r="U7303" s="1581" t="s">
        <v>3954</v>
      </c>
      <c r="V7303" s="1582"/>
    </row>
    <row r="7304" spans="7:22">
      <c r="G7304" s="1261"/>
      <c r="H7304" s="1261"/>
      <c r="I7304" s="1522" t="s">
        <v>5895</v>
      </c>
      <c r="J7304" s="1522">
        <v>89000000</v>
      </c>
      <c r="K7304" s="1522" t="s">
        <v>4554</v>
      </c>
      <c r="L7304" s="1522">
        <v>1950000</v>
      </c>
      <c r="M7304" s="1495" t="s">
        <v>4613</v>
      </c>
      <c r="N7304" s="1495">
        <v>650350000</v>
      </c>
      <c r="O7304" s="1383"/>
      <c r="P7304" s="644"/>
      <c r="Q7304" s="1495"/>
      <c r="R7304" s="644"/>
      <c r="S7304" s="1494" t="s">
        <v>4613</v>
      </c>
      <c r="T7304" s="1191">
        <v>33300</v>
      </c>
      <c r="U7304" s="1395"/>
      <c r="V7304" s="48"/>
    </row>
    <row r="7305" spans="7:22">
      <c r="G7305" s="1494"/>
      <c r="H7305" s="1494"/>
      <c r="I7305" s="1522" t="s">
        <v>5896</v>
      </c>
      <c r="J7305" s="1522">
        <v>2200000</v>
      </c>
      <c r="K7305" s="1522" t="s">
        <v>5901</v>
      </c>
      <c r="L7305" s="1522">
        <v>1000000</v>
      </c>
      <c r="M7305" s="1522"/>
      <c r="N7305" s="1081">
        <v>2250000</v>
      </c>
      <c r="O7305" s="1537" t="s">
        <v>5859</v>
      </c>
      <c r="P7305" s="644">
        <v>9060000</v>
      </c>
      <c r="Q7305" s="1493"/>
      <c r="R7305" s="1383"/>
      <c r="S7305" s="1525"/>
      <c r="T7305" s="1191"/>
      <c r="U7305" s="48"/>
      <c r="V7305" s="49"/>
    </row>
    <row r="7306" spans="7:22">
      <c r="G7306" s="48"/>
      <c r="H7306" s="48"/>
      <c r="I7306" s="1522" t="s">
        <v>5897</v>
      </c>
      <c r="J7306" s="1522">
        <v>18600000</v>
      </c>
      <c r="K7306" s="1522" t="s">
        <v>4867</v>
      </c>
      <c r="L7306" s="1522">
        <v>1000000</v>
      </c>
      <c r="M7306" s="1522"/>
      <c r="N7306" s="49"/>
      <c r="O7306" s="1522"/>
      <c r="P7306" s="1081"/>
      <c r="Q7306" s="1422"/>
      <c r="R7306" s="644"/>
      <c r="S7306" s="1508"/>
      <c r="T7306" s="1191"/>
      <c r="U7306" s="1508"/>
      <c r="V7306" s="1191"/>
    </row>
    <row r="7307" spans="7:22" ht="16.2">
      <c r="G7307" s="48"/>
      <c r="H7307" s="48"/>
      <c r="I7307" s="1522" t="s">
        <v>5898</v>
      </c>
      <c r="J7307" s="1489">
        <v>30690000</v>
      </c>
      <c r="K7307" s="1522" t="s">
        <v>5905</v>
      </c>
      <c r="L7307" s="1522">
        <v>2000000</v>
      </c>
      <c r="M7307" s="1522"/>
      <c r="N7307" s="1081"/>
      <c r="O7307" s="1383"/>
      <c r="P7307" s="644"/>
      <c r="Q7307" s="1422"/>
      <c r="R7307" s="644"/>
      <c r="S7307" s="1510"/>
      <c r="T7307" s="1515"/>
      <c r="U7307" s="1494"/>
      <c r="V7307" s="1515"/>
    </row>
    <row r="7308" spans="7:22">
      <c r="G7308" s="48"/>
      <c r="H7308" s="48"/>
      <c r="I7308" s="1522" t="s">
        <v>5899</v>
      </c>
      <c r="J7308" s="1522">
        <v>18000000</v>
      </c>
      <c r="K7308" s="1522" t="s">
        <v>5907</v>
      </c>
      <c r="L7308" s="1522">
        <v>2000000</v>
      </c>
      <c r="M7308" s="1526"/>
      <c r="N7308" s="49"/>
      <c r="O7308" s="1383"/>
      <c r="P7308" s="644"/>
      <c r="Q7308" s="1422"/>
      <c r="R7308" s="644"/>
      <c r="S7308" s="1511"/>
      <c r="T7308" s="1515"/>
      <c r="U7308" s="1494"/>
      <c r="V7308" s="49"/>
    </row>
    <row r="7309" spans="7:22">
      <c r="G7309" s="48"/>
      <c r="H7309" s="48"/>
      <c r="I7309" s="1522" t="s">
        <v>5900</v>
      </c>
      <c r="J7309" s="1522">
        <v>42240000</v>
      </c>
      <c r="K7309" s="1522" t="s">
        <v>5909</v>
      </c>
      <c r="L7309" s="1522">
        <v>50000000</v>
      </c>
      <c r="M7309" s="1526"/>
      <c r="N7309" s="49"/>
      <c r="O7309" s="1383"/>
      <c r="P7309" s="644"/>
      <c r="Q7309" s="1494"/>
      <c r="R7309" s="644"/>
      <c r="S7309" s="1494"/>
      <c r="T7309" s="1515"/>
      <c r="U7309" s="1488"/>
      <c r="V7309" s="49"/>
    </row>
    <row r="7310" spans="7:22">
      <c r="G7310" s="48"/>
      <c r="H7310" s="48"/>
      <c r="I7310" s="1522" t="s">
        <v>5902</v>
      </c>
      <c r="J7310" s="1522">
        <f>40000000*0.92</f>
        <v>36800000</v>
      </c>
      <c r="K7310" s="1522" t="s">
        <v>5910</v>
      </c>
      <c r="L7310" s="1522">
        <v>4000000</v>
      </c>
      <c r="M7310" s="1493"/>
      <c r="N7310" s="49"/>
      <c r="O7310" s="1383"/>
      <c r="P7310" s="644"/>
      <c r="Q7310" s="1383"/>
      <c r="R7310" s="644"/>
      <c r="S7310" s="1481"/>
      <c r="T7310" s="1515"/>
      <c r="U7310" s="1488"/>
      <c r="V7310" s="49"/>
    </row>
    <row r="7311" spans="7:22">
      <c r="G7311" s="48"/>
      <c r="H7311" s="48"/>
      <c r="I7311" s="1522" t="s">
        <v>5903</v>
      </c>
      <c r="J7311" s="1522">
        <v>30690000</v>
      </c>
      <c r="K7311" s="1522"/>
      <c r="L7311" s="1522"/>
      <c r="M7311" s="1495"/>
      <c r="N7311" s="49"/>
      <c r="O7311" s="1383"/>
      <c r="P7311" s="644"/>
      <c r="Q7311" s="1385"/>
      <c r="R7311" s="644"/>
      <c r="S7311" s="48"/>
      <c r="T7311" s="1515"/>
      <c r="U7311" s="1488"/>
      <c r="V7311" s="49"/>
    </row>
    <row r="7312" spans="7:22">
      <c r="G7312" s="48"/>
      <c r="H7312" s="48"/>
      <c r="I7312" s="1522" t="s">
        <v>5906</v>
      </c>
      <c r="J7312" s="1522">
        <v>36800000</v>
      </c>
      <c r="K7312" s="1526"/>
      <c r="L7312" s="1522"/>
      <c r="M7312" s="1495"/>
      <c r="N7312" s="49"/>
      <c r="O7312" s="644"/>
      <c r="P7312" s="644"/>
      <c r="Q7312" s="1383"/>
      <c r="R7312" s="644"/>
      <c r="S7312" s="48"/>
      <c r="T7312" s="1515"/>
      <c r="U7312" s="1494"/>
      <c r="V7312" s="49"/>
    </row>
    <row r="7313" spans="7:22">
      <c r="G7313" s="48"/>
      <c r="H7313" s="48"/>
      <c r="I7313" s="1524" t="s">
        <v>5908</v>
      </c>
      <c r="J7313" s="1522">
        <v>27900000</v>
      </c>
      <c r="K7313" s="1522"/>
      <c r="L7313" s="1522"/>
      <c r="M7313" s="1498"/>
      <c r="N7313" s="49"/>
      <c r="O7313" s="644"/>
      <c r="P7313" s="644"/>
      <c r="Q7313" s="1383"/>
      <c r="R7313" s="644"/>
      <c r="S7313" s="48"/>
      <c r="T7313" s="1515"/>
      <c r="U7313" s="1494"/>
      <c r="V7313" s="49"/>
    </row>
    <row r="7314" spans="7:22">
      <c r="G7314" s="48"/>
      <c r="H7314" s="48"/>
      <c r="I7314" s="1541" t="s">
        <v>5911</v>
      </c>
      <c r="J7314" s="1522">
        <v>45000000</v>
      </c>
      <c r="K7314" s="1522"/>
      <c r="L7314" s="1522"/>
      <c r="M7314" s="1498"/>
      <c r="N7314" s="49"/>
      <c r="O7314" s="644"/>
      <c r="P7314" s="644"/>
      <c r="Q7314" s="1383"/>
      <c r="R7314" s="644"/>
      <c r="S7314" s="48"/>
      <c r="T7314" s="1515"/>
      <c r="U7314" s="48"/>
      <c r="V7314" s="48"/>
    </row>
    <row r="7315" spans="7:22">
      <c r="G7315" s="48"/>
      <c r="H7315" s="48"/>
      <c r="I7315" s="1541" t="s">
        <v>5912</v>
      </c>
      <c r="J7315" s="1081">
        <v>36800000</v>
      </c>
      <c r="K7315" s="1522"/>
      <c r="L7315" s="1081"/>
      <c r="M7315" s="1498"/>
      <c r="N7315" s="49"/>
      <c r="O7315" s="644"/>
      <c r="P7315" s="644"/>
      <c r="Q7315" s="1383"/>
      <c r="R7315" s="644"/>
      <c r="S7315" s="48"/>
      <c r="T7315" s="1515"/>
      <c r="U7315" s="48"/>
      <c r="V7315" s="48"/>
    </row>
    <row r="7316" spans="7:22">
      <c r="G7316" s="48"/>
      <c r="H7316" s="48"/>
      <c r="I7316" s="1541" t="s">
        <v>5913</v>
      </c>
      <c r="J7316" s="1081">
        <v>46000000</v>
      </c>
      <c r="K7316" s="1522"/>
      <c r="L7316" s="1081"/>
      <c r="M7316" s="1498"/>
      <c r="N7316" s="49"/>
      <c r="O7316" s="644"/>
      <c r="P7316" s="644"/>
      <c r="Q7316" s="1383"/>
      <c r="R7316" s="644"/>
      <c r="S7316" s="48"/>
      <c r="T7316" s="1515"/>
      <c r="U7316" s="48"/>
      <c r="V7316" s="48"/>
    </row>
    <row r="7317" spans="7:22">
      <c r="G7317" s="48"/>
      <c r="H7317" s="48"/>
      <c r="I7317" s="1542" t="s">
        <v>5914</v>
      </c>
      <c r="J7317" s="1081">
        <v>27600000</v>
      </c>
      <c r="K7317" s="1498"/>
      <c r="L7317" s="49"/>
      <c r="M7317" s="1498"/>
      <c r="N7317" s="49"/>
      <c r="O7317" s="644"/>
      <c r="P7317" s="644"/>
      <c r="Q7317" s="1383"/>
      <c r="R7317" s="644"/>
      <c r="S7317" s="48"/>
      <c r="T7317" s="1515"/>
      <c r="U7317" s="48"/>
      <c r="V7317" s="48"/>
    </row>
    <row r="7318" spans="7:22">
      <c r="G7318" s="48"/>
      <c r="H7318" s="48"/>
      <c r="I7318" s="1542" t="s">
        <v>5915</v>
      </c>
      <c r="J7318" s="49">
        <v>39600000</v>
      </c>
      <c r="K7318" s="1498"/>
      <c r="L7318" s="49"/>
      <c r="M7318" s="1498"/>
      <c r="N7318" s="49"/>
      <c r="O7318" s="644"/>
      <c r="P7318" s="644"/>
      <c r="Q7318" s="1383"/>
      <c r="R7318" s="644"/>
      <c r="S7318" s="48"/>
      <c r="T7318" s="1515"/>
      <c r="U7318" s="48"/>
      <c r="V7318" s="48"/>
    </row>
    <row r="7319" spans="7:22">
      <c r="G7319" s="48"/>
      <c r="H7319" s="48"/>
      <c r="I7319" s="1504"/>
      <c r="J7319" s="49"/>
      <c r="K7319" s="1498"/>
      <c r="L7319" s="49"/>
      <c r="M7319" s="1498"/>
      <c r="N7319" s="49"/>
      <c r="O7319" s="644"/>
      <c r="P7319" s="644"/>
      <c r="Q7319" s="1383"/>
      <c r="R7319" s="644"/>
      <c r="S7319" s="48"/>
      <c r="T7319" s="1515"/>
      <c r="U7319" s="48"/>
      <c r="V7319" s="48"/>
    </row>
    <row r="7320" spans="7:22">
      <c r="G7320" s="48"/>
      <c r="H7320" s="48"/>
      <c r="I7320" s="1494"/>
      <c r="J7320" s="49"/>
      <c r="K7320" s="1498"/>
      <c r="L7320" s="49"/>
      <c r="M7320" s="1498"/>
      <c r="N7320" s="49"/>
      <c r="O7320" s="644"/>
      <c r="P7320" s="644"/>
      <c r="Q7320" s="1383"/>
      <c r="R7320" s="644"/>
      <c r="S7320" s="48"/>
      <c r="T7320" s="1515"/>
      <c r="U7320" s="48"/>
      <c r="V7320" s="48"/>
    </row>
    <row r="7321" spans="7:22">
      <c r="G7321" s="48"/>
      <c r="H7321" s="48"/>
      <c r="I7321" s="1494"/>
      <c r="J7321" s="49"/>
      <c r="K7321" s="1498"/>
      <c r="L7321" s="49"/>
      <c r="M7321" s="1498"/>
      <c r="N7321" s="49"/>
      <c r="O7321" s="644"/>
      <c r="P7321" s="644"/>
      <c r="Q7321" s="1383"/>
      <c r="R7321" s="644"/>
      <c r="S7321" s="48"/>
      <c r="T7321" s="1515"/>
      <c r="U7321" s="48"/>
      <c r="V7321" s="48"/>
    </row>
    <row r="7322" spans="7:22">
      <c r="G7322" s="48"/>
      <c r="H7322" s="48"/>
      <c r="I7322" s="48"/>
      <c r="J7322" s="49"/>
      <c r="K7322" s="1498"/>
      <c r="L7322" s="49"/>
      <c r="M7322" s="1498"/>
      <c r="N7322" s="49"/>
      <c r="O7322" s="644"/>
      <c r="P7322" s="644"/>
      <c r="Q7322" s="1383"/>
      <c r="R7322" s="644"/>
      <c r="S7322" s="48"/>
      <c r="T7322" s="1515"/>
      <c r="U7322" s="48"/>
      <c r="V7322" s="48"/>
    </row>
    <row r="7323" spans="7:22">
      <c r="G7323" s="48"/>
      <c r="H7323" s="48"/>
      <c r="I7323" s="48"/>
      <c r="J7323" s="954">
        <f>SUM(J7304:J7322)</f>
        <v>527920000</v>
      </c>
      <c r="K7323" s="954"/>
      <c r="L7323" s="954">
        <f>SUM(L7304:L7322)</f>
        <v>61950000</v>
      </c>
      <c r="M7323" s="1498"/>
      <c r="N7323" s="954">
        <f>SUM(N7304:N7322)</f>
        <v>652600000</v>
      </c>
      <c r="O7323" s="644"/>
      <c r="P7323" s="969">
        <f>SUM(P7304:P7311)</f>
        <v>9060000</v>
      </c>
      <c r="Q7323" s="969"/>
      <c r="R7323" s="969">
        <f>SUM(R7304:R7322)</f>
        <v>0</v>
      </c>
      <c r="S7323" s="48"/>
      <c r="T7323" s="1178">
        <f>SUM(T7304:T7322)</f>
        <v>33300</v>
      </c>
      <c r="U7323" s="48"/>
      <c r="V7323" s="878">
        <f>SUM(V7304:V7322)</f>
        <v>0</v>
      </c>
    </row>
    <row r="7324" spans="7:22">
      <c r="T7324" s="1514"/>
    </row>
    <row r="7325" spans="7:22">
      <c r="T7325" s="1514"/>
    </row>
    <row r="7326" spans="7:22">
      <c r="R7326" s="661"/>
      <c r="T7326" s="1514"/>
    </row>
    <row r="7327" spans="7:22">
      <c r="T7327" s="1514"/>
    </row>
    <row r="7328" spans="7:22">
      <c r="K7328" s="3" t="s">
        <v>5310</v>
      </c>
      <c r="T7328" s="1514"/>
    </row>
    <row r="7329" spans="7:22">
      <c r="I7329" s="946"/>
      <c r="M7329" s="1533" t="s">
        <v>3699</v>
      </c>
      <c r="O7329" s="1535" t="s">
        <v>3741</v>
      </c>
      <c r="P7329" s="1512">
        <f>P7323-R7323</f>
        <v>9060000</v>
      </c>
      <c r="S7329" s="906" t="s">
        <v>4049</v>
      </c>
      <c r="T7329" s="1107">
        <f>T7323-V7323</f>
        <v>33300</v>
      </c>
    </row>
    <row r="7330" spans="7:22">
      <c r="G7330" s="1574" t="s">
        <v>3530</v>
      </c>
      <c r="H7330" s="1574"/>
      <c r="I7330" s="1574"/>
      <c r="J7330" s="3">
        <f>J7323+L7323</f>
        <v>589870000</v>
      </c>
      <c r="K7330" s="1009"/>
      <c r="L7330" s="3"/>
      <c r="M7330" s="1533" t="s">
        <v>3664</v>
      </c>
      <c r="N7330" s="1527"/>
      <c r="O7330" s="1535" t="s">
        <v>4066</v>
      </c>
      <c r="P7330" s="1512"/>
      <c r="T7330" s="1514"/>
    </row>
    <row r="7331" spans="7:22">
      <c r="G7331" s="1574" t="s">
        <v>3512</v>
      </c>
      <c r="H7331" s="1574"/>
      <c r="I7331" s="1574"/>
      <c r="J7331" s="3">
        <f>N7323-J7330</f>
        <v>62730000</v>
      </c>
      <c r="K7331" s="1009"/>
      <c r="L7331" s="3"/>
      <c r="M7331" s="1528"/>
      <c r="O7331" s="1529"/>
      <c r="Q7331" s="661"/>
      <c r="T7331" s="1514"/>
    </row>
    <row r="7332" spans="7:22">
      <c r="G7332" s="1574" t="s">
        <v>3531</v>
      </c>
      <c r="H7332" s="1574"/>
      <c r="I7332" s="1574"/>
      <c r="J7332" s="3">
        <f>+T7329</f>
        <v>33300</v>
      </c>
      <c r="Q7332" s="3"/>
      <c r="T7332" s="1514"/>
    </row>
    <row r="7333" spans="7:22">
      <c r="G7333" s="1564" t="s">
        <v>4455</v>
      </c>
      <c r="H7333" s="1564"/>
      <c r="I7333" s="1564"/>
      <c r="J7333" s="3">
        <f>+P7329</f>
        <v>9060000</v>
      </c>
      <c r="R7333" s="3"/>
      <c r="T7333" s="1514"/>
    </row>
    <row r="7334" spans="7:22">
      <c r="T7334" s="1514"/>
    </row>
    <row r="7336" spans="7:22">
      <c r="T7336" s="1520"/>
    </row>
    <row r="7337" spans="7:22">
      <c r="T7337" s="1520"/>
    </row>
    <row r="7338" spans="7:22">
      <c r="G7338" s="1008">
        <v>46177</v>
      </c>
      <c r="H7338" s="1169"/>
      <c r="I7338" s="1575" t="s">
        <v>3510</v>
      </c>
      <c r="J7338" s="1576"/>
      <c r="K7338" s="1575" t="s">
        <v>3509</v>
      </c>
      <c r="L7338" s="1576"/>
      <c r="M7338" s="1575" t="s">
        <v>3541</v>
      </c>
      <c r="N7338" s="1576"/>
      <c r="O7338" s="1577" t="s">
        <v>3598</v>
      </c>
      <c r="P7338" s="1578"/>
      <c r="Q7338" s="1579" t="s">
        <v>3599</v>
      </c>
      <c r="R7338" s="1580"/>
      <c r="S7338" s="1581" t="s">
        <v>3953</v>
      </c>
      <c r="T7338" s="1582"/>
      <c r="U7338" s="1581" t="s">
        <v>3954</v>
      </c>
      <c r="V7338" s="1582"/>
    </row>
    <row r="7339" spans="7:22">
      <c r="G7339" s="1261"/>
      <c r="H7339" s="1261"/>
      <c r="I7339" s="1544" t="s">
        <v>5924</v>
      </c>
      <c r="J7339" s="1522">
        <v>34800000</v>
      </c>
      <c r="K7339" s="1544" t="s">
        <v>5921</v>
      </c>
      <c r="L7339" s="1522">
        <v>500000</v>
      </c>
      <c r="M7339" s="1495" t="s">
        <v>4613</v>
      </c>
      <c r="N7339" s="1495">
        <v>62800000</v>
      </c>
      <c r="O7339" s="1383"/>
      <c r="P7339" s="644"/>
      <c r="Q7339" s="1495"/>
      <c r="R7339" s="644"/>
      <c r="S7339" s="1494" t="s">
        <v>4613</v>
      </c>
      <c r="T7339" s="1191">
        <v>32800</v>
      </c>
      <c r="U7339" s="1395"/>
      <c r="V7339" s="48"/>
    </row>
    <row r="7340" spans="7:22">
      <c r="G7340" s="1494"/>
      <c r="H7340" s="1494"/>
      <c r="I7340" s="1544" t="s">
        <v>5926</v>
      </c>
      <c r="J7340" s="1522">
        <v>45500000</v>
      </c>
      <c r="K7340" s="1544" t="s">
        <v>5922</v>
      </c>
      <c r="L7340" s="1522">
        <v>700000</v>
      </c>
      <c r="M7340" s="1544" t="s">
        <v>5917</v>
      </c>
      <c r="N7340" s="1081">
        <v>3250000</v>
      </c>
      <c r="O7340" s="1537" t="s">
        <v>5859</v>
      </c>
      <c r="P7340" s="644">
        <v>9060000</v>
      </c>
      <c r="Q7340" s="1493"/>
      <c r="R7340" s="1383"/>
      <c r="S7340" s="1543" t="s">
        <v>5916</v>
      </c>
      <c r="T7340" s="1191">
        <v>2900</v>
      </c>
      <c r="U7340" s="48"/>
      <c r="V7340" s="49"/>
    </row>
    <row r="7341" spans="7:22">
      <c r="G7341" s="48"/>
      <c r="H7341" s="48"/>
      <c r="I7341" s="1544" t="s">
        <v>5927</v>
      </c>
      <c r="J7341" s="1522">
        <v>35200000</v>
      </c>
      <c r="K7341" s="1544" t="s">
        <v>5923</v>
      </c>
      <c r="L7341" s="1522">
        <v>1000000</v>
      </c>
      <c r="M7341" s="1544" t="s">
        <v>5919</v>
      </c>
      <c r="N7341" s="49">
        <v>30000000</v>
      </c>
      <c r="O7341" s="1522"/>
      <c r="P7341" s="1081"/>
      <c r="Q7341" s="1422"/>
      <c r="R7341" s="644"/>
      <c r="S7341" s="1544" t="s">
        <v>5918</v>
      </c>
      <c r="T7341" s="1191">
        <v>600</v>
      </c>
      <c r="U7341" s="1508"/>
      <c r="V7341" s="1191"/>
    </row>
    <row r="7342" spans="7:22" ht="16.2">
      <c r="G7342" s="48"/>
      <c r="H7342" s="48"/>
      <c r="I7342" s="1544" t="s">
        <v>5928</v>
      </c>
      <c r="J7342" s="1489">
        <v>23920000</v>
      </c>
      <c r="K7342" s="1544" t="s">
        <v>5930</v>
      </c>
      <c r="L7342" s="1522">
        <v>1600000</v>
      </c>
      <c r="M7342" s="1544" t="s">
        <v>5920</v>
      </c>
      <c r="N7342" s="1081">
        <v>420000000</v>
      </c>
      <c r="O7342" s="1383"/>
      <c r="P7342" s="644"/>
      <c r="Q7342" s="1422"/>
      <c r="R7342" s="644"/>
      <c r="S7342" s="1510"/>
      <c r="T7342" s="1521"/>
      <c r="U7342" s="1494"/>
      <c r="V7342" s="1521"/>
    </row>
    <row r="7343" spans="7:22">
      <c r="G7343" s="48"/>
      <c r="H7343" s="48"/>
      <c r="I7343" s="1544" t="s">
        <v>5788</v>
      </c>
      <c r="J7343" s="1522">
        <v>32550000</v>
      </c>
      <c r="K7343" s="1522"/>
      <c r="L7343" s="1522"/>
      <c r="M7343" s="1545" t="s">
        <v>5023</v>
      </c>
      <c r="N7343" s="49">
        <v>680228000</v>
      </c>
      <c r="O7343" s="1383"/>
      <c r="P7343" s="644"/>
      <c r="Q7343" s="1422"/>
      <c r="R7343" s="644"/>
      <c r="S7343" s="1511"/>
      <c r="T7343" s="1521"/>
      <c r="U7343" s="1494"/>
      <c r="V7343" s="49"/>
    </row>
    <row r="7344" spans="7:22">
      <c r="G7344" s="48"/>
      <c r="H7344" s="48"/>
      <c r="I7344" s="1544" t="s">
        <v>5925</v>
      </c>
      <c r="J7344" s="1522">
        <v>46000000</v>
      </c>
      <c r="K7344" s="1522"/>
      <c r="L7344" s="1522"/>
      <c r="M7344" s="1526"/>
      <c r="N7344" s="49"/>
      <c r="O7344" s="1383"/>
      <c r="P7344" s="644"/>
      <c r="Q7344" s="1494"/>
      <c r="R7344" s="644"/>
      <c r="S7344" s="1494"/>
      <c r="T7344" s="1521"/>
      <c r="U7344" s="1488"/>
      <c r="V7344" s="49"/>
    </row>
    <row r="7345" spans="7:22">
      <c r="G7345" s="48"/>
      <c r="H7345" s="48"/>
      <c r="I7345" s="1544" t="s">
        <v>5929</v>
      </c>
      <c r="J7345" s="1522">
        <v>27000000</v>
      </c>
      <c r="K7345" s="1522"/>
      <c r="L7345" s="1522"/>
      <c r="M7345" s="1493"/>
      <c r="N7345" s="49"/>
      <c r="O7345" s="1383"/>
      <c r="P7345" s="644"/>
      <c r="Q7345" s="1383"/>
      <c r="R7345" s="644"/>
      <c r="S7345" s="1481"/>
      <c r="T7345" s="1521"/>
      <c r="U7345" s="1488"/>
      <c r="V7345" s="49"/>
    </row>
    <row r="7346" spans="7:22">
      <c r="G7346" s="48"/>
      <c r="H7346" s="48"/>
      <c r="I7346" s="1522"/>
      <c r="J7346" s="1522"/>
      <c r="K7346" s="1522"/>
      <c r="L7346" s="1522"/>
      <c r="M7346" s="1495"/>
      <c r="N7346" s="49"/>
      <c r="O7346" s="1383"/>
      <c r="P7346" s="644"/>
      <c r="Q7346" s="1385"/>
      <c r="R7346" s="644"/>
      <c r="S7346" s="48"/>
      <c r="T7346" s="1521"/>
      <c r="U7346" s="1488"/>
      <c r="V7346" s="49"/>
    </row>
    <row r="7347" spans="7:22">
      <c r="G7347" s="48"/>
      <c r="H7347" s="48"/>
      <c r="I7347" s="1522"/>
      <c r="J7347" s="1522"/>
      <c r="K7347" s="1526"/>
      <c r="L7347" s="1522"/>
      <c r="M7347" s="1495"/>
      <c r="N7347" s="49"/>
      <c r="O7347" s="644"/>
      <c r="P7347" s="644"/>
      <c r="Q7347" s="1383"/>
      <c r="R7347" s="644"/>
      <c r="S7347" s="48"/>
      <c r="T7347" s="1521"/>
      <c r="U7347" s="1494"/>
      <c r="V7347" s="49"/>
    </row>
    <row r="7348" spans="7:22">
      <c r="G7348" s="48"/>
      <c r="H7348" s="48"/>
      <c r="I7348" s="1524"/>
      <c r="J7348" s="1522"/>
      <c r="K7348" s="1522"/>
      <c r="L7348" s="1522"/>
      <c r="M7348" s="1498"/>
      <c r="N7348" s="49"/>
      <c r="O7348" s="644"/>
      <c r="P7348" s="644"/>
      <c r="Q7348" s="1383"/>
      <c r="R7348" s="644"/>
      <c r="S7348" s="48"/>
      <c r="T7348" s="1521"/>
      <c r="U7348" s="1494"/>
      <c r="V7348" s="49"/>
    </row>
    <row r="7349" spans="7:22">
      <c r="G7349" s="48"/>
      <c r="H7349" s="48"/>
      <c r="I7349" s="1541"/>
      <c r="J7349" s="1522"/>
      <c r="K7349" s="1522"/>
      <c r="L7349" s="1522"/>
      <c r="M7349" s="1498"/>
      <c r="N7349" s="49"/>
      <c r="O7349" s="644"/>
      <c r="P7349" s="644"/>
      <c r="Q7349" s="1383"/>
      <c r="R7349" s="644"/>
      <c r="S7349" s="48"/>
      <c r="T7349" s="1521"/>
      <c r="U7349" s="48"/>
      <c r="V7349" s="48"/>
    </row>
    <row r="7350" spans="7:22">
      <c r="G7350" s="48"/>
      <c r="H7350" s="48"/>
      <c r="I7350" s="1541"/>
      <c r="J7350" s="1081"/>
      <c r="K7350" s="1522"/>
      <c r="L7350" s="1081"/>
      <c r="M7350" s="1498"/>
      <c r="N7350" s="49"/>
      <c r="O7350" s="644"/>
      <c r="P7350" s="644"/>
      <c r="Q7350" s="1383"/>
      <c r="R7350" s="644"/>
      <c r="S7350" s="48"/>
      <c r="T7350" s="1521"/>
      <c r="U7350" s="48"/>
      <c r="V7350" s="48"/>
    </row>
    <row r="7351" spans="7:22">
      <c r="G7351" s="48"/>
      <c r="H7351" s="48"/>
      <c r="I7351" s="1541"/>
      <c r="J7351" s="1081"/>
      <c r="K7351" s="1522"/>
      <c r="L7351" s="1081"/>
      <c r="M7351" s="1498"/>
      <c r="N7351" s="49"/>
      <c r="O7351" s="644"/>
      <c r="P7351" s="644"/>
      <c r="Q7351" s="1383"/>
      <c r="R7351" s="644"/>
      <c r="S7351" s="48"/>
      <c r="T7351" s="1521"/>
      <c r="U7351" s="48"/>
      <c r="V7351" s="48"/>
    </row>
    <row r="7352" spans="7:22">
      <c r="G7352" s="48"/>
      <c r="H7352" s="48"/>
      <c r="I7352" s="1542"/>
      <c r="J7352" s="1081"/>
      <c r="K7352" s="1498"/>
      <c r="L7352" s="49"/>
      <c r="M7352" s="1498"/>
      <c r="N7352" s="49"/>
      <c r="O7352" s="644"/>
      <c r="P7352" s="644"/>
      <c r="Q7352" s="1383"/>
      <c r="R7352" s="644"/>
      <c r="S7352" s="48"/>
      <c r="T7352" s="1521"/>
      <c r="U7352" s="48"/>
      <c r="V7352" s="48"/>
    </row>
    <row r="7353" spans="7:22">
      <c r="G7353" s="48"/>
      <c r="H7353" s="48"/>
      <c r="I7353" s="1542"/>
      <c r="J7353" s="49"/>
      <c r="K7353" s="1498"/>
      <c r="L7353" s="49"/>
      <c r="M7353" s="1498"/>
      <c r="N7353" s="49"/>
      <c r="O7353" s="644"/>
      <c r="P7353" s="644"/>
      <c r="Q7353" s="1383"/>
      <c r="R7353" s="644"/>
      <c r="S7353" s="48"/>
      <c r="T7353" s="1521"/>
      <c r="U7353" s="48"/>
      <c r="V7353" s="48"/>
    </row>
    <row r="7354" spans="7:22">
      <c r="G7354" s="48"/>
      <c r="H7354" s="48"/>
      <c r="I7354" s="1504"/>
      <c r="J7354" s="49"/>
      <c r="K7354" s="1498"/>
      <c r="L7354" s="49"/>
      <c r="M7354" s="1498"/>
      <c r="N7354" s="49"/>
      <c r="O7354" s="644"/>
      <c r="P7354" s="644"/>
      <c r="Q7354" s="1383"/>
      <c r="R7354" s="644"/>
      <c r="S7354" s="48"/>
      <c r="T7354" s="1521"/>
      <c r="U7354" s="48"/>
      <c r="V7354" s="48"/>
    </row>
    <row r="7355" spans="7:22">
      <c r="G7355" s="48"/>
      <c r="H7355" s="48"/>
      <c r="I7355" s="1494"/>
      <c r="J7355" s="49"/>
      <c r="K7355" s="1498"/>
      <c r="L7355" s="49"/>
      <c r="M7355" s="1498"/>
      <c r="N7355" s="49"/>
      <c r="O7355" s="644"/>
      <c r="P7355" s="644"/>
      <c r="Q7355" s="1383"/>
      <c r="R7355" s="644"/>
      <c r="S7355" s="48"/>
      <c r="T7355" s="1521"/>
      <c r="U7355" s="48"/>
      <c r="V7355" s="48"/>
    </row>
    <row r="7356" spans="7:22">
      <c r="G7356" s="48"/>
      <c r="H7356" s="48"/>
      <c r="I7356" s="1494"/>
      <c r="J7356" s="49"/>
      <c r="K7356" s="1498"/>
      <c r="L7356" s="49"/>
      <c r="M7356" s="1498"/>
      <c r="N7356" s="49"/>
      <c r="O7356" s="644"/>
      <c r="P7356" s="644"/>
      <c r="Q7356" s="1383"/>
      <c r="R7356" s="644"/>
      <c r="S7356" s="48"/>
      <c r="T7356" s="1521"/>
      <c r="U7356" s="48"/>
      <c r="V7356" s="48"/>
    </row>
    <row r="7357" spans="7:22">
      <c r="G7357" s="48"/>
      <c r="H7357" s="48"/>
      <c r="I7357" s="48"/>
      <c r="J7357" s="49"/>
      <c r="K7357" s="1498"/>
      <c r="L7357" s="49"/>
      <c r="M7357" s="1498"/>
      <c r="N7357" s="49"/>
      <c r="O7357" s="644"/>
      <c r="P7357" s="644"/>
      <c r="Q7357" s="1383"/>
      <c r="R7357" s="644"/>
      <c r="S7357" s="48"/>
      <c r="T7357" s="1521"/>
      <c r="U7357" s="48"/>
      <c r="V7357" s="48"/>
    </row>
    <row r="7358" spans="7:22">
      <c r="G7358" s="48"/>
      <c r="H7358" s="48"/>
      <c r="I7358" s="48"/>
      <c r="J7358" s="954">
        <f>SUM(J7339:J7357)</f>
        <v>244970000</v>
      </c>
      <c r="K7358" s="954"/>
      <c r="L7358" s="954">
        <f>SUM(L7339:L7357)</f>
        <v>3800000</v>
      </c>
      <c r="M7358" s="1498"/>
      <c r="N7358" s="954">
        <f>SUM(N7339:N7357)</f>
        <v>1196278000</v>
      </c>
      <c r="O7358" s="644"/>
      <c r="P7358" s="969">
        <f>SUM(P7339:P7346)</f>
        <v>9060000</v>
      </c>
      <c r="Q7358" s="969"/>
      <c r="R7358" s="969">
        <f>SUM(R7339:R7357)</f>
        <v>0</v>
      </c>
      <c r="S7358" s="48"/>
      <c r="T7358" s="1178">
        <f>SUM(T7339:T7357)</f>
        <v>36300</v>
      </c>
      <c r="U7358" s="48"/>
      <c r="V7358" s="878">
        <f>SUM(V7339:V7357)</f>
        <v>0</v>
      </c>
    </row>
    <row r="7359" spans="7:22">
      <c r="T7359" s="1520"/>
    </row>
    <row r="7360" spans="7:22">
      <c r="T7360" s="1520"/>
    </row>
    <row r="7361" spans="7:22">
      <c r="R7361" s="661"/>
      <c r="T7361" s="1520"/>
    </row>
    <row r="7362" spans="7:22">
      <c r="T7362" s="1520"/>
    </row>
    <row r="7363" spans="7:22">
      <c r="K7363" s="3" t="s">
        <v>5310</v>
      </c>
      <c r="T7363" s="1520"/>
    </row>
    <row r="7364" spans="7:22">
      <c r="I7364" s="946"/>
      <c r="M7364" s="1533" t="s">
        <v>3699</v>
      </c>
      <c r="O7364" s="1535" t="s">
        <v>3741</v>
      </c>
      <c r="P7364" s="1519">
        <f>P7358-R7358</f>
        <v>9060000</v>
      </c>
      <c r="S7364" s="906" t="s">
        <v>4049</v>
      </c>
      <c r="T7364" s="1107">
        <f>T7358-V7358</f>
        <v>36300</v>
      </c>
    </row>
    <row r="7365" spans="7:22">
      <c r="G7365" s="1574" t="s">
        <v>3530</v>
      </c>
      <c r="H7365" s="1574"/>
      <c r="I7365" s="1574"/>
      <c r="J7365" s="3">
        <f>J7358+L7358</f>
        <v>248770000</v>
      </c>
      <c r="K7365" s="1009"/>
      <c r="L7365" s="3"/>
      <c r="M7365" s="1533" t="s">
        <v>3664</v>
      </c>
      <c r="N7365" s="1527"/>
      <c r="O7365" s="1535" t="s">
        <v>4066</v>
      </c>
      <c r="P7365" s="1519"/>
      <c r="T7365" s="1520"/>
    </row>
    <row r="7366" spans="7:22">
      <c r="G7366" s="1574" t="s">
        <v>3512</v>
      </c>
      <c r="H7366" s="1574"/>
      <c r="I7366" s="1574"/>
      <c r="J7366" s="3">
        <f>N7358-J7365</f>
        <v>947508000</v>
      </c>
      <c r="K7366" s="1009"/>
      <c r="L7366" s="3"/>
      <c r="M7366" s="1528"/>
      <c r="O7366" s="1529"/>
      <c r="Q7366" s="661"/>
      <c r="T7366" s="1520"/>
    </row>
    <row r="7367" spans="7:22">
      <c r="G7367" s="1574" t="s">
        <v>3531</v>
      </c>
      <c r="H7367" s="1574"/>
      <c r="I7367" s="1574"/>
      <c r="J7367" s="3">
        <f>+T7364</f>
        <v>36300</v>
      </c>
      <c r="Q7367" s="3"/>
      <c r="T7367" s="1520"/>
    </row>
    <row r="7368" spans="7:22">
      <c r="G7368" s="1564" t="s">
        <v>4455</v>
      </c>
      <c r="H7368" s="1564"/>
      <c r="I7368" s="1564"/>
      <c r="J7368" s="3">
        <f>+P7364</f>
        <v>9060000</v>
      </c>
      <c r="R7368" s="3"/>
      <c r="T7368" s="1520"/>
    </row>
    <row r="7369" spans="7:22">
      <c r="T7369" s="1520"/>
    </row>
    <row r="7372" spans="7:22">
      <c r="T7372" s="1520"/>
    </row>
    <row r="7373" spans="7:22">
      <c r="G7373" s="1008">
        <v>46178</v>
      </c>
      <c r="H7373" s="1169"/>
      <c r="I7373" s="1575" t="s">
        <v>3510</v>
      </c>
      <c r="J7373" s="1576"/>
      <c r="K7373" s="1575" t="s">
        <v>3509</v>
      </c>
      <c r="L7373" s="1576"/>
      <c r="M7373" s="1575" t="s">
        <v>3541</v>
      </c>
      <c r="N7373" s="1576"/>
      <c r="O7373" s="1577" t="s">
        <v>3598</v>
      </c>
      <c r="P7373" s="1578"/>
      <c r="Q7373" s="1579" t="s">
        <v>3599</v>
      </c>
      <c r="R7373" s="1580"/>
      <c r="S7373" s="1581" t="s">
        <v>3953</v>
      </c>
      <c r="T7373" s="1582"/>
      <c r="U7373" s="1581" t="s">
        <v>3954</v>
      </c>
      <c r="V7373" s="1582"/>
    </row>
    <row r="7374" spans="7:22">
      <c r="G7374" s="1261"/>
      <c r="H7374" s="1261"/>
      <c r="I7374" s="1544" t="s">
        <v>5931</v>
      </c>
      <c r="J7374" s="1522">
        <v>45000000</v>
      </c>
      <c r="K7374" s="1544" t="s">
        <v>4597</v>
      </c>
      <c r="L7374" s="1522">
        <v>311000000</v>
      </c>
      <c r="M7374" s="1495" t="s">
        <v>4613</v>
      </c>
      <c r="N7374" s="1495">
        <v>947200000</v>
      </c>
      <c r="O7374" s="1383"/>
      <c r="P7374" s="644"/>
      <c r="Q7374" s="1495"/>
      <c r="R7374" s="644"/>
      <c r="S7374" s="1494" t="s">
        <v>4613</v>
      </c>
      <c r="T7374" s="1191">
        <v>36300</v>
      </c>
      <c r="U7374" s="1395"/>
      <c r="V7374" s="48"/>
    </row>
    <row r="7375" spans="7:22">
      <c r="G7375" s="1494"/>
      <c r="H7375" s="1494"/>
      <c r="I7375" s="1544" t="s">
        <v>5932</v>
      </c>
      <c r="J7375" s="1522">
        <v>46500000</v>
      </c>
      <c r="K7375" s="1544" t="s">
        <v>4455</v>
      </c>
      <c r="L7375" s="49">
        <v>6000000</v>
      </c>
      <c r="M7375" s="1544" t="s">
        <v>4625</v>
      </c>
      <c r="N7375" s="1081">
        <v>800000</v>
      </c>
      <c r="O7375" s="1537" t="s">
        <v>5859</v>
      </c>
      <c r="P7375" s="644">
        <v>0</v>
      </c>
      <c r="Q7375" s="1493"/>
      <c r="R7375" s="1383"/>
      <c r="S7375" s="1543"/>
      <c r="T7375" s="1191"/>
      <c r="U7375" s="48"/>
      <c r="V7375" s="49"/>
    </row>
    <row r="7376" spans="7:22">
      <c r="G7376" s="48"/>
      <c r="H7376" s="48"/>
      <c r="I7376" s="1544" t="s">
        <v>5933</v>
      </c>
      <c r="J7376" s="1522">
        <f>33000000*0.93</f>
        <v>30690000</v>
      </c>
      <c r="K7376" s="1544" t="s">
        <v>5699</v>
      </c>
      <c r="L7376" s="1522">
        <v>1500000</v>
      </c>
      <c r="M7376" s="1544" t="s">
        <v>5568</v>
      </c>
      <c r="N7376" s="1081">
        <v>592900000</v>
      </c>
      <c r="O7376" s="1522"/>
      <c r="P7376" s="1081"/>
      <c r="Q7376" s="1422"/>
      <c r="R7376" s="644"/>
      <c r="S7376" s="1544"/>
      <c r="T7376" s="1191"/>
      <c r="U7376" s="1508"/>
      <c r="V7376" s="1191"/>
    </row>
    <row r="7377" spans="7:22" ht="16.2">
      <c r="G7377" s="48"/>
      <c r="H7377" s="48"/>
      <c r="I7377" s="1544" t="s">
        <v>5934</v>
      </c>
      <c r="J7377" s="1489">
        <v>46000000</v>
      </c>
      <c r="K7377" s="1544" t="s">
        <v>4619</v>
      </c>
      <c r="L7377" s="1522">
        <v>5500000</v>
      </c>
      <c r="M7377" s="1545" t="s">
        <v>5935</v>
      </c>
      <c r="N7377" s="49">
        <v>27000000</v>
      </c>
      <c r="O7377" s="1383"/>
      <c r="P7377" s="644"/>
      <c r="Q7377" s="1422"/>
      <c r="R7377" s="644"/>
      <c r="S7377" s="1510"/>
      <c r="T7377" s="1521"/>
      <c r="U7377" s="1494"/>
      <c r="V7377" s="1521"/>
    </row>
    <row r="7378" spans="7:22">
      <c r="G7378" s="48"/>
      <c r="H7378" s="48"/>
      <c r="I7378" s="1544" t="s">
        <v>5936</v>
      </c>
      <c r="J7378" s="1522">
        <v>18000000</v>
      </c>
      <c r="K7378" s="1544" t="s">
        <v>5939</v>
      </c>
      <c r="L7378" s="1522">
        <v>1800000</v>
      </c>
      <c r="M7378" s="1545"/>
      <c r="N7378" s="49"/>
      <c r="O7378" s="1383"/>
      <c r="P7378" s="644"/>
      <c r="Q7378" s="1422"/>
      <c r="R7378" s="644"/>
      <c r="S7378" s="1511"/>
      <c r="T7378" s="1521"/>
      <c r="U7378" s="1494"/>
      <c r="V7378" s="49"/>
    </row>
    <row r="7379" spans="7:22">
      <c r="G7379" s="48"/>
      <c r="H7379" s="48"/>
      <c r="I7379" s="1544" t="s">
        <v>5937</v>
      </c>
      <c r="J7379" s="1522">
        <f>35000000*0.88</f>
        <v>30800000</v>
      </c>
      <c r="K7379" s="1589" t="s">
        <v>4447</v>
      </c>
      <c r="L7379" s="1522">
        <v>4000000</v>
      </c>
      <c r="M7379" s="1526"/>
      <c r="N7379" s="49"/>
      <c r="O7379" s="1383"/>
      <c r="P7379" s="644"/>
      <c r="Q7379" s="1494"/>
      <c r="R7379" s="644"/>
      <c r="S7379" s="1494"/>
      <c r="T7379" s="1521"/>
      <c r="U7379" s="1488"/>
      <c r="V7379" s="49"/>
    </row>
    <row r="7380" spans="7:22">
      <c r="G7380" s="48"/>
      <c r="H7380" s="48"/>
      <c r="I7380" s="1544" t="s">
        <v>5938</v>
      </c>
      <c r="J7380" s="1522">
        <v>45000000</v>
      </c>
      <c r="K7380" s="1522"/>
      <c r="L7380" s="1522"/>
      <c r="M7380" s="1493"/>
      <c r="N7380" s="49"/>
      <c r="O7380" s="1383"/>
      <c r="P7380" s="644"/>
      <c r="Q7380" s="1383"/>
      <c r="R7380" s="644"/>
      <c r="S7380" s="1481"/>
      <c r="T7380" s="1521"/>
      <c r="U7380" s="1488"/>
      <c r="V7380" s="49"/>
    </row>
    <row r="7381" spans="7:22">
      <c r="G7381" s="48"/>
      <c r="H7381" s="48"/>
      <c r="I7381" s="1522"/>
      <c r="J7381" s="1522"/>
      <c r="K7381" s="1522"/>
      <c r="L7381" s="1522"/>
      <c r="M7381" s="1495"/>
      <c r="N7381" s="49"/>
      <c r="O7381" s="1383"/>
      <c r="P7381" s="644"/>
      <c r="Q7381" s="1385"/>
      <c r="R7381" s="644"/>
      <c r="S7381" s="48"/>
      <c r="T7381" s="1521"/>
      <c r="U7381" s="1488"/>
      <c r="V7381" s="49"/>
    </row>
    <row r="7382" spans="7:22">
      <c r="G7382" s="48"/>
      <c r="H7382" s="48"/>
      <c r="I7382" s="1522"/>
      <c r="J7382" s="1522"/>
      <c r="K7382" s="1526"/>
      <c r="L7382" s="1522"/>
      <c r="M7382" s="1495"/>
      <c r="N7382" s="49"/>
      <c r="O7382" s="644"/>
      <c r="P7382" s="644"/>
      <c r="Q7382" s="1383"/>
      <c r="R7382" s="644"/>
      <c r="S7382" s="48"/>
      <c r="T7382" s="1521"/>
      <c r="U7382" s="1494"/>
      <c r="V7382" s="49"/>
    </row>
    <row r="7383" spans="7:22">
      <c r="G7383" s="48"/>
      <c r="H7383" s="48"/>
      <c r="I7383" s="1524"/>
      <c r="J7383" s="1522"/>
      <c r="K7383" s="1522"/>
      <c r="L7383" s="1522"/>
      <c r="M7383" s="1498"/>
      <c r="N7383" s="49"/>
      <c r="O7383" s="644"/>
      <c r="P7383" s="644"/>
      <c r="Q7383" s="1383"/>
      <c r="R7383" s="644"/>
      <c r="S7383" s="48"/>
      <c r="T7383" s="1521"/>
      <c r="U7383" s="1494"/>
      <c r="V7383" s="49"/>
    </row>
    <row r="7384" spans="7:22">
      <c r="G7384" s="48"/>
      <c r="H7384" s="48"/>
      <c r="I7384" s="1541"/>
      <c r="J7384" s="1522"/>
      <c r="K7384" s="1522"/>
      <c r="L7384" s="1522"/>
      <c r="M7384" s="1498"/>
      <c r="N7384" s="49"/>
      <c r="O7384" s="644"/>
      <c r="P7384" s="644"/>
      <c r="Q7384" s="1383"/>
      <c r="R7384" s="644"/>
      <c r="S7384" s="48"/>
      <c r="T7384" s="1521"/>
      <c r="U7384" s="48"/>
      <c r="V7384" s="48"/>
    </row>
    <row r="7385" spans="7:22">
      <c r="G7385" s="48"/>
      <c r="H7385" s="48"/>
      <c r="I7385" s="1541"/>
      <c r="J7385" s="1081"/>
      <c r="K7385" s="1522"/>
      <c r="L7385" s="1081"/>
      <c r="M7385" s="1498"/>
      <c r="N7385" s="49"/>
      <c r="O7385" s="644"/>
      <c r="P7385" s="644"/>
      <c r="Q7385" s="1383"/>
      <c r="R7385" s="644"/>
      <c r="S7385" s="48"/>
      <c r="T7385" s="1521"/>
      <c r="U7385" s="48"/>
      <c r="V7385" s="48"/>
    </row>
    <row r="7386" spans="7:22">
      <c r="G7386" s="48"/>
      <c r="H7386" s="48"/>
      <c r="I7386" s="1541"/>
      <c r="J7386" s="1081"/>
      <c r="K7386" s="1522"/>
      <c r="L7386" s="1081"/>
      <c r="M7386" s="1498"/>
      <c r="N7386" s="49"/>
      <c r="O7386" s="644"/>
      <c r="P7386" s="644"/>
      <c r="Q7386" s="1383"/>
      <c r="R7386" s="644"/>
      <c r="S7386" s="48"/>
      <c r="T7386" s="1521"/>
      <c r="U7386" s="48"/>
      <c r="V7386" s="48"/>
    </row>
    <row r="7387" spans="7:22">
      <c r="G7387" s="48"/>
      <c r="H7387" s="48"/>
      <c r="I7387" s="1542"/>
      <c r="J7387" s="1081"/>
      <c r="K7387" s="1498"/>
      <c r="L7387" s="49"/>
      <c r="M7387" s="1498"/>
      <c r="N7387" s="49"/>
      <c r="O7387" s="644"/>
      <c r="P7387" s="644"/>
      <c r="Q7387" s="1383"/>
      <c r="R7387" s="644"/>
      <c r="S7387" s="48"/>
      <c r="T7387" s="1521"/>
      <c r="U7387" s="48"/>
      <c r="V7387" s="48"/>
    </row>
    <row r="7388" spans="7:22">
      <c r="G7388" s="48"/>
      <c r="H7388" s="48"/>
      <c r="I7388" s="1542"/>
      <c r="J7388" s="49"/>
      <c r="K7388" s="1498"/>
      <c r="L7388" s="49"/>
      <c r="M7388" s="1498"/>
      <c r="N7388" s="49"/>
      <c r="O7388" s="644"/>
      <c r="P7388" s="644"/>
      <c r="Q7388" s="1383"/>
      <c r="R7388" s="644"/>
      <c r="S7388" s="48"/>
      <c r="T7388" s="1521"/>
      <c r="U7388" s="48"/>
      <c r="V7388" s="48"/>
    </row>
    <row r="7389" spans="7:22">
      <c r="G7389" s="48"/>
      <c r="H7389" s="48"/>
      <c r="I7389" s="1504"/>
      <c r="J7389" s="49"/>
      <c r="K7389" s="1498"/>
      <c r="L7389" s="49"/>
      <c r="M7389" s="1498"/>
      <c r="N7389" s="49"/>
      <c r="O7389" s="644"/>
      <c r="P7389" s="644"/>
      <c r="Q7389" s="1383"/>
      <c r="R7389" s="644"/>
      <c r="S7389" s="48"/>
      <c r="T7389" s="1521"/>
      <c r="U7389" s="48"/>
      <c r="V7389" s="48"/>
    </row>
    <row r="7390" spans="7:22">
      <c r="G7390" s="48"/>
      <c r="H7390" s="48"/>
      <c r="I7390" s="1494"/>
      <c r="J7390" s="49"/>
      <c r="K7390" s="1498"/>
      <c r="L7390" s="49"/>
      <c r="M7390" s="1498"/>
      <c r="N7390" s="49"/>
      <c r="O7390" s="644"/>
      <c r="P7390" s="644"/>
      <c r="Q7390" s="1383"/>
      <c r="R7390" s="644"/>
      <c r="S7390" s="48"/>
      <c r="T7390" s="1521"/>
      <c r="U7390" s="48"/>
      <c r="V7390" s="48"/>
    </row>
    <row r="7391" spans="7:22">
      <c r="G7391" s="48"/>
      <c r="H7391" s="48"/>
      <c r="I7391" s="1494"/>
      <c r="J7391" s="49"/>
      <c r="K7391" s="1498"/>
      <c r="L7391" s="49"/>
      <c r="M7391" s="1498"/>
      <c r="N7391" s="49"/>
      <c r="O7391" s="644"/>
      <c r="P7391" s="644"/>
      <c r="Q7391" s="1383"/>
      <c r="R7391" s="644"/>
      <c r="S7391" s="48"/>
      <c r="T7391" s="1521"/>
      <c r="U7391" s="48"/>
      <c r="V7391" s="48"/>
    </row>
    <row r="7392" spans="7:22">
      <c r="G7392" s="48"/>
      <c r="H7392" s="48"/>
      <c r="I7392" s="48"/>
      <c r="J7392" s="49"/>
      <c r="K7392" s="1498"/>
      <c r="L7392" s="49"/>
      <c r="M7392" s="1498"/>
      <c r="N7392" s="49"/>
      <c r="O7392" s="644"/>
      <c r="P7392" s="644"/>
      <c r="Q7392" s="1383"/>
      <c r="R7392" s="644"/>
      <c r="S7392" s="48"/>
      <c r="T7392" s="1521"/>
      <c r="U7392" s="48"/>
      <c r="V7392" s="48"/>
    </row>
    <row r="7393" spans="7:22">
      <c r="G7393" s="48"/>
      <c r="H7393" s="48"/>
      <c r="I7393" s="48"/>
      <c r="J7393" s="954">
        <f>SUM(J7374:J7392)</f>
        <v>261990000</v>
      </c>
      <c r="K7393" s="954"/>
      <c r="L7393" s="954">
        <f>SUM(L7374:L7392)</f>
        <v>329800000</v>
      </c>
      <c r="M7393" s="1498"/>
      <c r="N7393" s="954">
        <f>SUM(N7374:N7392)</f>
        <v>1567900000</v>
      </c>
      <c r="O7393" s="644"/>
      <c r="P7393" s="969">
        <f>SUM(P7374:P7381)</f>
        <v>0</v>
      </c>
      <c r="Q7393" s="969"/>
      <c r="R7393" s="969">
        <f>SUM(R7374:R7392)</f>
        <v>0</v>
      </c>
      <c r="S7393" s="48"/>
      <c r="T7393" s="1178">
        <f>SUM(T7374:T7392)</f>
        <v>36300</v>
      </c>
      <c r="U7393" s="48"/>
      <c r="V7393" s="878">
        <f>SUM(V7374:V7392)</f>
        <v>0</v>
      </c>
    </row>
    <row r="7394" spans="7:22">
      <c r="T7394" s="1520"/>
    </row>
    <row r="7395" spans="7:22">
      <c r="T7395" s="1520"/>
    </row>
    <row r="7396" spans="7:22">
      <c r="R7396" s="661"/>
      <c r="T7396" s="1520"/>
    </row>
    <row r="7397" spans="7:22">
      <c r="T7397" s="1520"/>
    </row>
    <row r="7398" spans="7:22">
      <c r="K7398" s="3" t="s">
        <v>5310</v>
      </c>
      <c r="T7398" s="1520"/>
    </row>
    <row r="7399" spans="7:22">
      <c r="I7399" s="946"/>
      <c r="M7399" s="1533" t="s">
        <v>3699</v>
      </c>
      <c r="O7399" s="1535" t="s">
        <v>3741</v>
      </c>
      <c r="P7399" s="1519">
        <f>P7393-R7393</f>
        <v>0</v>
      </c>
      <c r="S7399" s="906" t="s">
        <v>4049</v>
      </c>
      <c r="T7399" s="1107">
        <f>T7393-V7393</f>
        <v>36300</v>
      </c>
    </row>
    <row r="7400" spans="7:22">
      <c r="G7400" s="1574" t="s">
        <v>3530</v>
      </c>
      <c r="H7400" s="1574"/>
      <c r="I7400" s="1574"/>
      <c r="J7400" s="3">
        <f>J7393+L7393</f>
        <v>591790000</v>
      </c>
      <c r="K7400" s="1009"/>
      <c r="L7400" s="3"/>
      <c r="M7400" s="1533" t="s">
        <v>3664</v>
      </c>
      <c r="N7400" s="1527"/>
      <c r="O7400" s="1535" t="s">
        <v>4066</v>
      </c>
      <c r="P7400" s="1519"/>
      <c r="T7400" s="1520"/>
    </row>
    <row r="7401" spans="7:22">
      <c r="G7401" s="1574" t="s">
        <v>3512</v>
      </c>
      <c r="H7401" s="1574"/>
      <c r="I7401" s="1574"/>
      <c r="J7401" s="3">
        <f>N7393-J7400</f>
        <v>976110000</v>
      </c>
      <c r="K7401" s="1009"/>
      <c r="L7401" s="3"/>
      <c r="M7401" s="1528"/>
      <c r="O7401" s="1529"/>
      <c r="Q7401" s="661"/>
      <c r="T7401" s="1520"/>
    </row>
    <row r="7402" spans="7:22">
      <c r="G7402" s="1574" t="s">
        <v>3531</v>
      </c>
      <c r="H7402" s="1574"/>
      <c r="I7402" s="1574"/>
      <c r="J7402" s="3">
        <f>+T7399</f>
        <v>36300</v>
      </c>
      <c r="Q7402" s="3"/>
      <c r="T7402" s="1520"/>
    </row>
    <row r="7403" spans="7:22">
      <c r="G7403" s="1564" t="s">
        <v>4455</v>
      </c>
      <c r="H7403" s="1564"/>
      <c r="I7403" s="1564"/>
      <c r="J7403" s="3">
        <f>+P7399</f>
        <v>0</v>
      </c>
      <c r="R7403" s="3"/>
      <c r="T7403" s="1520"/>
    </row>
    <row r="7404" spans="7:22">
      <c r="T7404" s="1520"/>
    </row>
    <row r="7407" spans="7:22">
      <c r="T7407" s="1539"/>
    </row>
    <row r="7408" spans="7:22">
      <c r="T7408" s="1539"/>
    </row>
    <row r="7409" spans="7:22">
      <c r="G7409" s="1008">
        <v>46179</v>
      </c>
      <c r="H7409" s="1169"/>
      <c r="I7409" s="1575" t="s">
        <v>3510</v>
      </c>
      <c r="J7409" s="1576"/>
      <c r="K7409" s="1575" t="s">
        <v>3509</v>
      </c>
      <c r="L7409" s="1576"/>
      <c r="M7409" s="1575" t="s">
        <v>3541</v>
      </c>
      <c r="N7409" s="1576"/>
      <c r="O7409" s="1577" t="s">
        <v>3598</v>
      </c>
      <c r="P7409" s="1578"/>
      <c r="Q7409" s="1579" t="s">
        <v>3599</v>
      </c>
      <c r="R7409" s="1580"/>
      <c r="S7409" s="1581" t="s">
        <v>3953</v>
      </c>
      <c r="T7409" s="1582"/>
      <c r="U7409" s="1581" t="s">
        <v>3954</v>
      </c>
      <c r="V7409" s="1582"/>
    </row>
    <row r="7410" spans="7:22">
      <c r="G7410" s="1261"/>
      <c r="H7410" s="1261"/>
      <c r="I7410" s="1589" t="s">
        <v>5941</v>
      </c>
      <c r="J7410" s="1522">
        <v>44000000</v>
      </c>
      <c r="K7410" s="1589" t="s">
        <v>5940</v>
      </c>
      <c r="L7410" s="1522">
        <v>2000000</v>
      </c>
      <c r="M7410" s="1495" t="s">
        <v>4613</v>
      </c>
      <c r="N7410" s="1495">
        <v>466000000</v>
      </c>
      <c r="O7410" s="1383"/>
      <c r="P7410" s="644"/>
      <c r="Q7410" s="1495"/>
      <c r="R7410" s="644"/>
      <c r="S7410" s="1494" t="s">
        <v>4613</v>
      </c>
      <c r="T7410" s="1191">
        <v>36300</v>
      </c>
      <c r="U7410" s="1395"/>
      <c r="V7410" s="48"/>
    </row>
    <row r="7411" spans="7:22">
      <c r="G7411" s="1494"/>
      <c r="H7411" s="1494"/>
      <c r="I7411" s="1589" t="s">
        <v>5120</v>
      </c>
      <c r="J7411" s="1522">
        <v>9500000</v>
      </c>
      <c r="K7411" s="1589" t="s">
        <v>4646</v>
      </c>
      <c r="L7411" s="49">
        <v>680000</v>
      </c>
      <c r="M7411" s="1589" t="s">
        <v>5943</v>
      </c>
      <c r="N7411" s="1081">
        <v>23000000</v>
      </c>
      <c r="O7411" s="1537" t="s">
        <v>5859</v>
      </c>
      <c r="P7411" s="644">
        <v>0</v>
      </c>
      <c r="Q7411" s="1493"/>
      <c r="R7411" s="1383"/>
      <c r="S7411" s="1543"/>
      <c r="T7411" s="1191"/>
      <c r="U7411" s="48"/>
      <c r="V7411" s="49"/>
    </row>
    <row r="7412" spans="7:22">
      <c r="G7412" s="48"/>
      <c r="H7412" s="48"/>
      <c r="I7412" s="1589" t="s">
        <v>5946</v>
      </c>
      <c r="J7412" s="1522">
        <v>36400000</v>
      </c>
      <c r="K7412" s="1589" t="s">
        <v>5942</v>
      </c>
      <c r="L7412" s="1522">
        <f>8000000-4000000</f>
        <v>4000000</v>
      </c>
      <c r="M7412" s="1589" t="s">
        <v>5944</v>
      </c>
      <c r="N7412" s="1081">
        <v>5000000</v>
      </c>
      <c r="O7412" s="1522"/>
      <c r="P7412" s="1081"/>
      <c r="Q7412" s="1422"/>
      <c r="R7412" s="644"/>
      <c r="S7412" s="1544"/>
      <c r="T7412" s="1191"/>
      <c r="U7412" s="1508"/>
      <c r="V7412" s="1191"/>
    </row>
    <row r="7413" spans="7:22" ht="16.2">
      <c r="G7413" s="48"/>
      <c r="H7413" s="48"/>
      <c r="I7413" s="1589" t="s">
        <v>5947</v>
      </c>
      <c r="J7413" s="1489">
        <v>18000000</v>
      </c>
      <c r="K7413" s="1589" t="s">
        <v>5945</v>
      </c>
      <c r="L7413" s="1522">
        <v>4000000</v>
      </c>
      <c r="M7413" s="1545"/>
      <c r="N7413" s="49"/>
      <c r="O7413" s="1383"/>
      <c r="P7413" s="644"/>
      <c r="Q7413" s="1422"/>
      <c r="R7413" s="644"/>
      <c r="S7413" s="1510"/>
      <c r="T7413" s="1540"/>
      <c r="U7413" s="1494"/>
      <c r="V7413" s="1540"/>
    </row>
    <row r="7414" spans="7:22">
      <c r="G7414" s="48"/>
      <c r="H7414" s="48"/>
      <c r="I7414" s="1589" t="s">
        <v>5905</v>
      </c>
      <c r="J7414" s="1522">
        <v>44000000</v>
      </c>
      <c r="K7414" s="1589" t="s">
        <v>5475</v>
      </c>
      <c r="L7414" s="1522">
        <v>3600000</v>
      </c>
      <c r="M7414" s="1545"/>
      <c r="N7414" s="49"/>
      <c r="O7414" s="1383"/>
      <c r="P7414" s="644"/>
      <c r="Q7414" s="1422"/>
      <c r="R7414" s="644"/>
      <c r="S7414" s="1511"/>
      <c r="T7414" s="1540"/>
      <c r="U7414" s="1494"/>
      <c r="V7414" s="49"/>
    </row>
    <row r="7415" spans="7:22">
      <c r="G7415" s="48"/>
      <c r="H7415" s="48"/>
      <c r="I7415" s="1544"/>
      <c r="J7415" s="1522"/>
      <c r="K7415" s="1589" t="s">
        <v>4588</v>
      </c>
      <c r="L7415" s="1522">
        <v>15000000</v>
      </c>
      <c r="M7415" s="1526"/>
      <c r="N7415" s="49"/>
      <c r="O7415" s="1383"/>
      <c r="P7415" s="644"/>
      <c r="Q7415" s="1494"/>
      <c r="R7415" s="644"/>
      <c r="S7415" s="1494"/>
      <c r="T7415" s="1540"/>
      <c r="U7415" s="1488"/>
      <c r="V7415" s="49"/>
    </row>
    <row r="7416" spans="7:22">
      <c r="G7416" s="48"/>
      <c r="H7416" s="48"/>
      <c r="I7416" s="1544"/>
      <c r="J7416" s="1522"/>
      <c r="K7416" s="1522"/>
      <c r="L7416" s="1522"/>
      <c r="M7416" s="1493"/>
      <c r="N7416" s="49"/>
      <c r="O7416" s="1383"/>
      <c r="P7416" s="644"/>
      <c r="Q7416" s="1383"/>
      <c r="R7416" s="644"/>
      <c r="S7416" s="1481"/>
      <c r="T7416" s="1540"/>
      <c r="U7416" s="1488"/>
      <c r="V7416" s="49"/>
    </row>
    <row r="7417" spans="7:22">
      <c r="G7417" s="48"/>
      <c r="H7417" s="48"/>
      <c r="I7417" s="1522"/>
      <c r="J7417" s="1522"/>
      <c r="K7417" s="1522"/>
      <c r="L7417" s="1522"/>
      <c r="M7417" s="1495"/>
      <c r="N7417" s="49"/>
      <c r="O7417" s="1383"/>
      <c r="P7417" s="644"/>
      <c r="Q7417" s="1385"/>
      <c r="R7417" s="644"/>
      <c r="S7417" s="48"/>
      <c r="T7417" s="1540"/>
      <c r="U7417" s="1488"/>
      <c r="V7417" s="49"/>
    </row>
    <row r="7418" spans="7:22">
      <c r="G7418" s="48"/>
      <c r="H7418" s="48"/>
      <c r="I7418" s="1522"/>
      <c r="J7418" s="1522"/>
      <c r="K7418" s="1526"/>
      <c r="L7418" s="1522"/>
      <c r="M7418" s="1495"/>
      <c r="N7418" s="49"/>
      <c r="O7418" s="644"/>
      <c r="P7418" s="644"/>
      <c r="Q7418" s="1383"/>
      <c r="R7418" s="644"/>
      <c r="S7418" s="48"/>
      <c r="T7418" s="1540"/>
      <c r="U7418" s="1494"/>
      <c r="V7418" s="49"/>
    </row>
    <row r="7419" spans="7:22">
      <c r="G7419" s="48"/>
      <c r="H7419" s="48"/>
      <c r="I7419" s="1524"/>
      <c r="J7419" s="1522"/>
      <c r="K7419" s="1522"/>
      <c r="L7419" s="1522"/>
      <c r="M7419" s="1498"/>
      <c r="N7419" s="49"/>
      <c r="O7419" s="644"/>
      <c r="P7419" s="644"/>
      <c r="Q7419" s="1383"/>
      <c r="R7419" s="644"/>
      <c r="S7419" s="48"/>
      <c r="T7419" s="1540"/>
      <c r="U7419" s="1494"/>
      <c r="V7419" s="49"/>
    </row>
    <row r="7420" spans="7:22">
      <c r="G7420" s="48"/>
      <c r="H7420" s="48"/>
      <c r="I7420" s="1541"/>
      <c r="J7420" s="1522"/>
      <c r="K7420" s="1522"/>
      <c r="L7420" s="1522"/>
      <c r="M7420" s="1498"/>
      <c r="N7420" s="49"/>
      <c r="O7420" s="644"/>
      <c r="P7420" s="644"/>
      <c r="Q7420" s="1383"/>
      <c r="R7420" s="644"/>
      <c r="S7420" s="48"/>
      <c r="T7420" s="1540"/>
      <c r="U7420" s="48"/>
      <c r="V7420" s="48"/>
    </row>
    <row r="7421" spans="7:22">
      <c r="G7421" s="48"/>
      <c r="H7421" s="48"/>
      <c r="I7421" s="1541"/>
      <c r="J7421" s="1081"/>
      <c r="K7421" s="1522"/>
      <c r="L7421" s="1081"/>
      <c r="M7421" s="1498"/>
      <c r="N7421" s="49"/>
      <c r="O7421" s="644"/>
      <c r="P7421" s="644"/>
      <c r="Q7421" s="1383"/>
      <c r="R7421" s="644"/>
      <c r="S7421" s="48"/>
      <c r="T7421" s="1540"/>
      <c r="U7421" s="48"/>
      <c r="V7421" s="48"/>
    </row>
    <row r="7422" spans="7:22">
      <c r="G7422" s="48"/>
      <c r="H7422" s="48"/>
      <c r="I7422" s="1541"/>
      <c r="J7422" s="1081"/>
      <c r="K7422" s="1522"/>
      <c r="L7422" s="1081"/>
      <c r="M7422" s="1498"/>
      <c r="N7422" s="49"/>
      <c r="O7422" s="644"/>
      <c r="P7422" s="644"/>
      <c r="Q7422" s="1383"/>
      <c r="R7422" s="644"/>
      <c r="S7422" s="48"/>
      <c r="T7422" s="1540"/>
      <c r="U7422" s="48"/>
      <c r="V7422" s="48"/>
    </row>
    <row r="7423" spans="7:22">
      <c r="G7423" s="48"/>
      <c r="H7423" s="48"/>
      <c r="I7423" s="1542"/>
      <c r="J7423" s="1081"/>
      <c r="K7423" s="1498"/>
      <c r="L7423" s="49"/>
      <c r="M7423" s="1498"/>
      <c r="N7423" s="49"/>
      <c r="O7423" s="644"/>
      <c r="P7423" s="644"/>
      <c r="Q7423" s="1383"/>
      <c r="R7423" s="644"/>
      <c r="S7423" s="48"/>
      <c r="T7423" s="1540"/>
      <c r="U7423" s="48"/>
      <c r="V7423" s="48"/>
    </row>
    <row r="7424" spans="7:22">
      <c r="G7424" s="48"/>
      <c r="H7424" s="48"/>
      <c r="I7424" s="1542"/>
      <c r="J7424" s="49"/>
      <c r="K7424" s="1498"/>
      <c r="L7424" s="49"/>
      <c r="M7424" s="1498"/>
      <c r="N7424" s="49"/>
      <c r="O7424" s="644"/>
      <c r="P7424" s="644"/>
      <c r="Q7424" s="1383"/>
      <c r="R7424" s="644"/>
      <c r="S7424" s="48"/>
      <c r="T7424" s="1540"/>
      <c r="U7424" s="48"/>
      <c r="V7424" s="48"/>
    </row>
    <row r="7425" spans="7:22">
      <c r="G7425" s="48"/>
      <c r="H7425" s="48"/>
      <c r="I7425" s="1504"/>
      <c r="J7425" s="49"/>
      <c r="K7425" s="1498"/>
      <c r="L7425" s="49"/>
      <c r="M7425" s="1498"/>
      <c r="N7425" s="49"/>
      <c r="O7425" s="644"/>
      <c r="P7425" s="644"/>
      <c r="Q7425" s="1383"/>
      <c r="R7425" s="644"/>
      <c r="S7425" s="48"/>
      <c r="T7425" s="1540"/>
      <c r="U7425" s="48"/>
      <c r="V7425" s="48"/>
    </row>
    <row r="7426" spans="7:22">
      <c r="G7426" s="48"/>
      <c r="H7426" s="48"/>
      <c r="I7426" s="1494"/>
      <c r="J7426" s="49"/>
      <c r="K7426" s="1498"/>
      <c r="L7426" s="49"/>
      <c r="M7426" s="1498"/>
      <c r="N7426" s="49"/>
      <c r="O7426" s="644"/>
      <c r="P7426" s="644"/>
      <c r="Q7426" s="1383"/>
      <c r="R7426" s="644"/>
      <c r="S7426" s="48"/>
      <c r="T7426" s="1540"/>
      <c r="U7426" s="48"/>
      <c r="V7426" s="48"/>
    </row>
    <row r="7427" spans="7:22">
      <c r="G7427" s="48"/>
      <c r="H7427" s="48"/>
      <c r="I7427" s="1494"/>
      <c r="J7427" s="49"/>
      <c r="K7427" s="1498"/>
      <c r="L7427" s="49"/>
      <c r="M7427" s="1498"/>
      <c r="N7427" s="49"/>
      <c r="O7427" s="644"/>
      <c r="P7427" s="644"/>
      <c r="Q7427" s="1383"/>
      <c r="R7427" s="644"/>
      <c r="S7427" s="48"/>
      <c r="T7427" s="1540"/>
      <c r="U7427" s="48"/>
      <c r="V7427" s="48"/>
    </row>
    <row r="7428" spans="7:22">
      <c r="G7428" s="48"/>
      <c r="H7428" s="48"/>
      <c r="I7428" s="48"/>
      <c r="J7428" s="49"/>
      <c r="K7428" s="1498"/>
      <c r="L7428" s="49"/>
      <c r="M7428" s="1498"/>
      <c r="N7428" s="49"/>
      <c r="O7428" s="644"/>
      <c r="P7428" s="644"/>
      <c r="Q7428" s="1383"/>
      <c r="R7428" s="644"/>
      <c r="S7428" s="48"/>
      <c r="T7428" s="1540"/>
      <c r="U7428" s="48"/>
      <c r="V7428" s="48"/>
    </row>
    <row r="7429" spans="7:22">
      <c r="G7429" s="48"/>
      <c r="H7429" s="48"/>
      <c r="I7429" s="48"/>
      <c r="J7429" s="954">
        <f>SUM(J7410:J7428)</f>
        <v>151900000</v>
      </c>
      <c r="K7429" s="954"/>
      <c r="L7429" s="954">
        <f>SUM(L7410:L7428)</f>
        <v>29280000</v>
      </c>
      <c r="M7429" s="1498"/>
      <c r="N7429" s="954">
        <f>SUM(N7410:N7428)</f>
        <v>494000000</v>
      </c>
      <c r="O7429" s="644"/>
      <c r="P7429" s="969">
        <f>SUM(P7410:P7417)</f>
        <v>0</v>
      </c>
      <c r="Q7429" s="969"/>
      <c r="R7429" s="969">
        <f>SUM(R7410:R7428)</f>
        <v>0</v>
      </c>
      <c r="S7429" s="48"/>
      <c r="T7429" s="1178">
        <f>SUM(T7410:T7428)</f>
        <v>36300</v>
      </c>
      <c r="U7429" s="48"/>
      <c r="V7429" s="878">
        <f>SUM(V7410:V7428)</f>
        <v>0</v>
      </c>
    </row>
    <row r="7430" spans="7:22">
      <c r="T7430" s="1539"/>
    </row>
    <row r="7431" spans="7:22">
      <c r="T7431" s="1539"/>
    </row>
    <row r="7432" spans="7:22">
      <c r="R7432" s="661"/>
      <c r="T7432" s="1539"/>
    </row>
    <row r="7433" spans="7:22">
      <c r="T7433" s="1539"/>
    </row>
    <row r="7434" spans="7:22">
      <c r="K7434" s="3" t="s">
        <v>5310</v>
      </c>
      <c r="T7434" s="1539"/>
    </row>
    <row r="7435" spans="7:22">
      <c r="I7435" s="946"/>
      <c r="M7435" s="1533" t="s">
        <v>3699</v>
      </c>
      <c r="O7435" s="1535" t="s">
        <v>3741</v>
      </c>
      <c r="P7435" s="1538">
        <f>P7429-R7429</f>
        <v>0</v>
      </c>
      <c r="S7435" s="906" t="s">
        <v>4049</v>
      </c>
      <c r="T7435" s="1107">
        <f>T7429-V7429</f>
        <v>36300</v>
      </c>
    </row>
    <row r="7436" spans="7:22">
      <c r="G7436" s="1574" t="s">
        <v>3530</v>
      </c>
      <c r="H7436" s="1574"/>
      <c r="I7436" s="1574"/>
      <c r="J7436" s="3">
        <f>J7429+L7429</f>
        <v>181180000</v>
      </c>
      <c r="K7436" s="1009"/>
      <c r="L7436" s="3"/>
      <c r="M7436" s="1533" t="s">
        <v>3664</v>
      </c>
      <c r="N7436" s="1527"/>
      <c r="O7436" s="1535" t="s">
        <v>4066</v>
      </c>
      <c r="P7436" s="1538"/>
      <c r="T7436" s="1539"/>
    </row>
    <row r="7437" spans="7:22">
      <c r="G7437" s="1574" t="s">
        <v>3512</v>
      </c>
      <c r="H7437" s="1574"/>
      <c r="I7437" s="1574"/>
      <c r="J7437" s="3">
        <f>N7429-J7436</f>
        <v>312820000</v>
      </c>
      <c r="K7437" s="1009"/>
      <c r="L7437" s="3"/>
      <c r="M7437" s="1528"/>
      <c r="O7437" s="1529"/>
      <c r="Q7437" s="661"/>
      <c r="T7437" s="1539"/>
    </row>
    <row r="7438" spans="7:22">
      <c r="G7438" s="1574" t="s">
        <v>3531</v>
      </c>
      <c r="H7438" s="1574"/>
      <c r="I7438" s="1574"/>
      <c r="J7438" s="3">
        <f>+T7435</f>
        <v>36300</v>
      </c>
      <c r="Q7438" s="3"/>
      <c r="T7438" s="1539"/>
    </row>
    <row r="7439" spans="7:22">
      <c r="G7439" s="1564" t="s">
        <v>4455</v>
      </c>
      <c r="H7439" s="1564"/>
      <c r="I7439" s="1564"/>
      <c r="J7439" s="3">
        <f>+P7435</f>
        <v>0</v>
      </c>
      <c r="R7439" s="3"/>
      <c r="T7439" s="1539"/>
    </row>
    <row r="7440" spans="7:22">
      <c r="T7440" s="1539"/>
    </row>
    <row r="7443" spans="7:22">
      <c r="T7443" s="1539"/>
    </row>
    <row r="7444" spans="7:22">
      <c r="G7444" s="1008">
        <v>46181</v>
      </c>
      <c r="H7444" s="1169"/>
      <c r="I7444" s="1575" t="s">
        <v>3510</v>
      </c>
      <c r="J7444" s="1576"/>
      <c r="K7444" s="1575" t="s">
        <v>3509</v>
      </c>
      <c r="L7444" s="1576"/>
      <c r="M7444" s="1575" t="s">
        <v>3541</v>
      </c>
      <c r="N7444" s="1576"/>
      <c r="O7444" s="1577" t="s">
        <v>3598</v>
      </c>
      <c r="P7444" s="1578"/>
      <c r="Q7444" s="1579" t="s">
        <v>3599</v>
      </c>
      <c r="R7444" s="1580"/>
      <c r="S7444" s="1581" t="s">
        <v>3953</v>
      </c>
      <c r="T7444" s="1582"/>
      <c r="U7444" s="1581" t="s">
        <v>3954</v>
      </c>
      <c r="V7444" s="1582"/>
    </row>
    <row r="7445" spans="7:22">
      <c r="G7445" s="1261"/>
      <c r="H7445" s="1261"/>
      <c r="I7445" s="1589" t="s">
        <v>5951</v>
      </c>
      <c r="J7445" s="1081">
        <v>30000000</v>
      </c>
      <c r="K7445" s="1589" t="s">
        <v>4532</v>
      </c>
      <c r="L7445" s="1522">
        <v>12000000</v>
      </c>
      <c r="M7445" s="1495" t="s">
        <v>4613</v>
      </c>
      <c r="N7445" s="1495">
        <v>310000000</v>
      </c>
      <c r="O7445" s="1383"/>
      <c r="P7445" s="644"/>
      <c r="Q7445" s="1495"/>
      <c r="R7445" s="644"/>
      <c r="S7445" s="1494" t="s">
        <v>4613</v>
      </c>
      <c r="T7445" s="1191">
        <v>36700</v>
      </c>
      <c r="U7445" s="1395"/>
      <c r="V7445" s="48"/>
    </row>
    <row r="7446" spans="7:22">
      <c r="G7446" s="1494"/>
      <c r="H7446" s="1494"/>
      <c r="I7446" s="1589" t="s">
        <v>5953</v>
      </c>
      <c r="J7446" s="1522">
        <v>21600000</v>
      </c>
      <c r="K7446" s="1589" t="s">
        <v>5729</v>
      </c>
      <c r="L7446" s="1081">
        <v>600000</v>
      </c>
      <c r="M7446" s="1589" t="s">
        <v>5948</v>
      </c>
      <c r="N7446" s="1081">
        <v>33000000</v>
      </c>
      <c r="O7446" s="1537" t="s">
        <v>5859</v>
      </c>
      <c r="P7446" s="644">
        <v>0</v>
      </c>
      <c r="Q7446" s="1493"/>
      <c r="R7446" s="1383"/>
      <c r="S7446" s="1543"/>
      <c r="T7446" s="1191">
        <v>1000</v>
      </c>
      <c r="U7446" s="48"/>
      <c r="V7446" s="49"/>
    </row>
    <row r="7447" spans="7:22">
      <c r="G7447" s="48"/>
      <c r="H7447" s="48"/>
      <c r="I7447" s="1589" t="s">
        <v>5954</v>
      </c>
      <c r="J7447" s="1522">
        <v>34040000</v>
      </c>
      <c r="K7447" s="1589"/>
      <c r="L7447" s="1522"/>
      <c r="M7447" s="1589" t="s">
        <v>5950</v>
      </c>
      <c r="N7447" s="1081">
        <v>500000</v>
      </c>
      <c r="O7447" s="1522"/>
      <c r="P7447" s="1081"/>
      <c r="Q7447" s="1422"/>
      <c r="R7447" s="644"/>
      <c r="S7447" s="1589" t="s">
        <v>5949</v>
      </c>
      <c r="T7447" s="1191">
        <v>1000</v>
      </c>
      <c r="U7447" s="1508"/>
      <c r="V7447" s="1191"/>
    </row>
    <row r="7448" spans="7:22" ht="16.2">
      <c r="G7448" s="48"/>
      <c r="H7448" s="48"/>
      <c r="I7448" s="1589" t="s">
        <v>5955</v>
      </c>
      <c r="J7448" s="1489">
        <v>37200000</v>
      </c>
      <c r="K7448" s="1589"/>
      <c r="L7448" s="1522"/>
      <c r="M7448" s="1590" t="s">
        <v>5920</v>
      </c>
      <c r="N7448" s="49">
        <v>227400000</v>
      </c>
      <c r="O7448" s="1383"/>
      <c r="P7448" s="644"/>
      <c r="Q7448" s="1422"/>
      <c r="R7448" s="644"/>
      <c r="S7448" s="1590" t="s">
        <v>5860</v>
      </c>
      <c r="T7448" s="1540">
        <v>600</v>
      </c>
      <c r="U7448" s="1494"/>
      <c r="V7448" s="1540"/>
    </row>
    <row r="7449" spans="7:22">
      <c r="G7449" s="48"/>
      <c r="H7449" s="48"/>
      <c r="I7449" s="1589" t="s">
        <v>5956</v>
      </c>
      <c r="J7449" s="1522">
        <f>23000000*0.92</f>
        <v>21160000</v>
      </c>
      <c r="K7449" s="1589"/>
      <c r="L7449" s="1522"/>
      <c r="M7449" s="1590" t="s">
        <v>5952</v>
      </c>
      <c r="N7449" s="49">
        <v>800000</v>
      </c>
      <c r="O7449" s="1383"/>
      <c r="P7449" s="644"/>
      <c r="Q7449" s="1422"/>
      <c r="R7449" s="644"/>
      <c r="S7449" s="1511"/>
      <c r="T7449" s="1540"/>
      <c r="U7449" s="1494"/>
      <c r="V7449" s="49">
        <v>800</v>
      </c>
    </row>
    <row r="7450" spans="7:22">
      <c r="G7450" s="48"/>
      <c r="H7450" s="48"/>
      <c r="I7450" s="1544"/>
      <c r="J7450" s="1522"/>
      <c r="K7450" s="1589"/>
      <c r="L7450" s="1522"/>
      <c r="M7450" s="1526"/>
      <c r="N7450" s="49"/>
      <c r="O7450" s="1383"/>
      <c r="P7450" s="644"/>
      <c r="Q7450" s="1494"/>
      <c r="R7450" s="644"/>
      <c r="S7450" s="1494"/>
      <c r="T7450" s="1540"/>
      <c r="U7450" s="1488"/>
      <c r="V7450" s="49"/>
    </row>
    <row r="7451" spans="7:22">
      <c r="G7451" s="48"/>
      <c r="H7451" s="48"/>
      <c r="I7451" s="1544"/>
      <c r="J7451" s="1522"/>
      <c r="K7451" s="1522"/>
      <c r="L7451" s="1522"/>
      <c r="M7451" s="1493"/>
      <c r="N7451" s="49"/>
      <c r="O7451" s="1383"/>
      <c r="P7451" s="644"/>
      <c r="Q7451" s="1383"/>
      <c r="R7451" s="644"/>
      <c r="S7451" s="1481"/>
      <c r="T7451" s="1540"/>
      <c r="U7451" s="1488"/>
      <c r="V7451" s="49"/>
    </row>
    <row r="7452" spans="7:22">
      <c r="G7452" s="48"/>
      <c r="H7452" s="48"/>
      <c r="I7452" s="1522"/>
      <c r="J7452" s="1522"/>
      <c r="K7452" s="1522"/>
      <c r="L7452" s="1522"/>
      <c r="M7452" s="1495"/>
      <c r="N7452" s="49"/>
      <c r="O7452" s="1383"/>
      <c r="P7452" s="644"/>
      <c r="Q7452" s="1385"/>
      <c r="R7452" s="644"/>
      <c r="S7452" s="48"/>
      <c r="T7452" s="1540"/>
      <c r="U7452" s="1488"/>
      <c r="V7452" s="49"/>
    </row>
    <row r="7453" spans="7:22">
      <c r="G7453" s="48"/>
      <c r="H7453" s="48"/>
      <c r="I7453" s="1522"/>
      <c r="J7453" s="1522"/>
      <c r="K7453" s="1526"/>
      <c r="L7453" s="1522"/>
      <c r="M7453" s="1495"/>
      <c r="N7453" s="49"/>
      <c r="O7453" s="644"/>
      <c r="P7453" s="644"/>
      <c r="Q7453" s="1383"/>
      <c r="R7453" s="644"/>
      <c r="S7453" s="48"/>
      <c r="T7453" s="1540"/>
      <c r="U7453" s="1494"/>
      <c r="V7453" s="49"/>
    </row>
    <row r="7454" spans="7:22">
      <c r="G7454" s="48"/>
      <c r="H7454" s="48"/>
      <c r="I7454" s="1524"/>
      <c r="J7454" s="1522"/>
      <c r="K7454" s="1522"/>
      <c r="L7454" s="1522"/>
      <c r="M7454" s="1498"/>
      <c r="N7454" s="49"/>
      <c r="O7454" s="644"/>
      <c r="P7454" s="644"/>
      <c r="Q7454" s="1383"/>
      <c r="R7454" s="644"/>
      <c r="S7454" s="48"/>
      <c r="T7454" s="1540"/>
      <c r="U7454" s="1494"/>
      <c r="V7454" s="49"/>
    </row>
    <row r="7455" spans="7:22">
      <c r="G7455" s="48"/>
      <c r="H7455" s="48"/>
      <c r="I7455" s="1541"/>
      <c r="J7455" s="1522"/>
      <c r="K7455" s="1522"/>
      <c r="L7455" s="1522"/>
      <c r="M7455" s="1498"/>
      <c r="N7455" s="49"/>
      <c r="O7455" s="644"/>
      <c r="P7455" s="644"/>
      <c r="Q7455" s="1383"/>
      <c r="R7455" s="644"/>
      <c r="S7455" s="48"/>
      <c r="T7455" s="1540"/>
      <c r="U7455" s="48"/>
      <c r="V7455" s="48"/>
    </row>
    <row r="7456" spans="7:22">
      <c r="G7456" s="48"/>
      <c r="H7456" s="48"/>
      <c r="I7456" s="1541"/>
      <c r="J7456" s="1081"/>
      <c r="K7456" s="1522"/>
      <c r="L7456" s="1081"/>
      <c r="M7456" s="1498"/>
      <c r="N7456" s="49"/>
      <c r="O7456" s="644"/>
      <c r="P7456" s="644"/>
      <c r="Q7456" s="1383"/>
      <c r="R7456" s="644"/>
      <c r="S7456" s="48"/>
      <c r="T7456" s="1540"/>
      <c r="U7456" s="48"/>
      <c r="V7456" s="48"/>
    </row>
    <row r="7457" spans="7:22">
      <c r="G7457" s="48"/>
      <c r="H7457" s="48"/>
      <c r="I7457" s="1541"/>
      <c r="J7457" s="1081"/>
      <c r="K7457" s="1522"/>
      <c r="L7457" s="1081"/>
      <c r="M7457" s="1498"/>
      <c r="N7457" s="49"/>
      <c r="O7457" s="644"/>
      <c r="P7457" s="644"/>
      <c r="Q7457" s="1383"/>
      <c r="R7457" s="644"/>
      <c r="S7457" s="48"/>
      <c r="T7457" s="1540"/>
      <c r="U7457" s="48"/>
      <c r="V7457" s="48"/>
    </row>
    <row r="7458" spans="7:22">
      <c r="G7458" s="48"/>
      <c r="H7458" s="48"/>
      <c r="I7458" s="1542"/>
      <c r="J7458" s="1081"/>
      <c r="K7458" s="1498"/>
      <c r="L7458" s="49"/>
      <c r="M7458" s="1498"/>
      <c r="N7458" s="49"/>
      <c r="O7458" s="644"/>
      <c r="P7458" s="644"/>
      <c r="Q7458" s="1383"/>
      <c r="R7458" s="644"/>
      <c r="S7458" s="48"/>
      <c r="T7458" s="1540"/>
      <c r="U7458" s="48"/>
      <c r="V7458" s="48"/>
    </row>
    <row r="7459" spans="7:22">
      <c r="G7459" s="48"/>
      <c r="H7459" s="48"/>
      <c r="I7459" s="1542"/>
      <c r="J7459" s="49"/>
      <c r="K7459" s="1498"/>
      <c r="L7459" s="49"/>
      <c r="M7459" s="1498"/>
      <c r="N7459" s="49"/>
      <c r="O7459" s="644"/>
      <c r="P7459" s="644"/>
      <c r="Q7459" s="1383"/>
      <c r="R7459" s="644"/>
      <c r="S7459" s="48"/>
      <c r="T7459" s="1540"/>
      <c r="U7459" s="48"/>
      <c r="V7459" s="48"/>
    </row>
    <row r="7460" spans="7:22">
      <c r="G7460" s="48"/>
      <c r="H7460" s="48"/>
      <c r="I7460" s="1504"/>
      <c r="J7460" s="49"/>
      <c r="K7460" s="1498"/>
      <c r="L7460" s="49"/>
      <c r="M7460" s="1498"/>
      <c r="N7460" s="49"/>
      <c r="O7460" s="644"/>
      <c r="P7460" s="644"/>
      <c r="Q7460" s="1383"/>
      <c r="R7460" s="644"/>
      <c r="S7460" s="48"/>
      <c r="T7460" s="1540"/>
      <c r="U7460" s="48"/>
      <c r="V7460" s="48"/>
    </row>
    <row r="7461" spans="7:22">
      <c r="G7461" s="48"/>
      <c r="H7461" s="48"/>
      <c r="I7461" s="1494"/>
      <c r="J7461" s="49"/>
      <c r="K7461" s="1498"/>
      <c r="L7461" s="49"/>
      <c r="M7461" s="1498"/>
      <c r="N7461" s="49"/>
      <c r="O7461" s="644"/>
      <c r="P7461" s="644"/>
      <c r="Q7461" s="1383"/>
      <c r="R7461" s="644"/>
      <c r="S7461" s="48"/>
      <c r="T7461" s="1540"/>
      <c r="U7461" s="48"/>
      <c r="V7461" s="48"/>
    </row>
    <row r="7462" spans="7:22">
      <c r="G7462" s="48"/>
      <c r="H7462" s="48"/>
      <c r="I7462" s="1494"/>
      <c r="J7462" s="49"/>
      <c r="K7462" s="1498"/>
      <c r="L7462" s="49"/>
      <c r="M7462" s="1498"/>
      <c r="N7462" s="49"/>
      <c r="O7462" s="644"/>
      <c r="P7462" s="644"/>
      <c r="Q7462" s="1383"/>
      <c r="R7462" s="644"/>
      <c r="S7462" s="48"/>
      <c r="T7462" s="1540"/>
      <c r="U7462" s="48"/>
      <c r="V7462" s="48"/>
    </row>
    <row r="7463" spans="7:22">
      <c r="G7463" s="48"/>
      <c r="H7463" s="48"/>
      <c r="I7463" s="48"/>
      <c r="J7463" s="49"/>
      <c r="K7463" s="1498"/>
      <c r="L7463" s="49"/>
      <c r="M7463" s="1498"/>
      <c r="N7463" s="49"/>
      <c r="O7463" s="644"/>
      <c r="P7463" s="644"/>
      <c r="Q7463" s="1383"/>
      <c r="R7463" s="644"/>
      <c r="S7463" s="48"/>
      <c r="T7463" s="1540"/>
      <c r="U7463" s="48"/>
      <c r="V7463" s="48"/>
    </row>
    <row r="7464" spans="7:22">
      <c r="G7464" s="48"/>
      <c r="H7464" s="48"/>
      <c r="I7464" s="48"/>
      <c r="J7464" s="954">
        <f>SUM(J7445:J7463)</f>
        <v>144000000</v>
      </c>
      <c r="K7464" s="954"/>
      <c r="L7464" s="954">
        <f>SUM(L7445:L7463)</f>
        <v>12600000</v>
      </c>
      <c r="M7464" s="1498"/>
      <c r="N7464" s="954">
        <f>SUM(N7445:N7463)</f>
        <v>571700000</v>
      </c>
      <c r="O7464" s="644"/>
      <c r="P7464" s="969">
        <f>SUM(P7445:P7452)</f>
        <v>0</v>
      </c>
      <c r="Q7464" s="969"/>
      <c r="R7464" s="969">
        <f>SUM(R7445:R7463)</f>
        <v>0</v>
      </c>
      <c r="S7464" s="48"/>
      <c r="T7464" s="1178">
        <f>SUM(T7445:T7463)</f>
        <v>39300</v>
      </c>
      <c r="U7464" s="48"/>
      <c r="V7464" s="878">
        <f>SUM(V7445:V7463)</f>
        <v>800</v>
      </c>
    </row>
    <row r="7465" spans="7:22">
      <c r="T7465" s="1539"/>
    </row>
    <row r="7466" spans="7:22">
      <c r="T7466" s="1539"/>
    </row>
    <row r="7467" spans="7:22">
      <c r="R7467" s="661"/>
      <c r="T7467" s="1539"/>
    </row>
    <row r="7468" spans="7:22">
      <c r="T7468" s="1539"/>
    </row>
    <row r="7469" spans="7:22">
      <c r="K7469" s="3" t="s">
        <v>5310</v>
      </c>
      <c r="T7469" s="1539"/>
    </row>
    <row r="7470" spans="7:22">
      <c r="I7470" s="946"/>
      <c r="M7470" s="1533" t="s">
        <v>3699</v>
      </c>
      <c r="O7470" s="1535" t="s">
        <v>3741</v>
      </c>
      <c r="P7470" s="1538">
        <f>P7464-R7464</f>
        <v>0</v>
      </c>
      <c r="S7470" s="906" t="s">
        <v>4049</v>
      </c>
      <c r="T7470" s="1107">
        <f>T7464-V7464</f>
        <v>38500</v>
      </c>
    </row>
    <row r="7471" spans="7:22">
      <c r="G7471" s="1574" t="s">
        <v>3530</v>
      </c>
      <c r="H7471" s="1574"/>
      <c r="I7471" s="1574"/>
      <c r="J7471" s="3">
        <f>J7464+L7464</f>
        <v>156600000</v>
      </c>
      <c r="K7471" s="1009"/>
      <c r="L7471" s="3"/>
      <c r="M7471" s="1533" t="s">
        <v>3664</v>
      </c>
      <c r="N7471" s="1527"/>
      <c r="O7471" s="1535" t="s">
        <v>4066</v>
      </c>
      <c r="P7471" s="1538"/>
      <c r="T7471" s="1539"/>
    </row>
    <row r="7472" spans="7:22">
      <c r="G7472" s="1574" t="s">
        <v>3512</v>
      </c>
      <c r="H7472" s="1574"/>
      <c r="I7472" s="1574"/>
      <c r="J7472" s="3">
        <f>N7464-J7471</f>
        <v>415100000</v>
      </c>
      <c r="K7472" s="1009"/>
      <c r="L7472" s="3"/>
      <c r="M7472" s="1528"/>
      <c r="O7472" s="1529"/>
      <c r="Q7472" s="661"/>
      <c r="T7472" s="1539"/>
    </row>
    <row r="7473" spans="7:22">
      <c r="G7473" s="1574" t="s">
        <v>3531</v>
      </c>
      <c r="H7473" s="1574"/>
      <c r="I7473" s="1574"/>
      <c r="J7473" s="3">
        <f>+T7470</f>
        <v>38500</v>
      </c>
      <c r="Q7473" s="3"/>
      <c r="T7473" s="1539"/>
    </row>
    <row r="7474" spans="7:22">
      <c r="G7474" s="1564" t="s">
        <v>4455</v>
      </c>
      <c r="H7474" s="1564"/>
      <c r="I7474" s="1564"/>
      <c r="J7474" s="3">
        <f>+P7470</f>
        <v>0</v>
      </c>
      <c r="R7474" s="3"/>
      <c r="T7474" s="1539"/>
    </row>
    <row r="7477" spans="7:22">
      <c r="T7477" s="1539"/>
    </row>
    <row r="7478" spans="7:22">
      <c r="T7478" s="1539"/>
    </row>
    <row r="7479" spans="7:22">
      <c r="G7479" s="1008">
        <v>46182</v>
      </c>
      <c r="H7479" s="1169"/>
      <c r="I7479" s="1575" t="s">
        <v>3510</v>
      </c>
      <c r="J7479" s="1576"/>
      <c r="K7479" s="1575" t="s">
        <v>3509</v>
      </c>
      <c r="L7479" s="1576"/>
      <c r="M7479" s="1575" t="s">
        <v>3541</v>
      </c>
      <c r="N7479" s="1576"/>
      <c r="O7479" s="1577" t="s">
        <v>3598</v>
      </c>
      <c r="P7479" s="1578"/>
      <c r="Q7479" s="1579" t="s">
        <v>3599</v>
      </c>
      <c r="R7479" s="1580"/>
      <c r="S7479" s="1581" t="s">
        <v>3953</v>
      </c>
      <c r="T7479" s="1582"/>
      <c r="U7479" s="1581" t="s">
        <v>3954</v>
      </c>
      <c r="V7479" s="1582"/>
    </row>
    <row r="7480" spans="7:22">
      <c r="G7480" s="1261"/>
      <c r="H7480" s="1261"/>
      <c r="I7480" s="1589" t="s">
        <v>5957</v>
      </c>
      <c r="J7480" s="1081">
        <v>18000000</v>
      </c>
      <c r="K7480" s="1590" t="s">
        <v>4541</v>
      </c>
      <c r="L7480" s="49">
        <v>200000</v>
      </c>
      <c r="M7480" s="1495" t="s">
        <v>4613</v>
      </c>
      <c r="N7480" s="1495">
        <v>414300000</v>
      </c>
      <c r="O7480" s="1383"/>
      <c r="P7480" s="644"/>
      <c r="Q7480" s="1495"/>
      <c r="R7480" s="644"/>
      <c r="S7480" s="1494" t="s">
        <v>4613</v>
      </c>
      <c r="T7480" s="1191">
        <v>38500</v>
      </c>
      <c r="U7480" s="1395"/>
      <c r="V7480" s="48"/>
    </row>
    <row r="7481" spans="7:22">
      <c r="G7481" s="1494"/>
      <c r="H7481" s="1494"/>
      <c r="I7481" s="1589" t="s">
        <v>5958</v>
      </c>
      <c r="J7481" s="1522">
        <v>30260000</v>
      </c>
      <c r="K7481" s="1589" t="s">
        <v>4947</v>
      </c>
      <c r="L7481" s="1081">
        <v>500000</v>
      </c>
      <c r="M7481" s="1589" t="s">
        <v>5960</v>
      </c>
      <c r="N7481" s="1081">
        <v>3400000</v>
      </c>
      <c r="O7481" s="1537" t="s">
        <v>5859</v>
      </c>
      <c r="P7481" s="644">
        <v>9000000</v>
      </c>
      <c r="Q7481" s="1493"/>
      <c r="R7481" s="1383"/>
      <c r="S7481" s="1543"/>
      <c r="T7481" s="1191"/>
      <c r="U7481" s="48"/>
      <c r="V7481" s="49"/>
    </row>
    <row r="7482" spans="7:22">
      <c r="G7482" s="48"/>
      <c r="H7482" s="48"/>
      <c r="I7482" s="1589" t="s">
        <v>5959</v>
      </c>
      <c r="J7482" s="1522">
        <v>18000000</v>
      </c>
      <c r="K7482" s="1589" t="s">
        <v>4541</v>
      </c>
      <c r="L7482" s="1522">
        <v>1000000</v>
      </c>
      <c r="M7482" s="1589" t="s">
        <v>5670</v>
      </c>
      <c r="N7482" s="1081">
        <v>12000000</v>
      </c>
      <c r="O7482" s="1522"/>
      <c r="P7482" s="1081"/>
      <c r="Q7482" s="1422"/>
      <c r="R7482" s="644"/>
      <c r="S7482" s="1589"/>
      <c r="T7482" s="1191"/>
      <c r="U7482" s="1508"/>
      <c r="V7482" s="1191"/>
    </row>
    <row r="7483" spans="7:22" ht="16.2">
      <c r="G7483" s="48"/>
      <c r="H7483" s="48"/>
      <c r="I7483" s="1589" t="s">
        <v>5120</v>
      </c>
      <c r="J7483" s="1489">
        <v>19000000</v>
      </c>
      <c r="K7483" s="1589"/>
      <c r="L7483" s="1522"/>
      <c r="M7483" s="1590" t="s">
        <v>5568</v>
      </c>
      <c r="N7483" s="49">
        <v>500800000</v>
      </c>
      <c r="O7483" s="1383"/>
      <c r="P7483" s="644"/>
      <c r="Q7483" s="1422"/>
      <c r="R7483" s="644"/>
      <c r="S7483" s="1590"/>
      <c r="T7483" s="1540"/>
      <c r="U7483" s="1494"/>
      <c r="V7483" s="1540"/>
    </row>
    <row r="7484" spans="7:22">
      <c r="G7484" s="48"/>
      <c r="H7484" s="48"/>
      <c r="I7484" s="1589" t="s">
        <v>5961</v>
      </c>
      <c r="J7484" s="1522">
        <v>7800000</v>
      </c>
      <c r="K7484" s="1589"/>
      <c r="L7484" s="1522"/>
      <c r="M7484" s="1590"/>
      <c r="N7484" s="49"/>
      <c r="O7484" s="1383"/>
      <c r="P7484" s="644"/>
      <c r="Q7484" s="1422"/>
      <c r="R7484" s="644"/>
      <c r="S7484" s="1511"/>
      <c r="T7484" s="1540"/>
      <c r="U7484" s="1494"/>
      <c r="V7484" s="49"/>
    </row>
    <row r="7485" spans="7:22">
      <c r="G7485" s="48"/>
      <c r="H7485" s="48"/>
      <c r="I7485" s="1589" t="s">
        <v>5962</v>
      </c>
      <c r="J7485" s="1522">
        <v>46000000</v>
      </c>
      <c r="K7485" s="1589"/>
      <c r="L7485" s="1522"/>
      <c r="M7485" s="1526"/>
      <c r="N7485" s="49"/>
      <c r="O7485" s="1383"/>
      <c r="P7485" s="644"/>
      <c r="Q7485" s="1494"/>
      <c r="R7485" s="644"/>
      <c r="S7485" s="1494"/>
      <c r="T7485" s="1540"/>
      <c r="U7485" s="1488"/>
      <c r="V7485" s="49"/>
    </row>
    <row r="7486" spans="7:22">
      <c r="G7486" s="48"/>
      <c r="H7486" s="48"/>
      <c r="I7486" s="1589" t="s">
        <v>5963</v>
      </c>
      <c r="J7486" s="1522">
        <v>43240000</v>
      </c>
      <c r="K7486" s="1522"/>
      <c r="L7486" s="1522"/>
      <c r="M7486" s="1493"/>
      <c r="N7486" s="49"/>
      <c r="O7486" s="1383"/>
      <c r="P7486" s="644"/>
      <c r="Q7486" s="1383"/>
      <c r="R7486" s="644"/>
      <c r="S7486" s="1481"/>
      <c r="T7486" s="1540"/>
      <c r="U7486" s="1488"/>
      <c r="V7486" s="49"/>
    </row>
    <row r="7487" spans="7:22">
      <c r="G7487" s="48"/>
      <c r="H7487" s="48"/>
      <c r="I7487" s="1589" t="s">
        <v>5964</v>
      </c>
      <c r="J7487" s="1522">
        <v>35200000</v>
      </c>
      <c r="K7487" s="1522"/>
      <c r="L7487" s="1522"/>
      <c r="M7487" s="1495"/>
      <c r="N7487" s="49"/>
      <c r="O7487" s="1383"/>
      <c r="P7487" s="644"/>
      <c r="Q7487" s="1385"/>
      <c r="R7487" s="644"/>
      <c r="S7487" s="48"/>
      <c r="T7487" s="1540"/>
      <c r="U7487" s="1488"/>
      <c r="V7487" s="49"/>
    </row>
    <row r="7488" spans="7:22">
      <c r="G7488" s="48"/>
      <c r="H7488" s="48"/>
      <c r="I7488" s="1589" t="s">
        <v>5965</v>
      </c>
      <c r="J7488" s="1522">
        <v>46500000</v>
      </c>
      <c r="K7488" s="1526"/>
      <c r="L7488" s="1522"/>
      <c r="M7488" s="1495"/>
      <c r="N7488" s="49"/>
      <c r="O7488" s="644"/>
      <c r="P7488" s="644"/>
      <c r="Q7488" s="1383"/>
      <c r="R7488" s="644"/>
      <c r="S7488" s="48"/>
      <c r="T7488" s="1540"/>
      <c r="U7488" s="1494"/>
      <c r="V7488" s="49"/>
    </row>
    <row r="7489" spans="7:22">
      <c r="G7489" s="48"/>
      <c r="H7489" s="48"/>
      <c r="I7489" s="1591" t="s">
        <v>5966</v>
      </c>
      <c r="J7489" s="1522">
        <v>46500000</v>
      </c>
      <c r="K7489" s="1522"/>
      <c r="L7489" s="1522"/>
      <c r="M7489" s="1498"/>
      <c r="N7489" s="49"/>
      <c r="O7489" s="644"/>
      <c r="P7489" s="644"/>
      <c r="Q7489" s="1383"/>
      <c r="R7489" s="644"/>
      <c r="S7489" s="48"/>
      <c r="T7489" s="1540"/>
      <c r="U7489" s="1494"/>
      <c r="V7489" s="49"/>
    </row>
    <row r="7490" spans="7:22">
      <c r="G7490" s="48"/>
      <c r="H7490" s="48"/>
      <c r="I7490" s="1541"/>
      <c r="J7490" s="1522"/>
      <c r="K7490" s="1522"/>
      <c r="L7490" s="1522"/>
      <c r="M7490" s="1498"/>
      <c r="N7490" s="49"/>
      <c r="O7490" s="644"/>
      <c r="P7490" s="644"/>
      <c r="Q7490" s="1383"/>
      <c r="R7490" s="644"/>
      <c r="S7490" s="48"/>
      <c r="T7490" s="1540"/>
      <c r="U7490" s="48"/>
      <c r="V7490" s="48"/>
    </row>
    <row r="7491" spans="7:22">
      <c r="G7491" s="48"/>
      <c r="H7491" s="48"/>
      <c r="I7491" s="1541"/>
      <c r="J7491" s="1081"/>
      <c r="K7491" s="1522"/>
      <c r="L7491" s="1081"/>
      <c r="M7491" s="1498"/>
      <c r="N7491" s="49"/>
      <c r="O7491" s="644"/>
      <c r="P7491" s="644"/>
      <c r="Q7491" s="1383"/>
      <c r="R7491" s="644"/>
      <c r="S7491" s="48"/>
      <c r="T7491" s="1540"/>
      <c r="U7491" s="48"/>
      <c r="V7491" s="48"/>
    </row>
    <row r="7492" spans="7:22">
      <c r="G7492" s="48"/>
      <c r="H7492" s="48"/>
      <c r="I7492" s="1541"/>
      <c r="J7492" s="1081"/>
      <c r="K7492" s="1522"/>
      <c r="L7492" s="1081"/>
      <c r="M7492" s="1498"/>
      <c r="N7492" s="49"/>
      <c r="O7492" s="644"/>
      <c r="P7492" s="644"/>
      <c r="Q7492" s="1383"/>
      <c r="R7492" s="644"/>
      <c r="S7492" s="48"/>
      <c r="T7492" s="1540"/>
      <c r="U7492" s="48"/>
      <c r="V7492" s="48"/>
    </row>
    <row r="7493" spans="7:22">
      <c r="G7493" s="48"/>
      <c r="H7493" s="48"/>
      <c r="I7493" s="1542"/>
      <c r="J7493" s="1081"/>
      <c r="K7493" s="1498"/>
      <c r="L7493" s="49"/>
      <c r="M7493" s="1498"/>
      <c r="N7493" s="49"/>
      <c r="O7493" s="644"/>
      <c r="P7493" s="644"/>
      <c r="Q7493" s="1383"/>
      <c r="R7493" s="644"/>
      <c r="S7493" s="48"/>
      <c r="T7493" s="1540"/>
      <c r="U7493" s="48"/>
      <c r="V7493" s="48"/>
    </row>
    <row r="7494" spans="7:22">
      <c r="G7494" s="48"/>
      <c r="H7494" s="48"/>
      <c r="I7494" s="1542"/>
      <c r="J7494" s="49"/>
      <c r="K7494" s="1498"/>
      <c r="L7494" s="49"/>
      <c r="M7494" s="1498"/>
      <c r="N7494" s="49"/>
      <c r="O7494" s="644"/>
      <c r="P7494" s="644"/>
      <c r="Q7494" s="1383"/>
      <c r="R7494" s="644"/>
      <c r="S7494" s="48"/>
      <c r="T7494" s="1540"/>
      <c r="U7494" s="48"/>
      <c r="V7494" s="48"/>
    </row>
    <row r="7495" spans="7:22">
      <c r="G7495" s="48"/>
      <c r="H7495" s="48"/>
      <c r="I7495" s="1504"/>
      <c r="J7495" s="49"/>
      <c r="K7495" s="1498"/>
      <c r="L7495" s="49"/>
      <c r="M7495" s="1498"/>
      <c r="N7495" s="49"/>
      <c r="O7495" s="644"/>
      <c r="P7495" s="644"/>
      <c r="Q7495" s="1383"/>
      <c r="R7495" s="644"/>
      <c r="S7495" s="48"/>
      <c r="T7495" s="1540"/>
      <c r="U7495" s="48"/>
      <c r="V7495" s="48"/>
    </row>
    <row r="7496" spans="7:22">
      <c r="G7496" s="48"/>
      <c r="H7496" s="48"/>
      <c r="I7496" s="1494"/>
      <c r="J7496" s="49"/>
      <c r="K7496" s="1498"/>
      <c r="L7496" s="49"/>
      <c r="M7496" s="1498"/>
      <c r="N7496" s="49"/>
      <c r="O7496" s="644"/>
      <c r="P7496" s="644"/>
      <c r="Q7496" s="1383"/>
      <c r="R7496" s="644"/>
      <c r="S7496" s="48"/>
      <c r="T7496" s="1540"/>
      <c r="U7496" s="48"/>
      <c r="V7496" s="48"/>
    </row>
    <row r="7497" spans="7:22">
      <c r="G7497" s="48"/>
      <c r="H7497" s="48"/>
      <c r="I7497" s="1494"/>
      <c r="J7497" s="49"/>
      <c r="K7497" s="1498"/>
      <c r="L7497" s="49"/>
      <c r="M7497" s="1498"/>
      <c r="N7497" s="49"/>
      <c r="O7497" s="644"/>
      <c r="P7497" s="644"/>
      <c r="Q7497" s="1383"/>
      <c r="R7497" s="644"/>
      <c r="S7497" s="48"/>
      <c r="T7497" s="1540"/>
      <c r="U7497" s="48"/>
      <c r="V7497" s="48"/>
    </row>
    <row r="7498" spans="7:22">
      <c r="G7498" s="48"/>
      <c r="H7498" s="48"/>
      <c r="I7498" s="48"/>
      <c r="J7498" s="49"/>
      <c r="K7498" s="1498"/>
      <c r="L7498" s="49"/>
      <c r="M7498" s="1498"/>
      <c r="N7498" s="49"/>
      <c r="O7498" s="644"/>
      <c r="P7498" s="644"/>
      <c r="Q7498" s="1383"/>
      <c r="R7498" s="644"/>
      <c r="S7498" s="48"/>
      <c r="T7498" s="1540"/>
      <c r="U7498" s="48"/>
      <c r="V7498" s="48"/>
    </row>
    <row r="7499" spans="7:22">
      <c r="G7499" s="48"/>
      <c r="H7499" s="48"/>
      <c r="I7499" s="48"/>
      <c r="J7499" s="954">
        <f>SUM(J7480:J7498)</f>
        <v>310500000</v>
      </c>
      <c r="K7499" s="954"/>
      <c r="L7499" s="954">
        <f>SUM(L7480:L7498)</f>
        <v>1700000</v>
      </c>
      <c r="M7499" s="1498"/>
      <c r="N7499" s="954">
        <f>SUM(N7480:N7498)</f>
        <v>930500000</v>
      </c>
      <c r="O7499" s="644"/>
      <c r="P7499" s="969">
        <f>SUM(P7480:P7487)</f>
        <v>9000000</v>
      </c>
      <c r="Q7499" s="969"/>
      <c r="R7499" s="969">
        <f>SUM(R7480:R7498)</f>
        <v>0</v>
      </c>
      <c r="S7499" s="48"/>
      <c r="T7499" s="1178">
        <f>SUM(T7480:T7498)</f>
        <v>38500</v>
      </c>
      <c r="U7499" s="48"/>
      <c r="V7499" s="878">
        <f>SUM(V7480:V7498)</f>
        <v>0</v>
      </c>
    </row>
    <row r="7500" spans="7:22">
      <c r="T7500" s="1539"/>
    </row>
    <row r="7501" spans="7:22">
      <c r="T7501" s="1539"/>
    </row>
    <row r="7502" spans="7:22">
      <c r="R7502" s="661"/>
      <c r="T7502" s="1539"/>
    </row>
    <row r="7503" spans="7:22">
      <c r="T7503" s="1539"/>
    </row>
    <row r="7504" spans="7:22">
      <c r="K7504" s="3" t="s">
        <v>5310</v>
      </c>
      <c r="T7504" s="1539"/>
    </row>
    <row r="7505" spans="7:20">
      <c r="I7505" s="946"/>
      <c r="M7505" s="1533" t="s">
        <v>3699</v>
      </c>
      <c r="O7505" s="1535" t="s">
        <v>3741</v>
      </c>
      <c r="P7505" s="1538">
        <f>P7499-R7499</f>
        <v>9000000</v>
      </c>
      <c r="S7505" s="906" t="s">
        <v>4049</v>
      </c>
      <c r="T7505" s="1107">
        <f>T7499-V7499</f>
        <v>38500</v>
      </c>
    </row>
    <row r="7506" spans="7:20">
      <c r="G7506" s="1574" t="s">
        <v>3530</v>
      </c>
      <c r="H7506" s="1574"/>
      <c r="I7506" s="1574"/>
      <c r="J7506" s="3">
        <f>J7499+L7499</f>
        <v>312200000</v>
      </c>
      <c r="K7506" s="1009"/>
      <c r="L7506" s="3"/>
      <c r="M7506" s="1533" t="s">
        <v>3664</v>
      </c>
      <c r="N7506" s="1527"/>
      <c r="O7506" s="1535" t="s">
        <v>4066</v>
      </c>
      <c r="P7506" s="1538"/>
      <c r="T7506" s="1539"/>
    </row>
    <row r="7507" spans="7:20">
      <c r="G7507" s="1574" t="s">
        <v>3512</v>
      </c>
      <c r="H7507" s="1574"/>
      <c r="I7507" s="1574"/>
      <c r="J7507" s="3">
        <f>N7499-J7506</f>
        <v>618300000</v>
      </c>
      <c r="K7507" s="1009"/>
      <c r="L7507" s="3"/>
      <c r="M7507" s="1528"/>
      <c r="O7507" s="1529"/>
      <c r="Q7507" s="661"/>
      <c r="T7507" s="1539"/>
    </row>
    <row r="7508" spans="7:20">
      <c r="G7508" s="1574" t="s">
        <v>3531</v>
      </c>
      <c r="H7508" s="1574"/>
      <c r="I7508" s="1574"/>
      <c r="J7508" s="3">
        <f>+T7505</f>
        <v>38500</v>
      </c>
      <c r="Q7508" s="3"/>
      <c r="T7508" s="1539"/>
    </row>
    <row r="7509" spans="7:20">
      <c r="G7509" s="1564" t="s">
        <v>4455</v>
      </c>
      <c r="H7509" s="1564"/>
      <c r="I7509" s="1564"/>
      <c r="J7509" s="3">
        <f>+P7505</f>
        <v>9000000</v>
      </c>
      <c r="R7509" s="3"/>
      <c r="T7509" s="1539"/>
    </row>
    <row r="7510" spans="7:20">
      <c r="T7510" s="1539"/>
    </row>
  </sheetData>
  <mergeCells count="2321">
    <mergeCell ref="G7471:I7471"/>
    <mergeCell ref="G7472:I7472"/>
    <mergeCell ref="G7473:I7473"/>
    <mergeCell ref="G7474:I7474"/>
    <mergeCell ref="I7479:J7479"/>
    <mergeCell ref="K7479:L7479"/>
    <mergeCell ref="M7479:N7479"/>
    <mergeCell ref="O7479:P7479"/>
    <mergeCell ref="Q7479:R7479"/>
    <mergeCell ref="S7479:T7479"/>
    <mergeCell ref="U7479:V7479"/>
    <mergeCell ref="G7506:I7506"/>
    <mergeCell ref="G7507:I7507"/>
    <mergeCell ref="G7508:I7508"/>
    <mergeCell ref="G7509:I7509"/>
    <mergeCell ref="I7409:J7409"/>
    <mergeCell ref="K7409:L7409"/>
    <mergeCell ref="M7409:N7409"/>
    <mergeCell ref="O7409:P7409"/>
    <mergeCell ref="Q7409:R7409"/>
    <mergeCell ref="S7409:T7409"/>
    <mergeCell ref="U7409:V7409"/>
    <mergeCell ref="G7436:I7436"/>
    <mergeCell ref="G7437:I7437"/>
    <mergeCell ref="G7438:I7438"/>
    <mergeCell ref="G7439:I7439"/>
    <mergeCell ref="I7444:J7444"/>
    <mergeCell ref="K7444:L7444"/>
    <mergeCell ref="M7444:N7444"/>
    <mergeCell ref="O7444:P7444"/>
    <mergeCell ref="Q7444:R7444"/>
    <mergeCell ref="S7444:T7444"/>
    <mergeCell ref="U7444:V7444"/>
    <mergeCell ref="G7295:I7295"/>
    <mergeCell ref="G7296:I7296"/>
    <mergeCell ref="G7297:I7297"/>
    <mergeCell ref="G7298:I7298"/>
    <mergeCell ref="I7303:J7303"/>
    <mergeCell ref="K7303:L7303"/>
    <mergeCell ref="M7303:N7303"/>
    <mergeCell ref="O7303:P7303"/>
    <mergeCell ref="Q7303:R7303"/>
    <mergeCell ref="S7303:T7303"/>
    <mergeCell ref="U7303:V7303"/>
    <mergeCell ref="G7330:I7330"/>
    <mergeCell ref="G7331:I7331"/>
    <mergeCell ref="G7332:I7332"/>
    <mergeCell ref="G7333:I7333"/>
    <mergeCell ref="I7228:J7228"/>
    <mergeCell ref="K7228:L7228"/>
    <mergeCell ref="M7228:N7228"/>
    <mergeCell ref="O7228:P7228"/>
    <mergeCell ref="Q7228:R7228"/>
    <mergeCell ref="S7228:T7228"/>
    <mergeCell ref="U7228:V7228"/>
    <mergeCell ref="G7255:I7255"/>
    <mergeCell ref="G7256:I7256"/>
    <mergeCell ref="G7257:I7257"/>
    <mergeCell ref="G7258:I7258"/>
    <mergeCell ref="I7268:J7268"/>
    <mergeCell ref="K7268:L7268"/>
    <mergeCell ref="M7268:N7268"/>
    <mergeCell ref="O7268:P7268"/>
    <mergeCell ref="Q7268:R7268"/>
    <mergeCell ref="S7268:T7268"/>
    <mergeCell ref="U7268:V7268"/>
    <mergeCell ref="G7182:I7182"/>
    <mergeCell ref="G7183:I7183"/>
    <mergeCell ref="G7184:I7184"/>
    <mergeCell ref="G7185:I7185"/>
    <mergeCell ref="I7118:J7118"/>
    <mergeCell ref="K7118:L7118"/>
    <mergeCell ref="M7118:N7118"/>
    <mergeCell ref="O7118:P7118"/>
    <mergeCell ref="Q7118:R7118"/>
    <mergeCell ref="S7118:T7118"/>
    <mergeCell ref="U7118:V7118"/>
    <mergeCell ref="G7145:I7145"/>
    <mergeCell ref="G7146:I7146"/>
    <mergeCell ref="G7147:I7147"/>
    <mergeCell ref="G7148:I7148"/>
    <mergeCell ref="I7155:J7155"/>
    <mergeCell ref="K7155:L7155"/>
    <mergeCell ref="M7155:N7155"/>
    <mergeCell ref="O7155:P7155"/>
    <mergeCell ref="Q7155:R7155"/>
    <mergeCell ref="S7155:T7155"/>
    <mergeCell ref="U7155:V7155"/>
    <mergeCell ref="I7192:J7192"/>
    <mergeCell ref="K7192:L7192"/>
    <mergeCell ref="M7192:N7192"/>
    <mergeCell ref="O7192:P7192"/>
    <mergeCell ref="Q7192:R7192"/>
    <mergeCell ref="S7192:T7192"/>
    <mergeCell ref="U7192:V7192"/>
    <mergeCell ref="G7219:I7219"/>
    <mergeCell ref="G7220:I7220"/>
    <mergeCell ref="U7011:V7011"/>
    <mergeCell ref="G7038:I7038"/>
    <mergeCell ref="G7039:I7039"/>
    <mergeCell ref="G7040:I7040"/>
    <mergeCell ref="G7041:I7041"/>
    <mergeCell ref="I7011:J7011"/>
    <mergeCell ref="K7011:L7011"/>
    <mergeCell ref="M7011:N7011"/>
    <mergeCell ref="O7011:P7011"/>
    <mergeCell ref="Q7011:R7011"/>
    <mergeCell ref="S7011:T7011"/>
    <mergeCell ref="S6975:T6975"/>
    <mergeCell ref="U6975:V6975"/>
    <mergeCell ref="G7002:I7002"/>
    <mergeCell ref="G7003:I7003"/>
    <mergeCell ref="G7004:I7004"/>
    <mergeCell ref="G7005:I7005"/>
    <mergeCell ref="G6970:I6970"/>
    <mergeCell ref="G6971:I6971"/>
    <mergeCell ref="I6975:J6975"/>
    <mergeCell ref="K6975:L6975"/>
    <mergeCell ref="M6975:N6975"/>
    <mergeCell ref="O6975:P6975"/>
    <mergeCell ref="Q6975:R6975"/>
    <mergeCell ref="I6941:J6941"/>
    <mergeCell ref="K6941:L6941"/>
    <mergeCell ref="M6941:N6941"/>
    <mergeCell ref="O6941:P6941"/>
    <mergeCell ref="Q6941:R6941"/>
    <mergeCell ref="S6941:T6941"/>
    <mergeCell ref="K6868:L6868"/>
    <mergeCell ref="M6868:N6868"/>
    <mergeCell ref="O6868:P6868"/>
    <mergeCell ref="Q6868:R6868"/>
    <mergeCell ref="S6868:T6868"/>
    <mergeCell ref="G6931:I6931"/>
    <mergeCell ref="G6932:I6932"/>
    <mergeCell ref="G6933:I6933"/>
    <mergeCell ref="G6934:I6934"/>
    <mergeCell ref="G6511:I6511"/>
    <mergeCell ref="G6512:I6512"/>
    <mergeCell ref="G6513:I6513"/>
    <mergeCell ref="G6514:I6514"/>
    <mergeCell ref="G6596:I6596"/>
    <mergeCell ref="O6483:P6483"/>
    <mergeCell ref="Q6483:R6483"/>
    <mergeCell ref="S6483:T6483"/>
    <mergeCell ref="U6483:V6483"/>
    <mergeCell ref="I6640:J6640"/>
    <mergeCell ref="K6640:L6640"/>
    <mergeCell ref="M6640:N6640"/>
    <mergeCell ref="U6941:V6941"/>
    <mergeCell ref="G6968:I6968"/>
    <mergeCell ref="G6969:I6969"/>
    <mergeCell ref="U6868:V6868"/>
    <mergeCell ref="G6857:I6857"/>
    <mergeCell ref="G6895:I6895"/>
    <mergeCell ref="G6896:I6896"/>
    <mergeCell ref="G6897:I6897"/>
    <mergeCell ref="G6898:I6898"/>
    <mergeCell ref="I6830:J6830"/>
    <mergeCell ref="K6830:L6830"/>
    <mergeCell ref="G6858:I6858"/>
    <mergeCell ref="G6859:I6859"/>
    <mergeCell ref="G6860:I6860"/>
    <mergeCell ref="I6868:J6868"/>
    <mergeCell ref="G6667:I6667"/>
    <mergeCell ref="G6668:I6668"/>
    <mergeCell ref="G6669:I6669"/>
    <mergeCell ref="I6447:J6447"/>
    <mergeCell ref="K6447:L6447"/>
    <mergeCell ref="M6447:N6447"/>
    <mergeCell ref="O6447:P6447"/>
    <mergeCell ref="Q6447:R6447"/>
    <mergeCell ref="G6595:I6595"/>
    <mergeCell ref="G6476:I6476"/>
    <mergeCell ref="G6477:I6477"/>
    <mergeCell ref="G6478:I6478"/>
    <mergeCell ref="I6483:J6483"/>
    <mergeCell ref="K6483:L6483"/>
    <mergeCell ref="M6483:N6483"/>
    <mergeCell ref="M6338:N6338"/>
    <mergeCell ref="O6338:P6338"/>
    <mergeCell ref="Q6338:R6338"/>
    <mergeCell ref="S6338:T6338"/>
    <mergeCell ref="U6338:V6338"/>
    <mergeCell ref="S6447:T6447"/>
    <mergeCell ref="U6447:V6447"/>
    <mergeCell ref="S6412:T6412"/>
    <mergeCell ref="U6412:V6412"/>
    <mergeCell ref="K6555:L6555"/>
    <mergeCell ref="M6555:N6555"/>
    <mergeCell ref="O6555:P6555"/>
    <mergeCell ref="Q6555:R6555"/>
    <mergeCell ref="S6555:T6555"/>
    <mergeCell ref="G6440:I6440"/>
    <mergeCell ref="G6441:I6441"/>
    <mergeCell ref="G6442:I6442"/>
    <mergeCell ref="G6443:I6443"/>
    <mergeCell ref="G6475:I6475"/>
    <mergeCell ref="U6376:V6376"/>
    <mergeCell ref="G6404:I6404"/>
    <mergeCell ref="G6405:I6405"/>
    <mergeCell ref="G6406:I6406"/>
    <mergeCell ref="S6302:T6302"/>
    <mergeCell ref="U6302:V6302"/>
    <mergeCell ref="G6366:I6366"/>
    <mergeCell ref="G6367:I6367"/>
    <mergeCell ref="G6368:I6368"/>
    <mergeCell ref="G6369:I6369"/>
    <mergeCell ref="U6266:V6266"/>
    <mergeCell ref="G6294:I6294"/>
    <mergeCell ref="G6295:I6295"/>
    <mergeCell ref="G6296:I6296"/>
    <mergeCell ref="G6297:I6297"/>
    <mergeCell ref="I6302:J6302"/>
    <mergeCell ref="I6266:J6266"/>
    <mergeCell ref="K6266:L6266"/>
    <mergeCell ref="M6266:N6266"/>
    <mergeCell ref="O6266:P6266"/>
    <mergeCell ref="Q6266:R6266"/>
    <mergeCell ref="S6266:T6266"/>
    <mergeCell ref="G6154:I6154"/>
    <mergeCell ref="G6155:I6155"/>
    <mergeCell ref="G6156:I6156"/>
    <mergeCell ref="I6057:J6057"/>
    <mergeCell ref="K6057:L6057"/>
    <mergeCell ref="G6086:I6086"/>
    <mergeCell ref="G6087:I6087"/>
    <mergeCell ref="G6088:I6088"/>
    <mergeCell ref="I6091:J6091"/>
    <mergeCell ref="G6223:I6223"/>
    <mergeCell ref="G6224:I6224"/>
    <mergeCell ref="G6225:I6225"/>
    <mergeCell ref="G6226:I6226"/>
    <mergeCell ref="G6330:I6330"/>
    <mergeCell ref="G6331:I6331"/>
    <mergeCell ref="G6332:I6332"/>
    <mergeCell ref="G6333:I6333"/>
    <mergeCell ref="K6302:L6302"/>
    <mergeCell ref="Q5907:R5907"/>
    <mergeCell ref="G6119:I6119"/>
    <mergeCell ref="G6120:I6120"/>
    <mergeCell ref="G6121:I6121"/>
    <mergeCell ref="G6122:I6122"/>
    <mergeCell ref="I6125:J6125"/>
    <mergeCell ref="K6125:L6125"/>
    <mergeCell ref="M6125:N6125"/>
    <mergeCell ref="O6125:P6125"/>
    <mergeCell ref="Q6125:R6125"/>
    <mergeCell ref="S5870:T5870"/>
    <mergeCell ref="U5870:V5870"/>
    <mergeCell ref="G5901:I5901"/>
    <mergeCell ref="G5902:I5902"/>
    <mergeCell ref="G5903:I5903"/>
    <mergeCell ref="G5904:I5904"/>
    <mergeCell ref="G5981:I5981"/>
    <mergeCell ref="I5870:J5870"/>
    <mergeCell ref="K5870:L5870"/>
    <mergeCell ref="M5870:N5870"/>
    <mergeCell ref="O5870:P5870"/>
    <mergeCell ref="Q5870:R5870"/>
    <mergeCell ref="I5907:J5907"/>
    <mergeCell ref="K5907:L5907"/>
    <mergeCell ref="M5907:N5907"/>
    <mergeCell ref="O5907:P5907"/>
    <mergeCell ref="Q5950:R5950"/>
    <mergeCell ref="S5950:T5950"/>
    <mergeCell ref="U5950:V5950"/>
    <mergeCell ref="G5978:I5978"/>
    <mergeCell ref="G5979:I5979"/>
    <mergeCell ref="G5980:I5980"/>
    <mergeCell ref="U5518:V5518"/>
    <mergeCell ref="U6091:V6091"/>
    <mergeCell ref="G5942:I5942"/>
    <mergeCell ref="G5943:I5943"/>
    <mergeCell ref="G5944:I5944"/>
    <mergeCell ref="G5945:I5945"/>
    <mergeCell ref="I5950:J5950"/>
    <mergeCell ref="K5950:L5950"/>
    <mergeCell ref="M5950:N5950"/>
    <mergeCell ref="O5950:P5950"/>
    <mergeCell ref="K5713:L5713"/>
    <mergeCell ref="M5713:N5713"/>
    <mergeCell ref="O5713:P5713"/>
    <mergeCell ref="Q5713:R5713"/>
    <mergeCell ref="S5713:T5713"/>
    <mergeCell ref="U5713:V5713"/>
    <mergeCell ref="G5746:I5746"/>
    <mergeCell ref="G5747:I5747"/>
    <mergeCell ref="I5673:J5673"/>
    <mergeCell ref="K5673:L5673"/>
    <mergeCell ref="M5673:N5673"/>
    <mergeCell ref="O5673:P5673"/>
    <mergeCell ref="G5704:I5704"/>
    <mergeCell ref="G5705:I5705"/>
    <mergeCell ref="G5706:I5706"/>
    <mergeCell ref="G5707:I5707"/>
    <mergeCell ref="I5593:J5593"/>
    <mergeCell ref="K5593:L5593"/>
    <mergeCell ref="S5593:T5593"/>
    <mergeCell ref="G5864:I5864"/>
    <mergeCell ref="G5865:I5865"/>
    <mergeCell ref="U5793:V5793"/>
    <mergeCell ref="O5405:P5405"/>
    <mergeCell ref="Q5405:R5405"/>
    <mergeCell ref="S5405:T5405"/>
    <mergeCell ref="U5405:V5405"/>
    <mergeCell ref="G5744:I5744"/>
    <mergeCell ref="G5745:I5745"/>
    <mergeCell ref="Q5673:R5673"/>
    <mergeCell ref="S5673:T5673"/>
    <mergeCell ref="U5673:V5673"/>
    <mergeCell ref="I5713:J5713"/>
    <mergeCell ref="G5400:I5400"/>
    <mergeCell ref="G5401:I5401"/>
    <mergeCell ref="G5402:I5402"/>
    <mergeCell ref="I5405:J5405"/>
    <mergeCell ref="K5405:L5405"/>
    <mergeCell ref="M5405:N5405"/>
    <mergeCell ref="M5368:N5368"/>
    <mergeCell ref="O5368:P5368"/>
    <mergeCell ref="Q5368:R5368"/>
    <mergeCell ref="S5368:T5368"/>
    <mergeCell ref="U5368:V5368"/>
    <mergeCell ref="G5399:I5399"/>
    <mergeCell ref="U5480:V5480"/>
    <mergeCell ref="U5443:V5443"/>
    <mergeCell ref="U5593:V5593"/>
    <mergeCell ref="G5513:I5513"/>
    <mergeCell ref="G5514:I5514"/>
    <mergeCell ref="I5443:J5443"/>
    <mergeCell ref="K5443:L5443"/>
    <mergeCell ref="M5443:N5443"/>
    <mergeCell ref="O5443:P5443"/>
    <mergeCell ref="Q5443:R5443"/>
    <mergeCell ref="G5361:I5361"/>
    <mergeCell ref="G5362:I5362"/>
    <mergeCell ref="G5363:I5363"/>
    <mergeCell ref="G5364:I5364"/>
    <mergeCell ref="I5368:J5368"/>
    <mergeCell ref="K5368:L5368"/>
    <mergeCell ref="G5551:I5551"/>
    <mergeCell ref="G5552:I5552"/>
    <mergeCell ref="G5436:I5436"/>
    <mergeCell ref="G5437:I5437"/>
    <mergeCell ref="G5438:I5438"/>
    <mergeCell ref="G5439:I5439"/>
    <mergeCell ref="G5550:I5550"/>
    <mergeCell ref="K5330:L5330"/>
    <mergeCell ref="M5330:N5330"/>
    <mergeCell ref="O5330:P5330"/>
    <mergeCell ref="Q5330:R5330"/>
    <mergeCell ref="I5518:J5518"/>
    <mergeCell ref="K5518:L5518"/>
    <mergeCell ref="M5518:N5518"/>
    <mergeCell ref="O5518:P5518"/>
    <mergeCell ref="G5474:I5474"/>
    <mergeCell ref="G5475:I5475"/>
    <mergeCell ref="G5476:I5476"/>
    <mergeCell ref="G5477:I5477"/>
    <mergeCell ref="I5480:J5480"/>
    <mergeCell ref="K5480:L5480"/>
    <mergeCell ref="M5480:N5480"/>
    <mergeCell ref="O5480:P5480"/>
    <mergeCell ref="Q5480:R5480"/>
    <mergeCell ref="G5511:I5511"/>
    <mergeCell ref="G5512:I5512"/>
    <mergeCell ref="S5330:T5330"/>
    <mergeCell ref="U5330:V5330"/>
    <mergeCell ref="U5172:V5172"/>
    <mergeCell ref="U5291:V5291"/>
    <mergeCell ref="G5322:I5322"/>
    <mergeCell ref="G5323:I5323"/>
    <mergeCell ref="G5324:I5324"/>
    <mergeCell ref="G5325:I5325"/>
    <mergeCell ref="I5172:J5172"/>
    <mergeCell ref="K5172:L5172"/>
    <mergeCell ref="M5172:N5172"/>
    <mergeCell ref="O5172:P5172"/>
    <mergeCell ref="Q5172:R5172"/>
    <mergeCell ref="S5172:T5172"/>
    <mergeCell ref="U5137:V5137"/>
    <mergeCell ref="G5164:I5164"/>
    <mergeCell ref="G5165:I5165"/>
    <mergeCell ref="G5166:I5166"/>
    <mergeCell ref="G5167:I5167"/>
    <mergeCell ref="U5102:V5102"/>
    <mergeCell ref="G4989:I4989"/>
    <mergeCell ref="G4990:I4990"/>
    <mergeCell ref="G4991:I4991"/>
    <mergeCell ref="G5057:I5057"/>
    <mergeCell ref="G5058:I5058"/>
    <mergeCell ref="G5059:I5059"/>
    <mergeCell ref="G5060:I5060"/>
    <mergeCell ref="I4996:J4996"/>
    <mergeCell ref="K4996:L4996"/>
    <mergeCell ref="U5210:V5210"/>
    <mergeCell ref="S5250:T5250"/>
    <mergeCell ref="U5250:V5250"/>
    <mergeCell ref="I5291:J5291"/>
    <mergeCell ref="K5291:L5291"/>
    <mergeCell ref="M5291:N5291"/>
    <mergeCell ref="O5291:P5291"/>
    <mergeCell ref="G5281:I5281"/>
    <mergeCell ref="G5282:I5282"/>
    <mergeCell ref="G5283:I5283"/>
    <mergeCell ref="G5284:I5284"/>
    <mergeCell ref="O5250:P5250"/>
    <mergeCell ref="Q5250:R5250"/>
    <mergeCell ref="Q5291:R5291"/>
    <mergeCell ref="S5291:T5291"/>
    <mergeCell ref="G5096:I5096"/>
    <mergeCell ref="I5137:J5137"/>
    <mergeCell ref="K5137:L5137"/>
    <mergeCell ref="M5137:N5137"/>
    <mergeCell ref="O5137:P5137"/>
    <mergeCell ref="Q5137:R5137"/>
    <mergeCell ref="S5137:T5137"/>
    <mergeCell ref="G4893:I4893"/>
    <mergeCell ref="G4894:I4894"/>
    <mergeCell ref="M4931:N4931"/>
    <mergeCell ref="O4931:P4931"/>
    <mergeCell ref="Q4931:R4931"/>
    <mergeCell ref="G5199:I5199"/>
    <mergeCell ref="G5095:I5095"/>
    <mergeCell ref="M4996:N4996"/>
    <mergeCell ref="O4996:P4996"/>
    <mergeCell ref="Q4996:R4996"/>
    <mergeCell ref="G4861:I4861"/>
    <mergeCell ref="G4862:I4862"/>
    <mergeCell ref="G4863:I4863"/>
    <mergeCell ref="I4868:J4868"/>
    <mergeCell ref="G4988:I4988"/>
    <mergeCell ref="G4955:I4955"/>
    <mergeCell ref="G4956:I4956"/>
    <mergeCell ref="G4957:I4957"/>
    <mergeCell ref="G4958:I4958"/>
    <mergeCell ref="G4892:I4892"/>
    <mergeCell ref="M5102:N5102"/>
    <mergeCell ref="O5102:P5102"/>
    <mergeCell ref="Q5102:R5102"/>
    <mergeCell ref="M5030:N5030"/>
    <mergeCell ref="O5030:P5030"/>
    <mergeCell ref="G5129:I5129"/>
    <mergeCell ref="G5130:I5130"/>
    <mergeCell ref="G5131:I5131"/>
    <mergeCell ref="G5132:I5132"/>
    <mergeCell ref="G5020:I5020"/>
    <mergeCell ref="G5021:I5021"/>
    <mergeCell ref="G5022:I5022"/>
    <mergeCell ref="I4931:J4931"/>
    <mergeCell ref="K4931:L4931"/>
    <mergeCell ref="G5094:I5094"/>
    <mergeCell ref="G5093:I5093"/>
    <mergeCell ref="U5066:V5066"/>
    <mergeCell ref="S5066:T5066"/>
    <mergeCell ref="Q5066:R5066"/>
    <mergeCell ref="S4996:T4996"/>
    <mergeCell ref="U4996:V4996"/>
    <mergeCell ref="Q4900:R4900"/>
    <mergeCell ref="S4900:T4900"/>
    <mergeCell ref="U4900:V4900"/>
    <mergeCell ref="G4924:I4924"/>
    <mergeCell ref="G4925:I4925"/>
    <mergeCell ref="G4926:I4926"/>
    <mergeCell ref="O5066:P5066"/>
    <mergeCell ref="M5066:N5066"/>
    <mergeCell ref="K5066:L5066"/>
    <mergeCell ref="G5023:I5023"/>
    <mergeCell ref="I5030:J5030"/>
    <mergeCell ref="K5030:L5030"/>
    <mergeCell ref="Q5030:R5030"/>
    <mergeCell ref="S5030:T5030"/>
    <mergeCell ref="U5030:V5030"/>
    <mergeCell ref="I4964:J4964"/>
    <mergeCell ref="K4964:L4964"/>
    <mergeCell ref="M4964:N4964"/>
    <mergeCell ref="O4964:P4964"/>
    <mergeCell ref="Q4964:R4964"/>
    <mergeCell ref="S4964:T4964"/>
    <mergeCell ref="U4964:V4964"/>
    <mergeCell ref="S4931:T4931"/>
    <mergeCell ref="G4895:I4895"/>
    <mergeCell ref="I4900:J4900"/>
    <mergeCell ref="K4900:L4900"/>
    <mergeCell ref="M4900:N4900"/>
    <mergeCell ref="O4900:P4900"/>
    <mergeCell ref="U4771:V4771"/>
    <mergeCell ref="G4795:I4795"/>
    <mergeCell ref="G4796:I4796"/>
    <mergeCell ref="G4797:I4797"/>
    <mergeCell ref="G4798:I4798"/>
    <mergeCell ref="I4804:J4804"/>
    <mergeCell ref="K4804:L4804"/>
    <mergeCell ref="M4804:N4804"/>
    <mergeCell ref="O4804:P4804"/>
    <mergeCell ref="Q4804:R4804"/>
    <mergeCell ref="U4931:V4931"/>
    <mergeCell ref="M4836:N4836"/>
    <mergeCell ref="O4836:P4836"/>
    <mergeCell ref="Q4836:R4836"/>
    <mergeCell ref="S4836:T4836"/>
    <mergeCell ref="U4836:V4836"/>
    <mergeCell ref="G4860:I4860"/>
    <mergeCell ref="G4828:I4828"/>
    <mergeCell ref="G4829:I4829"/>
    <mergeCell ref="G4830:I4830"/>
    <mergeCell ref="G4831:I4831"/>
    <mergeCell ref="I4836:J4836"/>
    <mergeCell ref="K4836:L4836"/>
    <mergeCell ref="G4927:I4927"/>
    <mergeCell ref="K4771:L4771"/>
    <mergeCell ref="M4771:N4771"/>
    <mergeCell ref="O4771:P4771"/>
    <mergeCell ref="K4868:L4868"/>
    <mergeCell ref="M4868:N4868"/>
    <mergeCell ref="O4868:P4868"/>
    <mergeCell ref="Q4868:R4868"/>
    <mergeCell ref="S4868:T4868"/>
    <mergeCell ref="U4868:V4868"/>
    <mergeCell ref="Q4771:R4771"/>
    <mergeCell ref="S4771:T4771"/>
    <mergeCell ref="G4733:I4733"/>
    <mergeCell ref="I4738:J4738"/>
    <mergeCell ref="K4738:L4738"/>
    <mergeCell ref="M4738:N4738"/>
    <mergeCell ref="O4738:P4738"/>
    <mergeCell ref="Q4738:R4738"/>
    <mergeCell ref="S4804:T4804"/>
    <mergeCell ref="U4804:V4804"/>
    <mergeCell ref="G4764:I4764"/>
    <mergeCell ref="G4765:I4765"/>
    <mergeCell ref="I4771:J4771"/>
    <mergeCell ref="S4706:T4706"/>
    <mergeCell ref="U4706:V4706"/>
    <mergeCell ref="G4730:I4730"/>
    <mergeCell ref="G4731:I4731"/>
    <mergeCell ref="G4732:I4732"/>
    <mergeCell ref="I4642:J4642"/>
    <mergeCell ref="K4642:L4642"/>
    <mergeCell ref="M4642:N4642"/>
    <mergeCell ref="O4642:P4642"/>
    <mergeCell ref="Q4642:R4642"/>
    <mergeCell ref="G4701:I4701"/>
    <mergeCell ref="I4706:J4706"/>
    <mergeCell ref="K4706:L4706"/>
    <mergeCell ref="M4706:N4706"/>
    <mergeCell ref="O4706:P4706"/>
    <mergeCell ref="Q4706:R4706"/>
    <mergeCell ref="G4763:I4763"/>
    <mergeCell ref="G4698:I4698"/>
    <mergeCell ref="G4699:I4699"/>
    <mergeCell ref="G4668:I4668"/>
    <mergeCell ref="G4669:I4669"/>
    <mergeCell ref="S4738:T4738"/>
    <mergeCell ref="U4738:V4738"/>
    <mergeCell ref="G4634:I4634"/>
    <mergeCell ref="G4635:I4635"/>
    <mergeCell ref="G4636:I4636"/>
    <mergeCell ref="G4637:I4637"/>
    <mergeCell ref="G4700:I4700"/>
    <mergeCell ref="S4610:T4610"/>
    <mergeCell ref="U4610:V4610"/>
    <mergeCell ref="I4674:J4674"/>
    <mergeCell ref="K4674:L4674"/>
    <mergeCell ref="M4674:N4674"/>
    <mergeCell ref="O4674:P4674"/>
    <mergeCell ref="Q4674:R4674"/>
    <mergeCell ref="S4674:T4674"/>
    <mergeCell ref="U4674:V4674"/>
    <mergeCell ref="S4642:T4642"/>
    <mergeCell ref="U4577:V4577"/>
    <mergeCell ref="G4601:I4601"/>
    <mergeCell ref="G4602:I4602"/>
    <mergeCell ref="G4603:I4603"/>
    <mergeCell ref="G4604:I4604"/>
    <mergeCell ref="I4610:J4610"/>
    <mergeCell ref="K4610:L4610"/>
    <mergeCell ref="M4610:N4610"/>
    <mergeCell ref="O4610:P4610"/>
    <mergeCell ref="Q4610:R4610"/>
    <mergeCell ref="U4642:V4642"/>
    <mergeCell ref="G4666:I4666"/>
    <mergeCell ref="G4667:I4667"/>
    <mergeCell ref="S4349:T4349"/>
    <mergeCell ref="I4577:J4577"/>
    <mergeCell ref="K4577:L4577"/>
    <mergeCell ref="M4577:N4577"/>
    <mergeCell ref="O4577:P4577"/>
    <mergeCell ref="Q4577:R4577"/>
    <mergeCell ref="S4577:T4577"/>
    <mergeCell ref="U4316:V4316"/>
    <mergeCell ref="G4340:I4340"/>
    <mergeCell ref="G4341:I4341"/>
    <mergeCell ref="G4342:I4342"/>
    <mergeCell ref="G4343:I4343"/>
    <mergeCell ref="I4349:J4349"/>
    <mergeCell ref="K4349:L4349"/>
    <mergeCell ref="M4349:N4349"/>
    <mergeCell ref="O4349:P4349"/>
    <mergeCell ref="Q4349:R4349"/>
    <mergeCell ref="I4316:J4316"/>
    <mergeCell ref="K4316:L4316"/>
    <mergeCell ref="M4316:N4316"/>
    <mergeCell ref="O4316:P4316"/>
    <mergeCell ref="Q4316:R4316"/>
    <mergeCell ref="S4316:T4316"/>
    <mergeCell ref="U4479:V4479"/>
    <mergeCell ref="G4503:I4503"/>
    <mergeCell ref="G4504:I4504"/>
    <mergeCell ref="G4505:I4505"/>
    <mergeCell ref="G4506:I4506"/>
    <mergeCell ref="G4373:I4373"/>
    <mergeCell ref="G4374:I4374"/>
    <mergeCell ref="G4375:I4375"/>
    <mergeCell ref="G4376:I4376"/>
    <mergeCell ref="I4479:J4479"/>
    <mergeCell ref="K4479:L4479"/>
    <mergeCell ref="M4479:N4479"/>
    <mergeCell ref="O4479:P4479"/>
    <mergeCell ref="Q4479:R4479"/>
    <mergeCell ref="S4479:T4479"/>
    <mergeCell ref="I4149:J4149"/>
    <mergeCell ref="K4149:L4149"/>
    <mergeCell ref="M4149:N4149"/>
    <mergeCell ref="O4149:P4149"/>
    <mergeCell ref="Q4149:R4149"/>
    <mergeCell ref="S4149:T4149"/>
    <mergeCell ref="U4183:V4183"/>
    <mergeCell ref="G4207:I4207"/>
    <mergeCell ref="G4208:I4208"/>
    <mergeCell ref="G4209:I4209"/>
    <mergeCell ref="G4210:I4210"/>
    <mergeCell ref="S4249:T4249"/>
    <mergeCell ref="U4249:V4249"/>
    <mergeCell ref="Q4414:R4414"/>
    <mergeCell ref="S4414:T4414"/>
    <mergeCell ref="U4414:V4414"/>
    <mergeCell ref="M4283:N4283"/>
    <mergeCell ref="S4381:T4381"/>
    <mergeCell ref="U4381:V4381"/>
    <mergeCell ref="G4405:I4405"/>
    <mergeCell ref="G4406:I4406"/>
    <mergeCell ref="G4407:I4407"/>
    <mergeCell ref="G4408:I4408"/>
    <mergeCell ref="G4473:I4473"/>
    <mergeCell ref="I4381:J4381"/>
    <mergeCell ref="K4381:L4381"/>
    <mergeCell ref="I4114:J4114"/>
    <mergeCell ref="K4114:L4114"/>
    <mergeCell ref="M4114:N4114"/>
    <mergeCell ref="O4114:P4114"/>
    <mergeCell ref="Q4114:R4114"/>
    <mergeCell ref="U4349:V4349"/>
    <mergeCell ref="I4012:J4012"/>
    <mergeCell ref="K4012:L4012"/>
    <mergeCell ref="M4012:N4012"/>
    <mergeCell ref="O4012:P4012"/>
    <mergeCell ref="Q4012:R4012"/>
    <mergeCell ref="S4012:T4012"/>
    <mergeCell ref="U4012:V4012"/>
    <mergeCell ref="Q4183:R4183"/>
    <mergeCell ref="S4183:T4183"/>
    <mergeCell ref="S3979:T3979"/>
    <mergeCell ref="U3979:V3979"/>
    <mergeCell ref="G4003:I4003"/>
    <mergeCell ref="G4004:I4004"/>
    <mergeCell ref="G4005:I4005"/>
    <mergeCell ref="G4006:I4006"/>
    <mergeCell ref="G4039:I4039"/>
    <mergeCell ref="O4183:P4183"/>
    <mergeCell ref="O4079:P4079"/>
    <mergeCell ref="Q4079:R4079"/>
    <mergeCell ref="S4079:T4079"/>
    <mergeCell ref="U4079:V4079"/>
    <mergeCell ref="U4149:V4149"/>
    <mergeCell ref="S4114:T4114"/>
    <mergeCell ref="U4114:V4114"/>
    <mergeCell ref="O4249:P4249"/>
    <mergeCell ref="Q4249:R4249"/>
    <mergeCell ref="G3968:I3968"/>
    <mergeCell ref="G3969:I3969"/>
    <mergeCell ref="G3970:I3970"/>
    <mergeCell ref="G3971:I3971"/>
    <mergeCell ref="I3979:J3979"/>
    <mergeCell ref="Q3944:R3944"/>
    <mergeCell ref="S3944:T3944"/>
    <mergeCell ref="U3944:V3944"/>
    <mergeCell ref="G4036:I4036"/>
    <mergeCell ref="G4037:I4037"/>
    <mergeCell ref="G4038:I4038"/>
    <mergeCell ref="K3979:L3979"/>
    <mergeCell ref="M3979:N3979"/>
    <mergeCell ref="O3979:P3979"/>
    <mergeCell ref="Q3979:R3979"/>
    <mergeCell ref="G3936:I3936"/>
    <mergeCell ref="G3937:I3937"/>
    <mergeCell ref="I3944:J3944"/>
    <mergeCell ref="K3944:L3944"/>
    <mergeCell ref="M3944:N3944"/>
    <mergeCell ref="O3944:P3944"/>
    <mergeCell ref="G3935:I3935"/>
    <mergeCell ref="U3648:V3648"/>
    <mergeCell ref="G3668:I3668"/>
    <mergeCell ref="G3669:I3669"/>
    <mergeCell ref="G3670:I3670"/>
    <mergeCell ref="G3671:I3671"/>
    <mergeCell ref="I3678:J3678"/>
    <mergeCell ref="K3678:L3678"/>
    <mergeCell ref="M3678:N3678"/>
    <mergeCell ref="O3678:P3678"/>
    <mergeCell ref="Q3678:R3678"/>
    <mergeCell ref="I3648:J3648"/>
    <mergeCell ref="K3648:L3648"/>
    <mergeCell ref="M3648:N3648"/>
    <mergeCell ref="O3648:P3648"/>
    <mergeCell ref="Q3648:R3648"/>
    <mergeCell ref="S3648:T3648"/>
    <mergeCell ref="K3742:L3742"/>
    <mergeCell ref="M3742:N3742"/>
    <mergeCell ref="O3742:P3742"/>
    <mergeCell ref="Q3742:R3742"/>
    <mergeCell ref="O3811:P3811"/>
    <mergeCell ref="Q3811:R3811"/>
    <mergeCell ref="S3811:T3811"/>
    <mergeCell ref="U3811:V3811"/>
    <mergeCell ref="I3710:J3710"/>
    <mergeCell ref="K3710:L3710"/>
    <mergeCell ref="M3710:N3710"/>
    <mergeCell ref="O3710:P3710"/>
    <mergeCell ref="Q3710:R3710"/>
    <mergeCell ref="S3710:T3710"/>
    <mergeCell ref="G3799:I3799"/>
    <mergeCell ref="S3615:T3615"/>
    <mergeCell ref="U3615:V3615"/>
    <mergeCell ref="G3702:I3702"/>
    <mergeCell ref="G3703:I3703"/>
    <mergeCell ref="G3704:I3704"/>
    <mergeCell ref="G3705:I3705"/>
    <mergeCell ref="G3635:I3635"/>
    <mergeCell ref="G3636:I3636"/>
    <mergeCell ref="G3637:I3637"/>
    <mergeCell ref="G3638:I3638"/>
    <mergeCell ref="U3587:V3587"/>
    <mergeCell ref="G3607:I3607"/>
    <mergeCell ref="G3608:I3608"/>
    <mergeCell ref="G3609:I3609"/>
    <mergeCell ref="G3610:I3610"/>
    <mergeCell ref="I3615:J3615"/>
    <mergeCell ref="K3615:L3615"/>
    <mergeCell ref="M3615:N3615"/>
    <mergeCell ref="O3615:P3615"/>
    <mergeCell ref="Q3615:R3615"/>
    <mergeCell ref="I3587:J3587"/>
    <mergeCell ref="K3587:L3587"/>
    <mergeCell ref="M3587:N3587"/>
    <mergeCell ref="O3587:P3587"/>
    <mergeCell ref="Q3587:R3587"/>
    <mergeCell ref="S3587:T3587"/>
    <mergeCell ref="S3678:T3678"/>
    <mergeCell ref="U3678:V3678"/>
    <mergeCell ref="U3353:V3353"/>
    <mergeCell ref="U3240:V3240"/>
    <mergeCell ref="I3210:J3210"/>
    <mergeCell ref="K3210:L3210"/>
    <mergeCell ref="M3210:N3210"/>
    <mergeCell ref="O3210:P3210"/>
    <mergeCell ref="Q3210:R3210"/>
    <mergeCell ref="K3180:L3180"/>
    <mergeCell ref="M3180:N3180"/>
    <mergeCell ref="O3180:P3180"/>
    <mergeCell ref="Q3180:R3180"/>
    <mergeCell ref="I3353:J3353"/>
    <mergeCell ref="K3353:L3353"/>
    <mergeCell ref="M3353:N3353"/>
    <mergeCell ref="O3353:P3353"/>
    <mergeCell ref="Q3353:R3353"/>
    <mergeCell ref="I3240:J3240"/>
    <mergeCell ref="K3240:L3240"/>
    <mergeCell ref="M3240:N3240"/>
    <mergeCell ref="O3240:P3240"/>
    <mergeCell ref="M3297:N3297"/>
    <mergeCell ref="O3297:P3297"/>
    <mergeCell ref="Q3297:R3297"/>
    <mergeCell ref="S3297:T3297"/>
    <mergeCell ref="U3297:V3297"/>
    <mergeCell ref="G3260:I3260"/>
    <mergeCell ref="G3261:I3261"/>
    <mergeCell ref="G3262:I3262"/>
    <mergeCell ref="G3263:I3263"/>
    <mergeCell ref="I3268:J3268"/>
    <mergeCell ref="O3325:P3325"/>
    <mergeCell ref="Q3325:R3325"/>
    <mergeCell ref="G3375:I3375"/>
    <mergeCell ref="G3376:I3376"/>
    <mergeCell ref="S3180:T3180"/>
    <mergeCell ref="U3180:V3180"/>
    <mergeCell ref="G3200:I3200"/>
    <mergeCell ref="G3201:I3201"/>
    <mergeCell ref="G3202:I3202"/>
    <mergeCell ref="G3203:I3203"/>
    <mergeCell ref="I3180:J3180"/>
    <mergeCell ref="M3151:N3151"/>
    <mergeCell ref="O3151:P3151"/>
    <mergeCell ref="Q3151:R3151"/>
    <mergeCell ref="S3151:T3151"/>
    <mergeCell ref="U3151:V3151"/>
    <mergeCell ref="G3373:I3373"/>
    <mergeCell ref="G3171:I3171"/>
    <mergeCell ref="G3172:I3172"/>
    <mergeCell ref="G3173:I3173"/>
    <mergeCell ref="G3174:I3174"/>
    <mergeCell ref="Q3240:R3240"/>
    <mergeCell ref="S3240:T3240"/>
    <mergeCell ref="S3210:T3210"/>
    <mergeCell ref="U3210:V3210"/>
    <mergeCell ref="G3230:I3230"/>
    <mergeCell ref="G3231:I3231"/>
    <mergeCell ref="K3268:L3268"/>
    <mergeCell ref="M3268:N3268"/>
    <mergeCell ref="O3268:P3268"/>
    <mergeCell ref="Q3268:R3268"/>
    <mergeCell ref="G3232:I3232"/>
    <mergeCell ref="G3233:I3233"/>
    <mergeCell ref="S3353:T3353"/>
    <mergeCell ref="G3138:I3138"/>
    <mergeCell ref="G3139:I3139"/>
    <mergeCell ref="G3140:I3140"/>
    <mergeCell ref="G3141:I3141"/>
    <mergeCell ref="I3151:J3151"/>
    <mergeCell ref="K3151:L3151"/>
    <mergeCell ref="S3088:T3088"/>
    <mergeCell ref="U3088:V3088"/>
    <mergeCell ref="I3118:J3118"/>
    <mergeCell ref="K3118:L3118"/>
    <mergeCell ref="M3118:N3118"/>
    <mergeCell ref="O3118:P3118"/>
    <mergeCell ref="Q3118:R3118"/>
    <mergeCell ref="S3118:T3118"/>
    <mergeCell ref="U3118:V3118"/>
    <mergeCell ref="G3109:I3109"/>
    <mergeCell ref="G3110:I3110"/>
    <mergeCell ref="G3111:I3111"/>
    <mergeCell ref="S3060:T3060"/>
    <mergeCell ref="U3060:V3060"/>
    <mergeCell ref="G3080:I3080"/>
    <mergeCell ref="G3081:I3081"/>
    <mergeCell ref="G3082:I3082"/>
    <mergeCell ref="G3083:I3083"/>
    <mergeCell ref="I3088:J3088"/>
    <mergeCell ref="I3060:J3060"/>
    <mergeCell ref="K3060:L3060"/>
    <mergeCell ref="M3060:N3060"/>
    <mergeCell ref="O3060:P3060"/>
    <mergeCell ref="Q3060:R3060"/>
    <mergeCell ref="G3108:I3108"/>
    <mergeCell ref="K3088:L3088"/>
    <mergeCell ref="M3088:N3088"/>
    <mergeCell ref="O3088:P3088"/>
    <mergeCell ref="Q3088:R3088"/>
    <mergeCell ref="S3028:T3028"/>
    <mergeCell ref="U3028:V3028"/>
    <mergeCell ref="G3048:I3048"/>
    <mergeCell ref="G3049:I3049"/>
    <mergeCell ref="G3050:I3050"/>
    <mergeCell ref="G3051:I3051"/>
    <mergeCell ref="U2992:V2992"/>
    <mergeCell ref="G3012:I3012"/>
    <mergeCell ref="G3013:I3013"/>
    <mergeCell ref="G3014:I3014"/>
    <mergeCell ref="G3015:I3015"/>
    <mergeCell ref="I3028:J3028"/>
    <mergeCell ref="K3028:L3028"/>
    <mergeCell ref="M3028:N3028"/>
    <mergeCell ref="O3028:P3028"/>
    <mergeCell ref="Q3028:R3028"/>
    <mergeCell ref="I2992:J2992"/>
    <mergeCell ref="K2992:L2992"/>
    <mergeCell ref="M2992:N2992"/>
    <mergeCell ref="O2992:P2992"/>
    <mergeCell ref="Q2992:R2992"/>
    <mergeCell ref="S2992:T2992"/>
    <mergeCell ref="S2962:T2962"/>
    <mergeCell ref="U2962:V2962"/>
    <mergeCell ref="G2982:I2982"/>
    <mergeCell ref="G2983:I2983"/>
    <mergeCell ref="G2984:I2984"/>
    <mergeCell ref="G2985:I2985"/>
    <mergeCell ref="U2933:V2933"/>
    <mergeCell ref="G2953:I2953"/>
    <mergeCell ref="G2954:I2954"/>
    <mergeCell ref="G2955:I2955"/>
    <mergeCell ref="G2956:I2956"/>
    <mergeCell ref="I2962:J2962"/>
    <mergeCell ref="K2962:L2962"/>
    <mergeCell ref="M2962:N2962"/>
    <mergeCell ref="O2962:P2962"/>
    <mergeCell ref="Q2962:R2962"/>
    <mergeCell ref="I2933:J2933"/>
    <mergeCell ref="K2933:L2933"/>
    <mergeCell ref="M2933:N2933"/>
    <mergeCell ref="O2933:P2933"/>
    <mergeCell ref="Q2933:R2933"/>
    <mergeCell ref="S2933:T2933"/>
    <mergeCell ref="S2900:T2900"/>
    <mergeCell ref="U2900:V2900"/>
    <mergeCell ref="G2920:I2920"/>
    <mergeCell ref="G2921:I2921"/>
    <mergeCell ref="G2922:I2922"/>
    <mergeCell ref="G2923:I2923"/>
    <mergeCell ref="U2872:V2872"/>
    <mergeCell ref="G2892:I2892"/>
    <mergeCell ref="G2893:I2893"/>
    <mergeCell ref="G2894:I2894"/>
    <mergeCell ref="G2895:I2895"/>
    <mergeCell ref="I2900:J2900"/>
    <mergeCell ref="K2900:L2900"/>
    <mergeCell ref="M2900:N2900"/>
    <mergeCell ref="O2900:P2900"/>
    <mergeCell ref="Q2900:R2900"/>
    <mergeCell ref="I2872:J2872"/>
    <mergeCell ref="K2872:L2872"/>
    <mergeCell ref="M2872:N2872"/>
    <mergeCell ref="O2872:P2872"/>
    <mergeCell ref="Q2872:R2872"/>
    <mergeCell ref="S2872:T2872"/>
    <mergeCell ref="S2808:T2808"/>
    <mergeCell ref="U2808:V2808"/>
    <mergeCell ref="I2741:J2741"/>
    <mergeCell ref="K2741:L2741"/>
    <mergeCell ref="M2741:N2741"/>
    <mergeCell ref="O2741:P2741"/>
    <mergeCell ref="Q2741:R2741"/>
    <mergeCell ref="S2741:T2741"/>
    <mergeCell ref="U2741:V2741"/>
    <mergeCell ref="G2761:I2761"/>
    <mergeCell ref="M2705:N2705"/>
    <mergeCell ref="I2808:J2808"/>
    <mergeCell ref="K2808:L2808"/>
    <mergeCell ref="M2808:N2808"/>
    <mergeCell ref="O2808:P2808"/>
    <mergeCell ref="Q2808:R2808"/>
    <mergeCell ref="G2762:I2762"/>
    <mergeCell ref="G2727:I2727"/>
    <mergeCell ref="G2728:I2728"/>
    <mergeCell ref="G2763:I2763"/>
    <mergeCell ref="G2764:I2764"/>
    <mergeCell ref="I2774:J2774"/>
    <mergeCell ref="I2705:J2705"/>
    <mergeCell ref="K2705:L2705"/>
    <mergeCell ref="U2672:V2672"/>
    <mergeCell ref="G2692:I2692"/>
    <mergeCell ref="G2693:I2693"/>
    <mergeCell ref="O2309:P2309"/>
    <mergeCell ref="Q2309:R2309"/>
    <mergeCell ref="S2309:T2309"/>
    <mergeCell ref="U2309:V2309"/>
    <mergeCell ref="G2372:I2372"/>
    <mergeCell ref="G2373:I2373"/>
    <mergeCell ref="G2436:I2436"/>
    <mergeCell ref="G2437:I2437"/>
    <mergeCell ref="G2404:I2404"/>
    <mergeCell ref="G2405:I2405"/>
    <mergeCell ref="G2406:I2406"/>
    <mergeCell ref="G2407:I2407"/>
    <mergeCell ref="Q2452:R2452"/>
    <mergeCell ref="S2452:T2452"/>
    <mergeCell ref="U2452:V2452"/>
    <mergeCell ref="I2416:J2416"/>
    <mergeCell ref="K1802:L1802"/>
    <mergeCell ref="M1802:N1802"/>
    <mergeCell ref="O1802:P1802"/>
    <mergeCell ref="Q1802:R1802"/>
    <mergeCell ref="S1931:T1931"/>
    <mergeCell ref="U1931:V1931"/>
    <mergeCell ref="G2631:I2631"/>
    <mergeCell ref="G2632:I2632"/>
    <mergeCell ref="G2600:I2600"/>
    <mergeCell ref="G2601:I2601"/>
    <mergeCell ref="I2609:J2609"/>
    <mergeCell ref="K2609:L2609"/>
    <mergeCell ref="S2578:T2578"/>
    <mergeCell ref="U2578:V2578"/>
    <mergeCell ref="G2598:I2598"/>
    <mergeCell ref="G2599:I2599"/>
    <mergeCell ref="G2629:I2629"/>
    <mergeCell ref="G2630:I2630"/>
    <mergeCell ref="M2609:N2609"/>
    <mergeCell ref="M1862:N1862"/>
    <mergeCell ref="O1862:P1862"/>
    <mergeCell ref="G1748:I1748"/>
    <mergeCell ref="U1831:V1831"/>
    <mergeCell ref="G1851:I1851"/>
    <mergeCell ref="G1852:I1852"/>
    <mergeCell ref="G2330:I2330"/>
    <mergeCell ref="G2331:I2331"/>
    <mergeCell ref="G2332:I2332"/>
    <mergeCell ref="W2277:X2277"/>
    <mergeCell ref="G2297:I2297"/>
    <mergeCell ref="G2298:I2298"/>
    <mergeCell ref="G2299:I2299"/>
    <mergeCell ref="I2309:J2309"/>
    <mergeCell ref="I2277:J2277"/>
    <mergeCell ref="K2277:L2277"/>
    <mergeCell ref="M2277:N2277"/>
    <mergeCell ref="O2277:P2277"/>
    <mergeCell ref="Q2277:R2277"/>
    <mergeCell ref="S2277:T2277"/>
    <mergeCell ref="S1802:T1802"/>
    <mergeCell ref="U1802:V1802"/>
    <mergeCell ref="G1822:I1822"/>
    <mergeCell ref="G1823:I1823"/>
    <mergeCell ref="G2268:I2268"/>
    <mergeCell ref="G2269:I2269"/>
    <mergeCell ref="S1901:T1901"/>
    <mergeCell ref="U1901:V1901"/>
    <mergeCell ref="G1921:I1921"/>
    <mergeCell ref="G1922:I1922"/>
    <mergeCell ref="G1824:I1824"/>
    <mergeCell ref="I1802:J1802"/>
    <mergeCell ref="Q1693:R1693"/>
    <mergeCell ref="G1681:I1681"/>
    <mergeCell ref="G1682:I1682"/>
    <mergeCell ref="G1683:I1683"/>
    <mergeCell ref="S1760:T1760"/>
    <mergeCell ref="U1760:V1760"/>
    <mergeCell ref="G1780:I1780"/>
    <mergeCell ref="Q1726:R1726"/>
    <mergeCell ref="S1726:T1726"/>
    <mergeCell ref="U1726:V1726"/>
    <mergeCell ref="G1781:I1781"/>
    <mergeCell ref="G1923:I1923"/>
    <mergeCell ref="I1901:J1901"/>
    <mergeCell ref="K1901:L1901"/>
    <mergeCell ref="M1901:N1901"/>
    <mergeCell ref="O1901:P1901"/>
    <mergeCell ref="Q1901:R1901"/>
    <mergeCell ref="Q1862:R1862"/>
    <mergeCell ref="S1862:T1862"/>
    <mergeCell ref="U1862:V1862"/>
    <mergeCell ref="G1882:I1882"/>
    <mergeCell ref="G1884:I1884"/>
    <mergeCell ref="G1853:I1853"/>
    <mergeCell ref="G1746:I1746"/>
    <mergeCell ref="G1782:I1782"/>
    <mergeCell ref="I1760:J1760"/>
    <mergeCell ref="K1760:L1760"/>
    <mergeCell ref="M1760:N1760"/>
    <mergeCell ref="O1760:P1760"/>
    <mergeCell ref="Q1760:R1760"/>
    <mergeCell ref="I1862:J1862"/>
    <mergeCell ref="K1862:L1862"/>
    <mergeCell ref="S1693:T1693"/>
    <mergeCell ref="U1693:V1693"/>
    <mergeCell ref="G1713:I1713"/>
    <mergeCell ref="G1714:I1714"/>
    <mergeCell ref="G1747:I1747"/>
    <mergeCell ref="G1612:I1612"/>
    <mergeCell ref="K1558:L1558"/>
    <mergeCell ref="M1558:N1558"/>
    <mergeCell ref="O1558:P1558"/>
    <mergeCell ref="Q1558:R1558"/>
    <mergeCell ref="I1592:J1592"/>
    <mergeCell ref="K1592:L1592"/>
    <mergeCell ref="M1592:N1592"/>
    <mergeCell ref="O1592:P1592"/>
    <mergeCell ref="Q1592:R1592"/>
    <mergeCell ref="S1592:T1592"/>
    <mergeCell ref="U1558:V1558"/>
    <mergeCell ref="K1661:L1661"/>
    <mergeCell ref="M1661:N1661"/>
    <mergeCell ref="O1661:P1661"/>
    <mergeCell ref="Q1661:R1661"/>
    <mergeCell ref="G1578:I1578"/>
    <mergeCell ref="G1579:I1579"/>
    <mergeCell ref="I1726:J1726"/>
    <mergeCell ref="K1726:L1726"/>
    <mergeCell ref="M1726:N1726"/>
    <mergeCell ref="O1726:P1726"/>
    <mergeCell ref="G1715:I1715"/>
    <mergeCell ref="I1693:J1693"/>
    <mergeCell ref="K1693:L1693"/>
    <mergeCell ref="M1693:N1693"/>
    <mergeCell ref="O1693:P1693"/>
    <mergeCell ref="S1454:T1454"/>
    <mergeCell ref="U1454:V1454"/>
    <mergeCell ref="G1474:I1474"/>
    <mergeCell ref="I1420:J1420"/>
    <mergeCell ref="K1420:L1420"/>
    <mergeCell ref="M1420:N1420"/>
    <mergeCell ref="G1580:I1580"/>
    <mergeCell ref="G1581:I1581"/>
    <mergeCell ref="G1648:I1648"/>
    <mergeCell ref="G1649:I1649"/>
    <mergeCell ref="G1650:I1650"/>
    <mergeCell ref="G1651:I1651"/>
    <mergeCell ref="I1661:J1661"/>
    <mergeCell ref="G1540:I1540"/>
    <mergeCell ref="G1541:I1541"/>
    <mergeCell ref="G1542:I1542"/>
    <mergeCell ref="I1558:J1558"/>
    <mergeCell ref="G1475:I1475"/>
    <mergeCell ref="G1476:I1476"/>
    <mergeCell ref="G1477:I1477"/>
    <mergeCell ref="I1490:J1490"/>
    <mergeCell ref="K1490:L1490"/>
    <mergeCell ref="M1490:N1490"/>
    <mergeCell ref="U1628:V1628"/>
    <mergeCell ref="S1661:T1661"/>
    <mergeCell ref="U1661:V1661"/>
    <mergeCell ref="G1613:I1613"/>
    <mergeCell ref="G1614:I1614"/>
    <mergeCell ref="G1615:I1615"/>
    <mergeCell ref="I1628:J1628"/>
    <mergeCell ref="K1628:L1628"/>
    <mergeCell ref="M1628:N1628"/>
    <mergeCell ref="G1372:I1372"/>
    <mergeCell ref="I1382:J1382"/>
    <mergeCell ref="K1382:L1382"/>
    <mergeCell ref="M1382:N1382"/>
    <mergeCell ref="O1382:P1382"/>
    <mergeCell ref="Q1382:R1382"/>
    <mergeCell ref="S1558:T1558"/>
    <mergeCell ref="O1628:P1628"/>
    <mergeCell ref="Q1628:R1628"/>
    <mergeCell ref="S1628:T1628"/>
    <mergeCell ref="U1349:V1349"/>
    <mergeCell ref="G1440:I1440"/>
    <mergeCell ref="G1441:I1441"/>
    <mergeCell ref="G1442:I1442"/>
    <mergeCell ref="G1443:I1443"/>
    <mergeCell ref="I1454:J1454"/>
    <mergeCell ref="K1454:L1454"/>
    <mergeCell ref="M1454:N1454"/>
    <mergeCell ref="O1454:P1454"/>
    <mergeCell ref="G1513:I1513"/>
    <mergeCell ref="I1519:J1519"/>
    <mergeCell ref="K1519:L1519"/>
    <mergeCell ref="M1519:N1519"/>
    <mergeCell ref="O1519:P1519"/>
    <mergeCell ref="Q1519:R1519"/>
    <mergeCell ref="U1420:V1420"/>
    <mergeCell ref="S1490:T1490"/>
    <mergeCell ref="U1592:V1592"/>
    <mergeCell ref="G1510:I1510"/>
    <mergeCell ref="G1511:I1511"/>
    <mergeCell ref="G1512:I1512"/>
    <mergeCell ref="Q1454:R1454"/>
    <mergeCell ref="U1064:V1064"/>
    <mergeCell ref="G1083:I1083"/>
    <mergeCell ref="I1028:J1028"/>
    <mergeCell ref="K1028:L1028"/>
    <mergeCell ref="M1028:N1028"/>
    <mergeCell ref="O1028:P1028"/>
    <mergeCell ref="Q1028:R1028"/>
    <mergeCell ref="U1200:V1200"/>
    <mergeCell ref="G1219:I1219"/>
    <mergeCell ref="U1098:V1098"/>
    <mergeCell ref="G1049:I1049"/>
    <mergeCell ref="I1064:J1064"/>
    <mergeCell ref="K1064:L1064"/>
    <mergeCell ref="M1064:N1064"/>
    <mergeCell ref="O1064:P1064"/>
    <mergeCell ref="Q1064:R1064"/>
    <mergeCell ref="S1064:T1064"/>
    <mergeCell ref="U1028:V1028"/>
    <mergeCell ref="G1048:I1048"/>
    <mergeCell ref="G1117:I1117"/>
    <mergeCell ref="G1118:I1118"/>
    <mergeCell ref="G1119:I1119"/>
    <mergeCell ref="G1120:I1120"/>
    <mergeCell ref="I1135:J1135"/>
    <mergeCell ref="I1200:J1200"/>
    <mergeCell ref="K1200:L1200"/>
    <mergeCell ref="M1200:N1200"/>
    <mergeCell ref="O1200:P1200"/>
    <mergeCell ref="Q1200:R1200"/>
    <mergeCell ref="S1200:T1200"/>
    <mergeCell ref="K1135:L1135"/>
    <mergeCell ref="M1135:N1135"/>
    <mergeCell ref="O1135:P1135"/>
    <mergeCell ref="Q1135:R1135"/>
    <mergeCell ref="U1306:V1306"/>
    <mergeCell ref="I1349:J1349"/>
    <mergeCell ref="K1349:L1349"/>
    <mergeCell ref="M1349:N1349"/>
    <mergeCell ref="O1349:P1349"/>
    <mergeCell ref="Q1349:R1349"/>
    <mergeCell ref="S1349:T1349"/>
    <mergeCell ref="O1306:P1306"/>
    <mergeCell ref="Q1306:R1306"/>
    <mergeCell ref="Q994:R994"/>
    <mergeCell ref="G1015:I1015"/>
    <mergeCell ref="I959:J959"/>
    <mergeCell ref="K959:L959"/>
    <mergeCell ref="M959:N959"/>
    <mergeCell ref="O959:P959"/>
    <mergeCell ref="Q959:R959"/>
    <mergeCell ref="S1098:T1098"/>
    <mergeCell ref="I1170:J1170"/>
    <mergeCell ref="K1170:L1170"/>
    <mergeCell ref="M1170:N1170"/>
    <mergeCell ref="O1170:P1170"/>
    <mergeCell ref="Q1170:R1170"/>
    <mergeCell ref="S1170:T1170"/>
    <mergeCell ref="G1189:I1189"/>
    <mergeCell ref="G1190:I1190"/>
    <mergeCell ref="S994:T994"/>
    <mergeCell ref="G1013:I1013"/>
    <mergeCell ref="G1014:I1014"/>
    <mergeCell ref="U1170:V1170"/>
    <mergeCell ref="S1028:T1028"/>
    <mergeCell ref="O929:P929"/>
    <mergeCell ref="Q929:R929"/>
    <mergeCell ref="S929:T929"/>
    <mergeCell ref="G948:I948"/>
    <mergeCell ref="G949:I949"/>
    <mergeCell ref="G950:I950"/>
    <mergeCell ref="G914:I914"/>
    <mergeCell ref="G915:I915"/>
    <mergeCell ref="G916:I916"/>
    <mergeCell ref="I929:J929"/>
    <mergeCell ref="K929:L929"/>
    <mergeCell ref="M929:N929"/>
    <mergeCell ref="I895:J895"/>
    <mergeCell ref="K895:L895"/>
    <mergeCell ref="M895:N895"/>
    <mergeCell ref="O895:P895"/>
    <mergeCell ref="Q895:R895"/>
    <mergeCell ref="S895:T895"/>
    <mergeCell ref="Q1098:R1098"/>
    <mergeCell ref="S1135:T1135"/>
    <mergeCell ref="U1135:V1135"/>
    <mergeCell ref="S959:T959"/>
    <mergeCell ref="G978:I978"/>
    <mergeCell ref="G979:I979"/>
    <mergeCell ref="G980:I980"/>
    <mergeCell ref="U994:V994"/>
    <mergeCell ref="I994:J994"/>
    <mergeCell ref="K994:L994"/>
    <mergeCell ref="M994:N994"/>
    <mergeCell ref="O994:P994"/>
    <mergeCell ref="S862:T862"/>
    <mergeCell ref="G881:I881"/>
    <mergeCell ref="G882:I882"/>
    <mergeCell ref="G883:I883"/>
    <mergeCell ref="G840:I840"/>
    <mergeCell ref="G841:I841"/>
    <mergeCell ref="G842:I842"/>
    <mergeCell ref="I862:J862"/>
    <mergeCell ref="K862:L862"/>
    <mergeCell ref="M862:N862"/>
    <mergeCell ref="S788:T788"/>
    <mergeCell ref="G807:I807"/>
    <mergeCell ref="G808:I808"/>
    <mergeCell ref="G809:I809"/>
    <mergeCell ref="I821:J821"/>
    <mergeCell ref="K821:L821"/>
    <mergeCell ref="M821:N821"/>
    <mergeCell ref="O821:P821"/>
    <mergeCell ref="Q821:R821"/>
    <mergeCell ref="S821:T821"/>
    <mergeCell ref="S746:T746"/>
    <mergeCell ref="G734:I734"/>
    <mergeCell ref="G735:I735"/>
    <mergeCell ref="G736:I736"/>
    <mergeCell ref="I746:J746"/>
    <mergeCell ref="K746:L746"/>
    <mergeCell ref="M746:N746"/>
    <mergeCell ref="O746:P746"/>
    <mergeCell ref="G451:I451"/>
    <mergeCell ref="I469:J469"/>
    <mergeCell ref="K469:L469"/>
    <mergeCell ref="G388:I388"/>
    <mergeCell ref="I401:J401"/>
    <mergeCell ref="Q687:R687"/>
    <mergeCell ref="G706:I706"/>
    <mergeCell ref="G707:I707"/>
    <mergeCell ref="G708:I708"/>
    <mergeCell ref="I715:J715"/>
    <mergeCell ref="I530:J530"/>
    <mergeCell ref="K530:L530"/>
    <mergeCell ref="M530:N530"/>
    <mergeCell ref="O530:P530"/>
    <mergeCell ref="Q530:R530"/>
    <mergeCell ref="K401:L401"/>
    <mergeCell ref="G488:I488"/>
    <mergeCell ref="M469:N469"/>
    <mergeCell ref="O469:P469"/>
    <mergeCell ref="Q469:R469"/>
    <mergeCell ref="G486:I486"/>
    <mergeCell ref="G487:I487"/>
    <mergeCell ref="O590:P590"/>
    <mergeCell ref="Q590:R590"/>
    <mergeCell ref="G418:I418"/>
    <mergeCell ref="G386:I386"/>
    <mergeCell ref="G387:I387"/>
    <mergeCell ref="Q401:R401"/>
    <mergeCell ref="G449:I449"/>
    <mergeCell ref="G450:I450"/>
    <mergeCell ref="G302:I302"/>
    <mergeCell ref="G273:I273"/>
    <mergeCell ref="I288:J288"/>
    <mergeCell ref="K288:L288"/>
    <mergeCell ref="M288:N288"/>
    <mergeCell ref="Q342:R342"/>
    <mergeCell ref="Q314:R314"/>
    <mergeCell ref="G356:I356"/>
    <mergeCell ref="G357:I357"/>
    <mergeCell ref="G358:I358"/>
    <mergeCell ref="I371:J371"/>
    <mergeCell ref="K371:L371"/>
    <mergeCell ref="M371:N371"/>
    <mergeCell ref="O371:P371"/>
    <mergeCell ref="Q371:R371"/>
    <mergeCell ref="K715:L715"/>
    <mergeCell ref="M715:N715"/>
    <mergeCell ref="O715:P715"/>
    <mergeCell ref="Q715:R715"/>
    <mergeCell ref="G330:I330"/>
    <mergeCell ref="I314:J314"/>
    <mergeCell ref="K314:L314"/>
    <mergeCell ref="M314:N314"/>
    <mergeCell ref="O314:P314"/>
    <mergeCell ref="I687:J687"/>
    <mergeCell ref="K687:L687"/>
    <mergeCell ref="M687:N687"/>
    <mergeCell ref="O687:P687"/>
    <mergeCell ref="Q499:R499"/>
    <mergeCell ref="G516:I516"/>
    <mergeCell ref="G517:I517"/>
    <mergeCell ref="G518:I518"/>
    <mergeCell ref="M259:N259"/>
    <mergeCell ref="O259:P259"/>
    <mergeCell ref="Q259:R259"/>
    <mergeCell ref="I218:J218"/>
    <mergeCell ref="K218:L218"/>
    <mergeCell ref="I238:J238"/>
    <mergeCell ref="K238:L238"/>
    <mergeCell ref="M238:N238"/>
    <mergeCell ref="O238:P238"/>
    <mergeCell ref="M218:N218"/>
    <mergeCell ref="O218:P218"/>
    <mergeCell ref="Q218:R218"/>
    <mergeCell ref="G271:I271"/>
    <mergeCell ref="G272:I272"/>
    <mergeCell ref="Q288:R288"/>
    <mergeCell ref="G300:I300"/>
    <mergeCell ref="G301:I301"/>
    <mergeCell ref="O288:P288"/>
    <mergeCell ref="K172:L172"/>
    <mergeCell ref="M172:N172"/>
    <mergeCell ref="O195:P195"/>
    <mergeCell ref="G328:I328"/>
    <mergeCell ref="G329:I329"/>
    <mergeCell ref="Q195:R195"/>
    <mergeCell ref="O172:P172"/>
    <mergeCell ref="Q172:R172"/>
    <mergeCell ref="K195:L195"/>
    <mergeCell ref="M195:N195"/>
    <mergeCell ref="G90:I90"/>
    <mergeCell ref="G91:I91"/>
    <mergeCell ref="G98:I98"/>
    <mergeCell ref="G145:I145"/>
    <mergeCell ref="G100:I100"/>
    <mergeCell ref="O152:R152"/>
    <mergeCell ref="G146:I146"/>
    <mergeCell ref="G147:I147"/>
    <mergeCell ref="G120:I120"/>
    <mergeCell ref="G121:I121"/>
    <mergeCell ref="G164:I164"/>
    <mergeCell ref="G165:I165"/>
    <mergeCell ref="G166:I166"/>
    <mergeCell ref="O153:P153"/>
    <mergeCell ref="Q153:R153"/>
    <mergeCell ref="Q238:R238"/>
    <mergeCell ref="G250:I250"/>
    <mergeCell ref="G251:I251"/>
    <mergeCell ref="G252:I252"/>
    <mergeCell ref="I259:J259"/>
    <mergeCell ref="K259:L259"/>
    <mergeCell ref="G548:I548"/>
    <mergeCell ref="G549:I549"/>
    <mergeCell ref="I499:J499"/>
    <mergeCell ref="K499:L499"/>
    <mergeCell ref="M499:N499"/>
    <mergeCell ref="O499:P499"/>
    <mergeCell ref="G86:I86"/>
    <mergeCell ref="G87:I87"/>
    <mergeCell ref="G88:I88"/>
    <mergeCell ref="G89:I89"/>
    <mergeCell ref="G99:I99"/>
    <mergeCell ref="I195:J195"/>
    <mergeCell ref="G27:I27"/>
    <mergeCell ref="G28:I28"/>
    <mergeCell ref="G36:I36"/>
    <mergeCell ref="G52:I52"/>
    <mergeCell ref="G75:I75"/>
    <mergeCell ref="G184:I184"/>
    <mergeCell ref="G185:I185"/>
    <mergeCell ref="G186:I186"/>
    <mergeCell ref="I172:J172"/>
    <mergeCell ref="M342:N342"/>
    <mergeCell ref="O342:P342"/>
    <mergeCell ref="G207:I207"/>
    <mergeCell ref="G208:I208"/>
    <mergeCell ref="G209:I209"/>
    <mergeCell ref="G230:I230"/>
    <mergeCell ref="G231:I231"/>
    <mergeCell ref="G232:I232"/>
    <mergeCell ref="I342:J342"/>
    <mergeCell ref="K342:L342"/>
    <mergeCell ref="G122:I122"/>
    <mergeCell ref="M401:N401"/>
    <mergeCell ref="O401:P401"/>
    <mergeCell ref="K619:L619"/>
    <mergeCell ref="M619:N619"/>
    <mergeCell ref="O619:P619"/>
    <mergeCell ref="Q619:R619"/>
    <mergeCell ref="G638:I638"/>
    <mergeCell ref="I558:J558"/>
    <mergeCell ref="K558:L558"/>
    <mergeCell ref="M558:N558"/>
    <mergeCell ref="O558:P558"/>
    <mergeCell ref="Q558:R558"/>
    <mergeCell ref="G671:I671"/>
    <mergeCell ref="G672:I672"/>
    <mergeCell ref="G609:I609"/>
    <mergeCell ref="G610:I610"/>
    <mergeCell ref="G611:I611"/>
    <mergeCell ref="I619:J619"/>
    <mergeCell ref="G419:I419"/>
    <mergeCell ref="G420:I420"/>
    <mergeCell ref="I432:J432"/>
    <mergeCell ref="K432:L432"/>
    <mergeCell ref="M432:N432"/>
    <mergeCell ref="O432:P432"/>
    <mergeCell ref="Q432:R432"/>
    <mergeCell ref="G577:I577"/>
    <mergeCell ref="G578:I578"/>
    <mergeCell ref="G579:I579"/>
    <mergeCell ref="I590:J590"/>
    <mergeCell ref="K590:L590"/>
    <mergeCell ref="M590:N590"/>
    <mergeCell ref="G547:I547"/>
    <mergeCell ref="G673:I673"/>
    <mergeCell ref="G639:I639"/>
    <mergeCell ref="G640:I640"/>
    <mergeCell ref="I652:J652"/>
    <mergeCell ref="K652:L652"/>
    <mergeCell ref="M652:N652"/>
    <mergeCell ref="O652:P652"/>
    <mergeCell ref="Q652:R652"/>
    <mergeCell ref="G1084:I1084"/>
    <mergeCell ref="G1085:I1085"/>
    <mergeCell ref="I1098:J1098"/>
    <mergeCell ref="K1098:L1098"/>
    <mergeCell ref="M1098:N1098"/>
    <mergeCell ref="O1098:P1098"/>
    <mergeCell ref="G1047:I1047"/>
    <mergeCell ref="G1191:I1191"/>
    <mergeCell ref="G1192:I1192"/>
    <mergeCell ref="G1154:I1154"/>
    <mergeCell ref="G1155:I1155"/>
    <mergeCell ref="G1156:I1156"/>
    <mergeCell ref="G1157:I1157"/>
    <mergeCell ref="Q746:R746"/>
    <mergeCell ref="G765:I765"/>
    <mergeCell ref="I788:J788"/>
    <mergeCell ref="K788:L788"/>
    <mergeCell ref="M788:N788"/>
    <mergeCell ref="O788:P788"/>
    <mergeCell ref="Q788:R788"/>
    <mergeCell ref="G766:I766"/>
    <mergeCell ref="G767:I767"/>
    <mergeCell ref="O862:P862"/>
    <mergeCell ref="Q862:R862"/>
    <mergeCell ref="S1232:T1232"/>
    <mergeCell ref="U1232:V1232"/>
    <mergeCell ref="G1251:I1251"/>
    <mergeCell ref="G1252:I1252"/>
    <mergeCell ref="I1831:J1831"/>
    <mergeCell ref="K1831:L1831"/>
    <mergeCell ref="M1831:N1831"/>
    <mergeCell ref="O1831:P1831"/>
    <mergeCell ref="Q1831:R1831"/>
    <mergeCell ref="S1831:T1831"/>
    <mergeCell ref="G1253:I1253"/>
    <mergeCell ref="G1254:I1254"/>
    <mergeCell ref="Q1269:R1269"/>
    <mergeCell ref="G1326:I1326"/>
    <mergeCell ref="G1327:I1327"/>
    <mergeCell ref="G1328:I1328"/>
    <mergeCell ref="G1329:I1329"/>
    <mergeCell ref="S1269:T1269"/>
    <mergeCell ref="U1269:V1269"/>
    <mergeCell ref="S1306:T1306"/>
    <mergeCell ref="S1382:T1382"/>
    <mergeCell ref="U1382:V1382"/>
    <mergeCell ref="U1490:V1490"/>
    <mergeCell ref="O1420:P1420"/>
    <mergeCell ref="Q1420:R1420"/>
    <mergeCell ref="S1420:T1420"/>
    <mergeCell ref="O1490:P1490"/>
    <mergeCell ref="G1539:I1539"/>
    <mergeCell ref="G1403:I1403"/>
    <mergeCell ref="G1404:I1404"/>
    <mergeCell ref="G1405:I1405"/>
    <mergeCell ref="Q1490:R1490"/>
    <mergeCell ref="G1951:I1951"/>
    <mergeCell ref="G1952:I1952"/>
    <mergeCell ref="G1220:I1220"/>
    <mergeCell ref="G1221:I1221"/>
    <mergeCell ref="G1222:I1222"/>
    <mergeCell ref="I1232:J1232"/>
    <mergeCell ref="K1232:L1232"/>
    <mergeCell ref="G1883:I1883"/>
    <mergeCell ref="G1988:I1988"/>
    <mergeCell ref="I1931:J1931"/>
    <mergeCell ref="K1931:L1931"/>
    <mergeCell ref="M1931:N1931"/>
    <mergeCell ref="O1931:P1931"/>
    <mergeCell ref="Q1931:R1931"/>
    <mergeCell ref="I1269:J1269"/>
    <mergeCell ref="K1269:L1269"/>
    <mergeCell ref="M1269:N1269"/>
    <mergeCell ref="O1269:P1269"/>
    <mergeCell ref="G1289:I1289"/>
    <mergeCell ref="G1290:I1290"/>
    <mergeCell ref="G1291:I1291"/>
    <mergeCell ref="G1292:I1292"/>
    <mergeCell ref="I1306:J1306"/>
    <mergeCell ref="K1306:L1306"/>
    <mergeCell ref="M1306:N1306"/>
    <mergeCell ref="G1402:I1402"/>
    <mergeCell ref="M1232:N1232"/>
    <mergeCell ref="O1232:P1232"/>
    <mergeCell ref="Q1232:R1232"/>
    <mergeCell ref="G1369:I1369"/>
    <mergeCell ref="G1370:I1370"/>
    <mergeCell ref="G1371:I1371"/>
    <mergeCell ref="G2095:I2095"/>
    <mergeCell ref="I2112:J2112"/>
    <mergeCell ref="K2112:L2112"/>
    <mergeCell ref="M2112:N2112"/>
    <mergeCell ref="U2112:V2112"/>
    <mergeCell ref="S2006:T2006"/>
    <mergeCell ref="U2006:V2006"/>
    <mergeCell ref="G1953:I1953"/>
    <mergeCell ref="I1968:J1968"/>
    <mergeCell ref="K1968:L1968"/>
    <mergeCell ref="M1968:N1968"/>
    <mergeCell ref="O1968:P1968"/>
    <mergeCell ref="Q1968:R1968"/>
    <mergeCell ref="S1968:T1968"/>
    <mergeCell ref="U1968:V1968"/>
    <mergeCell ref="O2039:P2039"/>
    <mergeCell ref="Q2039:R2039"/>
    <mergeCell ref="S2039:T2039"/>
    <mergeCell ref="G1989:I1989"/>
    <mergeCell ref="G1990:I1990"/>
    <mergeCell ref="I2006:J2006"/>
    <mergeCell ref="K2006:L2006"/>
    <mergeCell ref="M2006:N2006"/>
    <mergeCell ref="O2006:P2006"/>
    <mergeCell ref="Q2006:R2006"/>
    <mergeCell ref="W2143:X2143"/>
    <mergeCell ref="I2180:J2180"/>
    <mergeCell ref="K2180:L2180"/>
    <mergeCell ref="M2180:N2180"/>
    <mergeCell ref="O2180:P2180"/>
    <mergeCell ref="Q2180:R2180"/>
    <mergeCell ref="S2180:T2180"/>
    <mergeCell ref="U2180:V2180"/>
    <mergeCell ref="W2180:X2180"/>
    <mergeCell ref="U2143:V2143"/>
    <mergeCell ref="O2073:P2073"/>
    <mergeCell ref="Q2073:R2073"/>
    <mergeCell ref="S2073:T2073"/>
    <mergeCell ref="U2073:V2073"/>
    <mergeCell ref="G2026:I2026"/>
    <mergeCell ref="G2027:I2027"/>
    <mergeCell ref="G2028:I2028"/>
    <mergeCell ref="I2039:J2039"/>
    <mergeCell ref="K2039:L2039"/>
    <mergeCell ref="M2039:N2039"/>
    <mergeCell ref="O2112:P2112"/>
    <mergeCell ref="Q2112:R2112"/>
    <mergeCell ref="S2112:T2112"/>
    <mergeCell ref="U2039:V2039"/>
    <mergeCell ref="G2059:I2059"/>
    <mergeCell ref="G2060:I2060"/>
    <mergeCell ref="G2061:I2061"/>
    <mergeCell ref="I2073:J2073"/>
    <mergeCell ref="K2073:L2073"/>
    <mergeCell ref="M2073:N2073"/>
    <mergeCell ref="G2093:I2093"/>
    <mergeCell ref="G2094:I2094"/>
    <mergeCell ref="G2163:I2163"/>
    <mergeCell ref="G2164:I2164"/>
    <mergeCell ref="G2165:I2165"/>
    <mergeCell ref="I2247:J2247"/>
    <mergeCell ref="K2247:L2247"/>
    <mergeCell ref="M2247:N2247"/>
    <mergeCell ref="O2247:P2247"/>
    <mergeCell ref="Q2247:R2247"/>
    <mergeCell ref="S2247:T2247"/>
    <mergeCell ref="G2200:I2200"/>
    <mergeCell ref="G2201:I2201"/>
    <mergeCell ref="G2202:I2202"/>
    <mergeCell ref="I2218:J2218"/>
    <mergeCell ref="K2218:L2218"/>
    <mergeCell ref="M2218:N2218"/>
    <mergeCell ref="G2132:I2132"/>
    <mergeCell ref="G2133:I2133"/>
    <mergeCell ref="G2134:I2134"/>
    <mergeCell ref="I2143:J2143"/>
    <mergeCell ref="K2143:L2143"/>
    <mergeCell ref="M2143:N2143"/>
    <mergeCell ref="O2143:P2143"/>
    <mergeCell ref="Q2143:R2143"/>
    <mergeCell ref="S2143:T2143"/>
    <mergeCell ref="U2218:V2218"/>
    <mergeCell ref="W2218:X2218"/>
    <mergeCell ref="G2238:I2238"/>
    <mergeCell ref="G2239:I2239"/>
    <mergeCell ref="G2240:I2240"/>
    <mergeCell ref="O2218:P2218"/>
    <mergeCell ref="Q2218:R2218"/>
    <mergeCell ref="S2218:T2218"/>
    <mergeCell ref="Q2384:R2384"/>
    <mergeCell ref="S2384:T2384"/>
    <mergeCell ref="U2384:V2384"/>
    <mergeCell ref="I2352:J2352"/>
    <mergeCell ref="K2352:L2352"/>
    <mergeCell ref="M2352:N2352"/>
    <mergeCell ref="O2352:P2352"/>
    <mergeCell ref="Q2352:R2352"/>
    <mergeCell ref="S2352:T2352"/>
    <mergeCell ref="U2352:V2352"/>
    <mergeCell ref="G2374:I2374"/>
    <mergeCell ref="G2375:I2375"/>
    <mergeCell ref="I2384:J2384"/>
    <mergeCell ref="K2384:L2384"/>
    <mergeCell ref="M2384:N2384"/>
    <mergeCell ref="O2384:P2384"/>
    <mergeCell ref="U2247:V2247"/>
    <mergeCell ref="W2247:X2247"/>
    <mergeCell ref="G2267:I2267"/>
    <mergeCell ref="W2309:X2309"/>
    <mergeCell ref="K2309:L2309"/>
    <mergeCell ref="M2309:N2309"/>
    <mergeCell ref="U2277:V2277"/>
    <mergeCell ref="G2329:I2329"/>
    <mergeCell ref="K2416:L2416"/>
    <mergeCell ref="M2416:N2416"/>
    <mergeCell ref="O2416:P2416"/>
    <mergeCell ref="Q2416:R2416"/>
    <mergeCell ref="S2416:T2416"/>
    <mergeCell ref="U2416:V2416"/>
    <mergeCell ref="K2486:L2486"/>
    <mergeCell ref="M2486:N2486"/>
    <mergeCell ref="O2486:P2486"/>
    <mergeCell ref="Q2486:R2486"/>
    <mergeCell ref="G2438:I2438"/>
    <mergeCell ref="G2439:I2439"/>
    <mergeCell ref="I2452:J2452"/>
    <mergeCell ref="K2452:L2452"/>
    <mergeCell ref="M2452:N2452"/>
    <mergeCell ref="O2452:P2452"/>
    <mergeCell ref="M2519:N2519"/>
    <mergeCell ref="O2519:P2519"/>
    <mergeCell ref="Q2519:R2519"/>
    <mergeCell ref="S2519:T2519"/>
    <mergeCell ref="U2519:V2519"/>
    <mergeCell ref="G2472:I2472"/>
    <mergeCell ref="G2473:I2473"/>
    <mergeCell ref="G2474:I2474"/>
    <mergeCell ref="G2475:I2475"/>
    <mergeCell ref="I2486:J2486"/>
    <mergeCell ref="O2549:P2549"/>
    <mergeCell ref="Q2549:R2549"/>
    <mergeCell ref="S2486:T2486"/>
    <mergeCell ref="U2486:V2486"/>
    <mergeCell ref="G2506:I2506"/>
    <mergeCell ref="G2507:I2507"/>
    <mergeCell ref="G2508:I2508"/>
    <mergeCell ref="G2509:I2509"/>
    <mergeCell ref="I2519:J2519"/>
    <mergeCell ref="K2519:L2519"/>
    <mergeCell ref="G2539:I2539"/>
    <mergeCell ref="G2540:I2540"/>
    <mergeCell ref="G2541:I2541"/>
    <mergeCell ref="G2542:I2542"/>
    <mergeCell ref="I2549:J2549"/>
    <mergeCell ref="K2549:L2549"/>
    <mergeCell ref="S2549:T2549"/>
    <mergeCell ref="U2549:V2549"/>
    <mergeCell ref="G2569:I2569"/>
    <mergeCell ref="G2570:I2570"/>
    <mergeCell ref="G2571:I2571"/>
    <mergeCell ref="G2572:I2572"/>
    <mergeCell ref="M2549:N2549"/>
    <mergeCell ref="O2705:P2705"/>
    <mergeCell ref="Q2705:R2705"/>
    <mergeCell ref="S2705:T2705"/>
    <mergeCell ref="U2705:V2705"/>
    <mergeCell ref="I2672:J2672"/>
    <mergeCell ref="K2672:L2672"/>
    <mergeCell ref="M2672:N2672"/>
    <mergeCell ref="O2672:P2672"/>
    <mergeCell ref="Q2672:R2672"/>
    <mergeCell ref="S2672:T2672"/>
    <mergeCell ref="K2641:L2641"/>
    <mergeCell ref="M2641:N2641"/>
    <mergeCell ref="O2641:P2641"/>
    <mergeCell ref="Q2641:R2641"/>
    <mergeCell ref="S2641:T2641"/>
    <mergeCell ref="U2641:V2641"/>
    <mergeCell ref="O2609:P2609"/>
    <mergeCell ref="Q2609:R2609"/>
    <mergeCell ref="S2609:T2609"/>
    <mergeCell ref="U2609:V2609"/>
    <mergeCell ref="I2578:J2578"/>
    <mergeCell ref="K2578:L2578"/>
    <mergeCell ref="M2578:N2578"/>
    <mergeCell ref="O2578:P2578"/>
    <mergeCell ref="Q2578:R2578"/>
    <mergeCell ref="G2694:I2694"/>
    <mergeCell ref="G2695:I2695"/>
    <mergeCell ref="G2866:I2866"/>
    <mergeCell ref="G2867:I2867"/>
    <mergeCell ref="G2868:I2868"/>
    <mergeCell ref="G2663:I2663"/>
    <mergeCell ref="G2664:I2664"/>
    <mergeCell ref="I2641:J2641"/>
    <mergeCell ref="G2661:I2661"/>
    <mergeCell ref="G2662:I2662"/>
    <mergeCell ref="G2725:I2725"/>
    <mergeCell ref="G2726:I2726"/>
    <mergeCell ref="M2845:N2845"/>
    <mergeCell ref="O2845:P2845"/>
    <mergeCell ref="Q2845:R2845"/>
    <mergeCell ref="S2845:T2845"/>
    <mergeCell ref="U2845:V2845"/>
    <mergeCell ref="G2865:I2865"/>
    <mergeCell ref="G2828:I2828"/>
    <mergeCell ref="G2829:I2829"/>
    <mergeCell ref="G2830:I2830"/>
    <mergeCell ref="G2831:I2831"/>
    <mergeCell ref="I2845:J2845"/>
    <mergeCell ref="K2845:L2845"/>
    <mergeCell ref="K2774:L2774"/>
    <mergeCell ref="M2774:N2774"/>
    <mergeCell ref="O2774:P2774"/>
    <mergeCell ref="Q2774:R2774"/>
    <mergeCell ref="S2774:T2774"/>
    <mergeCell ref="U2774:V2774"/>
    <mergeCell ref="G2794:I2794"/>
    <mergeCell ref="G2795:I2795"/>
    <mergeCell ref="G2796:I2796"/>
    <mergeCell ref="G2797:I2797"/>
    <mergeCell ref="S3268:T3268"/>
    <mergeCell ref="U3268:V3268"/>
    <mergeCell ref="G3288:I3288"/>
    <mergeCell ref="G3289:I3289"/>
    <mergeCell ref="G3290:I3290"/>
    <mergeCell ref="G3291:I3291"/>
    <mergeCell ref="I3297:J3297"/>
    <mergeCell ref="K3297:L3297"/>
    <mergeCell ref="G3317:I3317"/>
    <mergeCell ref="G3318:I3318"/>
    <mergeCell ref="G3319:I3319"/>
    <mergeCell ref="G3320:I3320"/>
    <mergeCell ref="I3325:J3325"/>
    <mergeCell ref="K3325:L3325"/>
    <mergeCell ref="Q3411:R3411"/>
    <mergeCell ref="S3411:T3411"/>
    <mergeCell ref="U3411:V3411"/>
    <mergeCell ref="S3325:T3325"/>
    <mergeCell ref="U3325:V3325"/>
    <mergeCell ref="G3345:I3345"/>
    <mergeCell ref="G3346:I3346"/>
    <mergeCell ref="G3347:I3347"/>
    <mergeCell ref="G3348:I3348"/>
    <mergeCell ref="M3325:N3325"/>
    <mergeCell ref="G3404:I3404"/>
    <mergeCell ref="G3405:I3405"/>
    <mergeCell ref="I3411:J3411"/>
    <mergeCell ref="K3411:L3411"/>
    <mergeCell ref="M3411:N3411"/>
    <mergeCell ref="O3411:P3411"/>
    <mergeCell ref="G3374:I3374"/>
    <mergeCell ref="I3382:J3382"/>
    <mergeCell ref="K3382:L3382"/>
    <mergeCell ref="M3382:N3382"/>
    <mergeCell ref="O3382:P3382"/>
    <mergeCell ref="Q3382:R3382"/>
    <mergeCell ref="S3382:T3382"/>
    <mergeCell ref="U3382:V3382"/>
    <mergeCell ref="G3402:I3402"/>
    <mergeCell ref="G3403:I3403"/>
    <mergeCell ref="I3467:J3467"/>
    <mergeCell ref="K3467:L3467"/>
    <mergeCell ref="M3467:N3467"/>
    <mergeCell ref="O3467:P3467"/>
    <mergeCell ref="Q3467:R3467"/>
    <mergeCell ref="S3467:T3467"/>
    <mergeCell ref="S3439:T3439"/>
    <mergeCell ref="U3439:V3439"/>
    <mergeCell ref="G3459:I3459"/>
    <mergeCell ref="G3460:I3460"/>
    <mergeCell ref="G3461:I3461"/>
    <mergeCell ref="G3462:I3462"/>
    <mergeCell ref="U3527:V3527"/>
    <mergeCell ref="G3431:I3431"/>
    <mergeCell ref="G3432:I3432"/>
    <mergeCell ref="G3433:I3433"/>
    <mergeCell ref="G3434:I3434"/>
    <mergeCell ref="I3439:J3439"/>
    <mergeCell ref="K3439:L3439"/>
    <mergeCell ref="M3439:N3439"/>
    <mergeCell ref="O3439:P3439"/>
    <mergeCell ref="Q3439:R3439"/>
    <mergeCell ref="I3527:J3527"/>
    <mergeCell ref="K3527:L3527"/>
    <mergeCell ref="M3527:N3527"/>
    <mergeCell ref="O3527:P3527"/>
    <mergeCell ref="Q3527:R3527"/>
    <mergeCell ref="S3527:T3527"/>
    <mergeCell ref="K3496:L3496"/>
    <mergeCell ref="M3496:N3496"/>
    <mergeCell ref="O3496:P3496"/>
    <mergeCell ref="Q3496:R3496"/>
    <mergeCell ref="S3496:T3496"/>
    <mergeCell ref="U3496:V3496"/>
    <mergeCell ref="U3467:V3467"/>
    <mergeCell ref="G3580:I3580"/>
    <mergeCell ref="G3487:I3487"/>
    <mergeCell ref="G3488:I3488"/>
    <mergeCell ref="G3489:I3489"/>
    <mergeCell ref="G3490:I3490"/>
    <mergeCell ref="I3496:J3496"/>
    <mergeCell ref="G3516:I3516"/>
    <mergeCell ref="G3517:I3517"/>
    <mergeCell ref="G3518:I3518"/>
    <mergeCell ref="G3519:I3519"/>
    <mergeCell ref="Q3557:R3557"/>
    <mergeCell ref="S3557:T3557"/>
    <mergeCell ref="U3557:V3557"/>
    <mergeCell ref="G3577:I3577"/>
    <mergeCell ref="G3578:I3578"/>
    <mergeCell ref="G3579:I3579"/>
    <mergeCell ref="S3742:T3742"/>
    <mergeCell ref="U3742:V3742"/>
    <mergeCell ref="G3547:I3547"/>
    <mergeCell ref="G3548:I3548"/>
    <mergeCell ref="G3549:I3549"/>
    <mergeCell ref="G3550:I3550"/>
    <mergeCell ref="I3557:J3557"/>
    <mergeCell ref="K3557:L3557"/>
    <mergeCell ref="M3557:N3557"/>
    <mergeCell ref="O3557:P3557"/>
    <mergeCell ref="U3710:V3710"/>
    <mergeCell ref="G3734:I3734"/>
    <mergeCell ref="G3735:I3735"/>
    <mergeCell ref="G3736:I3736"/>
    <mergeCell ref="G3737:I3737"/>
    <mergeCell ref="I3742:J3742"/>
    <mergeCell ref="G3800:I3800"/>
    <mergeCell ref="G3801:I3801"/>
    <mergeCell ref="I3811:J3811"/>
    <mergeCell ref="K3811:L3811"/>
    <mergeCell ref="M3811:N3811"/>
    <mergeCell ref="M3774:N3774"/>
    <mergeCell ref="O3774:P3774"/>
    <mergeCell ref="Q3774:R3774"/>
    <mergeCell ref="S3774:T3774"/>
    <mergeCell ref="U3774:V3774"/>
    <mergeCell ref="G3798:I3798"/>
    <mergeCell ref="G3766:I3766"/>
    <mergeCell ref="G3767:I3767"/>
    <mergeCell ref="G3768:I3768"/>
    <mergeCell ref="G3769:I3769"/>
    <mergeCell ref="I3774:J3774"/>
    <mergeCell ref="K3774:L3774"/>
    <mergeCell ref="O3876:P3876"/>
    <mergeCell ref="Q3876:R3876"/>
    <mergeCell ref="S3876:T3876"/>
    <mergeCell ref="U3876:V3876"/>
    <mergeCell ref="I3910:J3910"/>
    <mergeCell ref="K3910:L3910"/>
    <mergeCell ref="M3910:N3910"/>
    <mergeCell ref="O3910:P3910"/>
    <mergeCell ref="Q3910:R3910"/>
    <mergeCell ref="G3868:I3868"/>
    <mergeCell ref="G3869:I3869"/>
    <mergeCell ref="G3870:I3870"/>
    <mergeCell ref="G3871:I3871"/>
    <mergeCell ref="I3876:J3876"/>
    <mergeCell ref="K3876:L3876"/>
    <mergeCell ref="K3844:L3844"/>
    <mergeCell ref="M3844:N3844"/>
    <mergeCell ref="O3844:P3844"/>
    <mergeCell ref="Q3844:R3844"/>
    <mergeCell ref="S3844:T3844"/>
    <mergeCell ref="U3844:V3844"/>
    <mergeCell ref="G3900:I3900"/>
    <mergeCell ref="G3901:I3901"/>
    <mergeCell ref="G3902:I3902"/>
    <mergeCell ref="G3903:I3903"/>
    <mergeCell ref="S3910:T3910"/>
    <mergeCell ref="U3910:V3910"/>
    <mergeCell ref="G3835:I3835"/>
    <mergeCell ref="G3836:I3836"/>
    <mergeCell ref="G3837:I3837"/>
    <mergeCell ref="G3838:I3838"/>
    <mergeCell ref="I3844:J3844"/>
    <mergeCell ref="G4174:I4174"/>
    <mergeCell ref="G4175:I4175"/>
    <mergeCell ref="G4176:I4176"/>
    <mergeCell ref="I4183:J4183"/>
    <mergeCell ref="K4183:L4183"/>
    <mergeCell ref="M4183:N4183"/>
    <mergeCell ref="G4103:I4103"/>
    <mergeCell ref="G4104:I4104"/>
    <mergeCell ref="G4105:I4105"/>
    <mergeCell ref="G4106:I4106"/>
    <mergeCell ref="I4046:J4046"/>
    <mergeCell ref="G4173:I4173"/>
    <mergeCell ref="G4138:I4138"/>
    <mergeCell ref="G4139:I4139"/>
    <mergeCell ref="G4140:I4140"/>
    <mergeCell ref="G4141:I4141"/>
    <mergeCell ref="M4079:N4079"/>
    <mergeCell ref="G4070:I4070"/>
    <mergeCell ref="G4071:I4071"/>
    <mergeCell ref="G4072:I4072"/>
    <mergeCell ref="G4073:I4073"/>
    <mergeCell ref="I4079:J4079"/>
    <mergeCell ref="K4079:L4079"/>
    <mergeCell ref="K4046:L4046"/>
    <mergeCell ref="M4046:N4046"/>
    <mergeCell ref="M3876:N3876"/>
    <mergeCell ref="G3934:I3934"/>
    <mergeCell ref="O4046:P4046"/>
    <mergeCell ref="Q4046:R4046"/>
    <mergeCell ref="S4046:T4046"/>
    <mergeCell ref="U4046:V4046"/>
    <mergeCell ref="Q4215:R4215"/>
    <mergeCell ref="S4215:T4215"/>
    <mergeCell ref="U4215:V4215"/>
    <mergeCell ref="G4239:I4239"/>
    <mergeCell ref="G4240:I4240"/>
    <mergeCell ref="G4241:I4241"/>
    <mergeCell ref="G4309:I4309"/>
    <mergeCell ref="G4310:I4310"/>
    <mergeCell ref="I4215:J4215"/>
    <mergeCell ref="K4215:L4215"/>
    <mergeCell ref="M4215:N4215"/>
    <mergeCell ref="O4215:P4215"/>
    <mergeCell ref="G4242:I4242"/>
    <mergeCell ref="I4249:J4249"/>
    <mergeCell ref="K4249:L4249"/>
    <mergeCell ref="M4249:N4249"/>
    <mergeCell ref="O4283:P4283"/>
    <mergeCell ref="Q4283:R4283"/>
    <mergeCell ref="S4283:T4283"/>
    <mergeCell ref="U4283:V4283"/>
    <mergeCell ref="G4307:I4307"/>
    <mergeCell ref="G4308:I4308"/>
    <mergeCell ref="G4273:I4273"/>
    <mergeCell ref="G4274:I4274"/>
    <mergeCell ref="G4275:I4275"/>
    <mergeCell ref="G4276:I4276"/>
    <mergeCell ref="I4283:J4283"/>
    <mergeCell ref="K4283:L4283"/>
    <mergeCell ref="M4381:N4381"/>
    <mergeCell ref="O4381:P4381"/>
    <mergeCell ref="Q4381:R4381"/>
    <mergeCell ref="I4414:J4414"/>
    <mergeCell ref="K4414:L4414"/>
    <mergeCell ref="M4414:N4414"/>
    <mergeCell ref="O4414:P4414"/>
    <mergeCell ref="Q4446:R4446"/>
    <mergeCell ref="S4446:T4446"/>
    <mergeCell ref="U4446:V4446"/>
    <mergeCell ref="G4470:I4470"/>
    <mergeCell ref="G4471:I4471"/>
    <mergeCell ref="G4472:I4472"/>
    <mergeCell ref="S4544:T4544"/>
    <mergeCell ref="U4544:V4544"/>
    <mergeCell ref="G4438:I4438"/>
    <mergeCell ref="G4439:I4439"/>
    <mergeCell ref="G4440:I4440"/>
    <mergeCell ref="G4441:I4441"/>
    <mergeCell ref="I4446:J4446"/>
    <mergeCell ref="K4446:L4446"/>
    <mergeCell ref="M4446:N4446"/>
    <mergeCell ref="O4446:P4446"/>
    <mergeCell ref="U4511:V4511"/>
    <mergeCell ref="G4535:I4535"/>
    <mergeCell ref="G4536:I4536"/>
    <mergeCell ref="G4537:I4537"/>
    <mergeCell ref="G4538:I4538"/>
    <mergeCell ref="I4544:J4544"/>
    <mergeCell ref="K4544:L4544"/>
    <mergeCell ref="M4544:N4544"/>
    <mergeCell ref="O4544:P4544"/>
    <mergeCell ref="Q4544:R4544"/>
    <mergeCell ref="I4511:J4511"/>
    <mergeCell ref="K4511:L4511"/>
    <mergeCell ref="M4511:N4511"/>
    <mergeCell ref="O4511:P4511"/>
    <mergeCell ref="Q4511:R4511"/>
    <mergeCell ref="S4511:T4511"/>
    <mergeCell ref="G5243:I5243"/>
    <mergeCell ref="G5244:I5244"/>
    <mergeCell ref="I5250:J5250"/>
    <mergeCell ref="K5250:L5250"/>
    <mergeCell ref="M5250:N5250"/>
    <mergeCell ref="G4568:I4568"/>
    <mergeCell ref="G4569:I4569"/>
    <mergeCell ref="G4570:I4570"/>
    <mergeCell ref="G4571:I4571"/>
    <mergeCell ref="G4762:I4762"/>
    <mergeCell ref="M5210:N5210"/>
    <mergeCell ref="O5210:P5210"/>
    <mergeCell ref="Q5210:R5210"/>
    <mergeCell ref="S5210:T5210"/>
    <mergeCell ref="G5241:I5241"/>
    <mergeCell ref="G5242:I5242"/>
    <mergeCell ref="S5102:T5102"/>
    <mergeCell ref="G5200:I5200"/>
    <mergeCell ref="G5201:I5201"/>
    <mergeCell ref="G5202:I5202"/>
    <mergeCell ref="I5210:J5210"/>
    <mergeCell ref="K5210:L5210"/>
    <mergeCell ref="I5066:J5066"/>
    <mergeCell ref="I5102:J5102"/>
    <mergeCell ref="K5102:L5102"/>
    <mergeCell ref="S5443:T5443"/>
    <mergeCell ref="S5480:T5480"/>
    <mergeCell ref="I5330:J5330"/>
    <mergeCell ref="S5556:T5556"/>
    <mergeCell ref="U5556:V5556"/>
    <mergeCell ref="G5587:I5587"/>
    <mergeCell ref="G5588:I5588"/>
    <mergeCell ref="G5589:I5589"/>
    <mergeCell ref="G5590:I5590"/>
    <mergeCell ref="U5632:V5632"/>
    <mergeCell ref="G5663:I5663"/>
    <mergeCell ref="G5664:I5664"/>
    <mergeCell ref="G5665:I5665"/>
    <mergeCell ref="G5666:I5666"/>
    <mergeCell ref="I5556:J5556"/>
    <mergeCell ref="K5556:L5556"/>
    <mergeCell ref="M5556:N5556"/>
    <mergeCell ref="O5556:P5556"/>
    <mergeCell ref="Q5556:R5556"/>
    <mergeCell ref="I5632:J5632"/>
    <mergeCell ref="K5632:L5632"/>
    <mergeCell ref="M5632:N5632"/>
    <mergeCell ref="O5632:P5632"/>
    <mergeCell ref="Q5632:R5632"/>
    <mergeCell ref="S5632:T5632"/>
    <mergeCell ref="Q5518:R5518"/>
    <mergeCell ref="S5518:T5518"/>
    <mergeCell ref="G5549:I5549"/>
    <mergeCell ref="G5624:I5624"/>
    <mergeCell ref="G5625:I5625"/>
    <mergeCell ref="G5626:I5626"/>
    <mergeCell ref="G5627:I5627"/>
    <mergeCell ref="U5832:V5832"/>
    <mergeCell ref="G5863:I5863"/>
    <mergeCell ref="G5824:I5824"/>
    <mergeCell ref="G5825:I5825"/>
    <mergeCell ref="G5826:I5826"/>
    <mergeCell ref="G5827:I5827"/>
    <mergeCell ref="I5832:J5832"/>
    <mergeCell ref="K5832:L5832"/>
    <mergeCell ref="M5793:N5793"/>
    <mergeCell ref="O5793:P5793"/>
    <mergeCell ref="Q5793:R5793"/>
    <mergeCell ref="S5793:T5793"/>
    <mergeCell ref="M5593:N5593"/>
    <mergeCell ref="O5593:P5593"/>
    <mergeCell ref="Q5593:R5593"/>
    <mergeCell ref="G5784:I5784"/>
    <mergeCell ref="G5785:I5785"/>
    <mergeCell ref="G5786:I5786"/>
    <mergeCell ref="G5787:I5787"/>
    <mergeCell ref="I5793:J5793"/>
    <mergeCell ref="K5793:L5793"/>
    <mergeCell ref="S6021:T6021"/>
    <mergeCell ref="U6021:V6021"/>
    <mergeCell ref="G5866:I5866"/>
    <mergeCell ref="I5753:J5753"/>
    <mergeCell ref="K5753:L5753"/>
    <mergeCell ref="M5753:N5753"/>
    <mergeCell ref="O5753:P5753"/>
    <mergeCell ref="Q5753:R5753"/>
    <mergeCell ref="S5753:T5753"/>
    <mergeCell ref="U5753:V5753"/>
    <mergeCell ref="U5986:V5986"/>
    <mergeCell ref="G6014:I6014"/>
    <mergeCell ref="G6015:I6015"/>
    <mergeCell ref="G6016:I6016"/>
    <mergeCell ref="G6017:I6017"/>
    <mergeCell ref="I6021:J6021"/>
    <mergeCell ref="K6021:L6021"/>
    <mergeCell ref="M6021:N6021"/>
    <mergeCell ref="O6021:P6021"/>
    <mergeCell ref="Q6021:R6021"/>
    <mergeCell ref="I5986:J5986"/>
    <mergeCell ref="K5986:L5986"/>
    <mergeCell ref="M5986:N5986"/>
    <mergeCell ref="O5986:P5986"/>
    <mergeCell ref="Q5986:R5986"/>
    <mergeCell ref="S5986:T5986"/>
    <mergeCell ref="S5907:T5907"/>
    <mergeCell ref="U5907:V5907"/>
    <mergeCell ref="M5832:N5832"/>
    <mergeCell ref="O5832:P5832"/>
    <mergeCell ref="Q5832:R5832"/>
    <mergeCell ref="S5832:T5832"/>
    <mergeCell ref="G6049:I6049"/>
    <mergeCell ref="G6050:I6050"/>
    <mergeCell ref="G6051:I6051"/>
    <mergeCell ref="G6052:I6052"/>
    <mergeCell ref="S6125:T6125"/>
    <mergeCell ref="U6125:V6125"/>
    <mergeCell ref="G6189:I6189"/>
    <mergeCell ref="G6190:I6190"/>
    <mergeCell ref="G6191:I6191"/>
    <mergeCell ref="I6195:J6195"/>
    <mergeCell ref="K6195:L6195"/>
    <mergeCell ref="M6195:N6195"/>
    <mergeCell ref="M6160:N6160"/>
    <mergeCell ref="O6160:P6160"/>
    <mergeCell ref="Q6160:R6160"/>
    <mergeCell ref="S6160:T6160"/>
    <mergeCell ref="U6160:V6160"/>
    <mergeCell ref="G6188:I6188"/>
    <mergeCell ref="K6091:L6091"/>
    <mergeCell ref="M6091:N6091"/>
    <mergeCell ref="O6091:P6091"/>
    <mergeCell ref="Q6091:R6091"/>
    <mergeCell ref="S6091:T6091"/>
    <mergeCell ref="I6160:J6160"/>
    <mergeCell ref="K6160:L6160"/>
    <mergeCell ref="M6057:N6057"/>
    <mergeCell ref="O6057:P6057"/>
    <mergeCell ref="Q6057:R6057"/>
    <mergeCell ref="S6057:T6057"/>
    <mergeCell ref="U6057:V6057"/>
    <mergeCell ref="G6085:I6085"/>
    <mergeCell ref="G6153:I6153"/>
    <mergeCell ref="G6407:I6407"/>
    <mergeCell ref="I6412:J6412"/>
    <mergeCell ref="K6412:L6412"/>
    <mergeCell ref="M6412:N6412"/>
    <mergeCell ref="O6412:P6412"/>
    <mergeCell ref="Q6412:R6412"/>
    <mergeCell ref="I6376:J6376"/>
    <mergeCell ref="K6376:L6376"/>
    <mergeCell ref="M6376:N6376"/>
    <mergeCell ref="O6376:P6376"/>
    <mergeCell ref="Q6376:R6376"/>
    <mergeCell ref="S6376:T6376"/>
    <mergeCell ref="O6195:P6195"/>
    <mergeCell ref="Q6195:R6195"/>
    <mergeCell ref="S6195:T6195"/>
    <mergeCell ref="U6195:V6195"/>
    <mergeCell ref="S6230:T6230"/>
    <mergeCell ref="U6230:V6230"/>
    <mergeCell ref="G6258:I6258"/>
    <mergeCell ref="G6259:I6259"/>
    <mergeCell ref="G6260:I6260"/>
    <mergeCell ref="G6261:I6261"/>
    <mergeCell ref="I6230:J6230"/>
    <mergeCell ref="K6230:L6230"/>
    <mergeCell ref="M6230:N6230"/>
    <mergeCell ref="O6230:P6230"/>
    <mergeCell ref="Q6230:R6230"/>
    <mergeCell ref="I6338:J6338"/>
    <mergeCell ref="K6338:L6338"/>
    <mergeCell ref="M6302:N6302"/>
    <mergeCell ref="O6302:P6302"/>
    <mergeCell ref="Q6302:R6302"/>
    <mergeCell ref="U6830:V6830"/>
    <mergeCell ref="G6670:I6670"/>
    <mergeCell ref="M6519:N6519"/>
    <mergeCell ref="O6519:P6519"/>
    <mergeCell ref="Q6519:R6519"/>
    <mergeCell ref="S6519:T6519"/>
    <mergeCell ref="U6519:V6519"/>
    <mergeCell ref="G6547:I6547"/>
    <mergeCell ref="G6632:I6632"/>
    <mergeCell ref="G6633:I6633"/>
    <mergeCell ref="G6634:I6634"/>
    <mergeCell ref="G6635:I6635"/>
    <mergeCell ref="I6519:J6519"/>
    <mergeCell ref="K6519:L6519"/>
    <mergeCell ref="G6548:I6548"/>
    <mergeCell ref="G6549:I6549"/>
    <mergeCell ref="G6550:I6550"/>
    <mergeCell ref="I6555:J6555"/>
    <mergeCell ref="G6597:I6597"/>
    <mergeCell ref="G6598:I6598"/>
    <mergeCell ref="I6605:J6605"/>
    <mergeCell ref="K6605:L6605"/>
    <mergeCell ref="M6605:N6605"/>
    <mergeCell ref="O6605:P6605"/>
    <mergeCell ref="Q6605:R6605"/>
    <mergeCell ref="S6605:T6605"/>
    <mergeCell ref="U6605:V6605"/>
    <mergeCell ref="O6640:P6640"/>
    <mergeCell ref="Q6640:R6640"/>
    <mergeCell ref="S6640:T6640"/>
    <mergeCell ref="U6640:V6640"/>
    <mergeCell ref="U6555:V6555"/>
    <mergeCell ref="S6678:T6678"/>
    <mergeCell ref="U6678:V6678"/>
    <mergeCell ref="G6705:I6705"/>
    <mergeCell ref="G6706:I6706"/>
    <mergeCell ref="G6707:I6707"/>
    <mergeCell ref="G6708:I6708"/>
    <mergeCell ref="I6754:J6754"/>
    <mergeCell ref="K6754:L6754"/>
    <mergeCell ref="M6754:N6754"/>
    <mergeCell ref="O6754:P6754"/>
    <mergeCell ref="Q6754:R6754"/>
    <mergeCell ref="I6678:J6678"/>
    <mergeCell ref="K6678:L6678"/>
    <mergeCell ref="M6678:N6678"/>
    <mergeCell ref="O6678:P6678"/>
    <mergeCell ref="Q6678:R6678"/>
    <mergeCell ref="U6717:V6717"/>
    <mergeCell ref="I6717:J6717"/>
    <mergeCell ref="K6717:L6717"/>
    <mergeCell ref="M6717:N6717"/>
    <mergeCell ref="O6717:P6717"/>
    <mergeCell ref="Q6717:R6717"/>
    <mergeCell ref="S6717:T6717"/>
    <mergeCell ref="G6819:I6819"/>
    <mergeCell ref="G6820:I6820"/>
    <mergeCell ref="G6744:I6744"/>
    <mergeCell ref="G6745:I6745"/>
    <mergeCell ref="G6746:I6746"/>
    <mergeCell ref="G6747:I6747"/>
    <mergeCell ref="U6792:V6792"/>
    <mergeCell ref="I6904:J6904"/>
    <mergeCell ref="K6904:L6904"/>
    <mergeCell ref="M6904:N6904"/>
    <mergeCell ref="O6904:P6904"/>
    <mergeCell ref="Q6904:R6904"/>
    <mergeCell ref="S6904:T6904"/>
    <mergeCell ref="U6904:V6904"/>
    <mergeCell ref="G6821:I6821"/>
    <mergeCell ref="G6822:I6822"/>
    <mergeCell ref="I6792:J6792"/>
    <mergeCell ref="K6792:L6792"/>
    <mergeCell ref="M6792:N6792"/>
    <mergeCell ref="O6792:P6792"/>
    <mergeCell ref="Q6792:R6792"/>
    <mergeCell ref="S6792:T6792"/>
    <mergeCell ref="S6754:T6754"/>
    <mergeCell ref="U6754:V6754"/>
    <mergeCell ref="G6781:I6781"/>
    <mergeCell ref="G6782:I6782"/>
    <mergeCell ref="G6783:I6783"/>
    <mergeCell ref="G6784:I6784"/>
    <mergeCell ref="M6830:N6830"/>
    <mergeCell ref="O6830:P6830"/>
    <mergeCell ref="Q6830:R6830"/>
    <mergeCell ref="S6830:T6830"/>
    <mergeCell ref="G7221:I7221"/>
    <mergeCell ref="G7222:I7222"/>
    <mergeCell ref="G7110:I7110"/>
    <mergeCell ref="G7111:I7111"/>
    <mergeCell ref="G7112:I7112"/>
    <mergeCell ref="G7113:I7113"/>
    <mergeCell ref="I7047:J7047"/>
    <mergeCell ref="K7047:L7047"/>
    <mergeCell ref="M7047:N7047"/>
    <mergeCell ref="O7047:P7047"/>
    <mergeCell ref="Q7047:R7047"/>
    <mergeCell ref="S7047:T7047"/>
    <mergeCell ref="U7047:V7047"/>
    <mergeCell ref="G7074:I7074"/>
    <mergeCell ref="G7075:I7075"/>
    <mergeCell ref="G7076:I7076"/>
    <mergeCell ref="G7077:I7077"/>
    <mergeCell ref="I7083:J7083"/>
    <mergeCell ref="K7083:L7083"/>
    <mergeCell ref="M7083:N7083"/>
    <mergeCell ref="O7083:P7083"/>
    <mergeCell ref="Q7083:R7083"/>
    <mergeCell ref="S7083:T7083"/>
    <mergeCell ref="U7083:V7083"/>
    <mergeCell ref="G7400:I7400"/>
    <mergeCell ref="G7401:I7401"/>
    <mergeCell ref="G7402:I7402"/>
    <mergeCell ref="G7403:I7403"/>
    <mergeCell ref="I7338:J7338"/>
    <mergeCell ref="K7338:L7338"/>
    <mergeCell ref="M7338:N7338"/>
    <mergeCell ref="O7338:P7338"/>
    <mergeCell ref="Q7338:R7338"/>
    <mergeCell ref="S7338:T7338"/>
    <mergeCell ref="U7338:V7338"/>
    <mergeCell ref="G7365:I7365"/>
    <mergeCell ref="G7366:I7366"/>
    <mergeCell ref="G7367:I7367"/>
    <mergeCell ref="G7368:I7368"/>
    <mergeCell ref="I7373:J7373"/>
    <mergeCell ref="K7373:L7373"/>
    <mergeCell ref="M7373:N7373"/>
    <mergeCell ref="O7373:P7373"/>
    <mergeCell ref="Q7373:R7373"/>
    <mergeCell ref="S7373:T7373"/>
    <mergeCell ref="U7373:V7373"/>
  </mergeCells>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P45"/>
  <sheetViews>
    <sheetView topLeftCell="A10" workbookViewId="0">
      <selection activeCell="E38" sqref="E38"/>
    </sheetView>
  </sheetViews>
  <sheetFormatPr defaultRowHeight="14.4"/>
  <cols>
    <col min="3" max="3" width="19.44140625" bestFit="1" customWidth="1"/>
    <col min="4" max="4" width="16.21875" bestFit="1" customWidth="1"/>
    <col min="5" max="5" width="26.5546875" bestFit="1" customWidth="1"/>
    <col min="6" max="6" width="16.109375" style="3" customWidth="1"/>
    <col min="7" max="7" width="26.5546875" bestFit="1" customWidth="1"/>
    <col min="8" max="8" width="18.33203125" customWidth="1"/>
    <col min="9" max="9" width="10.33203125" bestFit="1" customWidth="1"/>
    <col min="10" max="10" width="15.21875" bestFit="1" customWidth="1"/>
    <col min="14" max="14" width="10.6640625" bestFit="1" customWidth="1"/>
    <col min="16" max="16" width="10.6640625" bestFit="1" customWidth="1"/>
  </cols>
  <sheetData>
    <row r="4" spans="1:16">
      <c r="D4" s="3"/>
      <c r="E4" s="3"/>
      <c r="H4" s="3"/>
      <c r="N4" s="1465"/>
    </row>
    <row r="5" spans="1:16">
      <c r="D5" s="3"/>
      <c r="E5" s="3"/>
      <c r="H5" s="3"/>
      <c r="N5" s="1465"/>
    </row>
    <row r="6" spans="1:16">
      <c r="A6" s="1008">
        <v>46151</v>
      </c>
      <c r="B6" s="1169"/>
      <c r="C6" s="1575" t="s">
        <v>3510</v>
      </c>
      <c r="D6" s="1576"/>
      <c r="E6" s="1584" t="s">
        <v>3509</v>
      </c>
      <c r="F6" s="1585"/>
      <c r="G6" s="1575" t="s">
        <v>3541</v>
      </c>
      <c r="H6" s="1576"/>
      <c r="I6" s="1579" t="s">
        <v>3598</v>
      </c>
      <c r="J6" s="1580"/>
      <c r="K6" s="1579" t="s">
        <v>3599</v>
      </c>
      <c r="L6" s="1580"/>
      <c r="M6" s="1581" t="s">
        <v>3953</v>
      </c>
      <c r="N6" s="1582"/>
      <c r="O6" s="1581" t="s">
        <v>3954</v>
      </c>
      <c r="P6" s="1582"/>
    </row>
    <row r="7" spans="1:16">
      <c r="A7" s="1097"/>
      <c r="B7" s="1261"/>
      <c r="C7" s="1472" t="s">
        <v>5631</v>
      </c>
      <c r="D7" s="1081">
        <v>8000000</v>
      </c>
      <c r="E7" s="1472" t="s">
        <v>5634</v>
      </c>
      <c r="F7" s="1081">
        <v>300000</v>
      </c>
      <c r="G7" s="1472" t="s">
        <v>5630</v>
      </c>
      <c r="H7" s="1081">
        <v>4000000</v>
      </c>
      <c r="I7" s="1231"/>
      <c r="J7" s="644"/>
      <c r="K7" s="1279"/>
      <c r="L7" s="644"/>
      <c r="M7" s="1223"/>
      <c r="N7" s="1191">
        <v>1400</v>
      </c>
      <c r="O7" s="1232"/>
      <c r="P7" s="48"/>
    </row>
    <row r="8" spans="1:16">
      <c r="A8" s="1098"/>
      <c r="B8" s="1172"/>
      <c r="C8" s="1472" t="s">
        <v>5639</v>
      </c>
      <c r="D8" s="1081">
        <v>59840000</v>
      </c>
      <c r="E8" s="1472" t="s">
        <v>5637</v>
      </c>
      <c r="F8" s="1081">
        <v>1600000</v>
      </c>
      <c r="G8" s="1472" t="s">
        <v>5632</v>
      </c>
      <c r="H8" s="1081">
        <v>0</v>
      </c>
      <c r="I8" s="1472" t="s">
        <v>5632</v>
      </c>
      <c r="J8" s="1081">
        <v>39000000</v>
      </c>
      <c r="K8" s="1410"/>
      <c r="L8" s="1290"/>
      <c r="M8" s="1473" t="s">
        <v>5609</v>
      </c>
      <c r="N8" s="1191">
        <v>500</v>
      </c>
      <c r="O8" s="48"/>
      <c r="P8" s="49"/>
    </row>
    <row r="9" spans="1:16">
      <c r="A9" s="48"/>
      <c r="B9" s="48"/>
      <c r="C9" s="1472" t="s">
        <v>5640</v>
      </c>
      <c r="D9" s="1081">
        <v>39920000</v>
      </c>
      <c r="E9" s="1472" t="s">
        <v>5638</v>
      </c>
      <c r="F9" s="1081">
        <v>1570000</v>
      </c>
      <c r="G9" s="1472" t="s">
        <v>5633</v>
      </c>
      <c r="H9" s="1081">
        <f>3*1200000</f>
        <v>3600000</v>
      </c>
      <c r="I9" s="1415"/>
      <c r="J9" s="644"/>
      <c r="K9" s="1412"/>
      <c r="L9" s="644"/>
      <c r="M9" s="1476" t="s">
        <v>4440</v>
      </c>
      <c r="N9" s="1191">
        <v>1500</v>
      </c>
      <c r="O9" s="1449"/>
      <c r="P9" s="1191"/>
    </row>
    <row r="10" spans="1:16">
      <c r="A10" s="48"/>
      <c r="B10" s="48"/>
      <c r="C10" s="1472" t="s">
        <v>5645</v>
      </c>
      <c r="D10" s="1081">
        <v>125000000</v>
      </c>
      <c r="E10" s="1472" t="s">
        <v>5636</v>
      </c>
      <c r="F10" s="1081">
        <v>1300000</v>
      </c>
      <c r="G10" s="1472" t="s">
        <v>5635</v>
      </c>
      <c r="H10" s="49">
        <v>20000000</v>
      </c>
      <c r="I10" s="1383"/>
      <c r="J10" s="644"/>
      <c r="K10" s="1422"/>
      <c r="L10" s="644"/>
      <c r="M10" s="1459"/>
      <c r="N10" s="1466"/>
      <c r="O10" s="1475" t="s">
        <v>4788</v>
      </c>
      <c r="P10" s="1466">
        <v>1900</v>
      </c>
    </row>
    <row r="11" spans="1:16">
      <c r="A11" s="48"/>
      <c r="B11" s="48"/>
      <c r="C11" s="1472" t="s">
        <v>5646</v>
      </c>
      <c r="D11" s="1081">
        <f>8600*12100</f>
        <v>104060000</v>
      </c>
      <c r="E11" s="1472" t="s">
        <v>4565</v>
      </c>
      <c r="F11" s="1081">
        <v>2000000</v>
      </c>
      <c r="G11" s="1476" t="s">
        <v>5636</v>
      </c>
      <c r="H11" s="49">
        <v>141000000</v>
      </c>
      <c r="I11" s="1383"/>
      <c r="J11" s="644"/>
      <c r="K11" s="1422"/>
      <c r="L11" s="644"/>
      <c r="M11" s="1449"/>
      <c r="N11" s="1466"/>
      <c r="O11" s="1408"/>
      <c r="P11" s="49"/>
    </row>
    <row r="12" spans="1:16">
      <c r="A12" s="48"/>
      <c r="B12" s="48"/>
      <c r="C12" s="1472"/>
      <c r="D12" s="1081"/>
      <c r="E12" s="1472" t="s">
        <v>5642</v>
      </c>
      <c r="F12" s="1081">
        <v>1600000</v>
      </c>
      <c r="G12" s="1476" t="s">
        <v>5641</v>
      </c>
      <c r="H12" s="49">
        <v>77000000</v>
      </c>
      <c r="I12" s="1476" t="s">
        <v>5641</v>
      </c>
      <c r="J12" s="644">
        <v>50000000</v>
      </c>
      <c r="K12" s="1382"/>
      <c r="L12" s="644"/>
      <c r="M12" s="1449"/>
      <c r="N12" s="1466"/>
      <c r="O12" s="1416"/>
      <c r="P12" s="49"/>
    </row>
    <row r="13" spans="1:16">
      <c r="A13" s="48"/>
      <c r="B13" s="48"/>
      <c r="C13" s="1472"/>
      <c r="D13" s="1081"/>
      <c r="E13" s="1467" t="s">
        <v>5643</v>
      </c>
      <c r="F13" s="1081">
        <v>400000</v>
      </c>
      <c r="G13" s="1473" t="s">
        <v>5643</v>
      </c>
      <c r="H13" s="49">
        <v>24400000</v>
      </c>
      <c r="I13" s="1473" t="s">
        <v>5643</v>
      </c>
      <c r="J13" s="644">
        <v>3600000</v>
      </c>
      <c r="K13" s="1383"/>
      <c r="L13" s="644"/>
      <c r="M13" s="1451"/>
      <c r="N13" s="1466"/>
      <c r="O13" s="1438"/>
      <c r="P13" s="49"/>
    </row>
    <row r="14" spans="1:16">
      <c r="A14" s="48"/>
      <c r="B14" s="48"/>
      <c r="C14" s="1472"/>
      <c r="D14" s="1081"/>
      <c r="E14" s="1472" t="s">
        <v>5644</v>
      </c>
      <c r="F14" s="1081">
        <v>200000</v>
      </c>
      <c r="G14" s="1475" t="s">
        <v>5644</v>
      </c>
      <c r="H14" s="49">
        <v>34000000</v>
      </c>
      <c r="I14" s="1290"/>
      <c r="J14" s="644"/>
      <c r="K14" s="1385"/>
      <c r="L14" s="644"/>
      <c r="M14" s="48"/>
      <c r="N14" s="1466"/>
      <c r="O14" s="1416"/>
      <c r="P14" s="49"/>
    </row>
    <row r="15" spans="1:16">
      <c r="A15" s="48"/>
      <c r="B15" s="48"/>
      <c r="C15" s="1472"/>
      <c r="D15" s="1081"/>
      <c r="E15" s="1472" t="s">
        <v>5647</v>
      </c>
      <c r="F15" s="1081">
        <v>7600000</v>
      </c>
      <c r="G15" s="1475" t="s">
        <v>5647</v>
      </c>
      <c r="H15" s="49">
        <v>100000000</v>
      </c>
      <c r="I15" s="644"/>
      <c r="J15" s="644"/>
      <c r="K15" s="1383"/>
      <c r="L15" s="644"/>
      <c r="M15" s="48"/>
      <c r="N15" s="1466"/>
      <c r="O15" s="1408"/>
      <c r="P15" s="49"/>
    </row>
    <row r="16" spans="1:16">
      <c r="A16" s="48"/>
      <c r="B16" s="48"/>
      <c r="C16" s="1468"/>
      <c r="D16" s="1081"/>
      <c r="E16" s="1472" t="s">
        <v>5647</v>
      </c>
      <c r="F16" s="1081">
        <v>2000000</v>
      </c>
      <c r="G16" s="1475"/>
      <c r="H16" s="49"/>
      <c r="I16" s="644"/>
      <c r="J16" s="644"/>
      <c r="K16" s="1290"/>
      <c r="L16" s="644"/>
      <c r="M16" s="48"/>
      <c r="N16" s="1466"/>
      <c r="O16" s="1408"/>
      <c r="P16" s="49"/>
    </row>
    <row r="17" spans="1:16">
      <c r="A17" s="48"/>
      <c r="B17" s="48"/>
      <c r="C17" s="1474" t="s">
        <v>5651</v>
      </c>
      <c r="D17" s="1081">
        <v>121000000</v>
      </c>
      <c r="E17" s="1460" t="s">
        <v>5648</v>
      </c>
      <c r="F17" s="1081">
        <v>7000000</v>
      </c>
      <c r="G17" s="1475" t="s">
        <v>5648</v>
      </c>
      <c r="H17" s="49">
        <f>10300*12100</f>
        <v>124630000</v>
      </c>
      <c r="I17" s="644"/>
      <c r="J17" s="644"/>
      <c r="K17" s="1383"/>
      <c r="L17" s="644"/>
      <c r="M17" s="48"/>
      <c r="N17" s="1466"/>
      <c r="O17" s="48"/>
      <c r="P17" s="48"/>
    </row>
    <row r="18" spans="1:16">
      <c r="A18" s="48"/>
      <c r="B18" s="48"/>
      <c r="C18" s="1475" t="s">
        <v>5655</v>
      </c>
      <c r="D18" s="49">
        <f>10000*12000</f>
        <v>120000000</v>
      </c>
      <c r="E18" s="1475" t="s">
        <v>5649</v>
      </c>
      <c r="F18" s="1081">
        <f>4400000+1000000</f>
        <v>5400000</v>
      </c>
      <c r="G18" s="1475" t="s">
        <v>5649</v>
      </c>
      <c r="H18" s="49">
        <f>87000000-8080000-9320000-2400000</f>
        <v>67200000</v>
      </c>
      <c r="I18" s="644"/>
      <c r="J18" s="644"/>
      <c r="K18" s="1290"/>
      <c r="L18" s="644"/>
      <c r="M18" s="48"/>
      <c r="N18" s="1466"/>
      <c r="O18" s="48"/>
      <c r="P18" s="48"/>
    </row>
    <row r="19" spans="1:16">
      <c r="A19" s="48"/>
      <c r="B19" s="48"/>
      <c r="C19" s="1475" t="s">
        <v>5656</v>
      </c>
      <c r="D19" s="49">
        <v>12000000</v>
      </c>
      <c r="E19" s="1474" t="s">
        <v>5650</v>
      </c>
      <c r="F19" s="1081">
        <v>1000000</v>
      </c>
      <c r="G19" s="1475" t="s">
        <v>5652</v>
      </c>
      <c r="H19" s="49">
        <v>0</v>
      </c>
      <c r="I19" s="644"/>
      <c r="J19" s="644"/>
      <c r="K19" s="1290"/>
      <c r="L19" s="644"/>
      <c r="M19" s="48"/>
      <c r="N19" s="1466"/>
      <c r="O19" s="48"/>
      <c r="P19" s="48"/>
    </row>
    <row r="20" spans="1:16">
      <c r="A20" s="48"/>
      <c r="B20" s="48"/>
      <c r="C20" s="1475" t="s">
        <v>5659</v>
      </c>
      <c r="D20" s="49">
        <f>3000*12000</f>
        <v>36000000</v>
      </c>
      <c r="E20" s="1475" t="s">
        <v>5652</v>
      </c>
      <c r="F20" s="49">
        <v>4400000</v>
      </c>
      <c r="G20" s="1475" t="s">
        <v>5655</v>
      </c>
      <c r="H20" s="49">
        <f>10000*12000</f>
        <v>120000000</v>
      </c>
      <c r="I20" s="644"/>
      <c r="J20" s="644"/>
      <c r="K20" s="1290"/>
      <c r="L20" s="644"/>
      <c r="M20" s="48"/>
      <c r="N20" s="1466"/>
      <c r="O20" s="48"/>
      <c r="P20" s="48"/>
    </row>
    <row r="21" spans="1:16">
      <c r="A21" s="48"/>
      <c r="B21" s="48"/>
      <c r="C21" s="1475"/>
      <c r="D21" s="49"/>
      <c r="E21" s="1475" t="s">
        <v>5653</v>
      </c>
      <c r="F21" s="49">
        <v>2300000</v>
      </c>
      <c r="G21" s="1475" t="s">
        <v>5656</v>
      </c>
      <c r="H21" s="49">
        <v>12000000</v>
      </c>
      <c r="I21" s="644"/>
      <c r="J21" s="644"/>
      <c r="K21" s="1290"/>
      <c r="L21" s="644"/>
      <c r="M21" s="48"/>
      <c r="N21" s="1466"/>
      <c r="O21" s="48"/>
      <c r="P21" s="48"/>
    </row>
    <row r="22" spans="1:16">
      <c r="A22" s="48"/>
      <c r="B22" s="48"/>
      <c r="C22" s="1475"/>
      <c r="D22" s="49"/>
      <c r="E22" s="1475" t="s">
        <v>5654</v>
      </c>
      <c r="F22" s="49">
        <v>1000000</v>
      </c>
      <c r="G22" s="48"/>
      <c r="H22" s="49"/>
      <c r="I22" s="644"/>
      <c r="J22" s="644"/>
      <c r="K22" s="1290"/>
      <c r="L22" s="644"/>
      <c r="M22" s="48"/>
      <c r="N22" s="1466"/>
      <c r="O22" s="48"/>
      <c r="P22" s="48"/>
    </row>
    <row r="23" spans="1:16">
      <c r="A23" s="48"/>
      <c r="B23" s="48"/>
      <c r="C23" s="1475"/>
      <c r="D23" s="49"/>
      <c r="E23" s="1475" t="s">
        <v>5655</v>
      </c>
      <c r="F23" s="49">
        <v>11000000</v>
      </c>
      <c r="G23" s="48"/>
      <c r="H23" s="49"/>
      <c r="I23" s="644"/>
      <c r="J23" s="644"/>
      <c r="K23" s="1290"/>
      <c r="L23" s="644"/>
      <c r="M23" s="48"/>
      <c r="N23" s="1466"/>
      <c r="O23" s="48"/>
      <c r="P23" s="48"/>
    </row>
    <row r="24" spans="1:16">
      <c r="A24" s="48"/>
      <c r="B24" s="48"/>
      <c r="C24" s="1475"/>
      <c r="D24" s="49"/>
      <c r="E24" s="48"/>
      <c r="F24" s="49"/>
      <c r="G24" s="48"/>
      <c r="H24" s="49"/>
      <c r="I24" s="644"/>
      <c r="J24" s="644"/>
      <c r="K24" s="1290"/>
      <c r="L24" s="644"/>
      <c r="M24" s="48"/>
      <c r="N24" s="1466"/>
      <c r="O24" s="48"/>
      <c r="P24" s="48"/>
    </row>
    <row r="25" spans="1:16">
      <c r="A25" s="48"/>
      <c r="B25" s="48"/>
      <c r="C25" s="48"/>
      <c r="D25" s="49"/>
      <c r="E25" s="48"/>
      <c r="F25" s="49"/>
      <c r="G25" s="48"/>
      <c r="H25" s="49"/>
      <c r="I25" s="644"/>
      <c r="J25" s="644"/>
      <c r="K25" s="1290"/>
      <c r="L25" s="644"/>
      <c r="M25" s="48"/>
      <c r="N25" s="1466"/>
      <c r="O25" s="48"/>
      <c r="P25" s="48"/>
    </row>
    <row r="26" spans="1:16">
      <c r="A26" s="48"/>
      <c r="B26" s="48"/>
      <c r="C26" s="48"/>
      <c r="D26" s="954">
        <f>SUM(D7:D25)</f>
        <v>625820000</v>
      </c>
      <c r="E26" s="954"/>
      <c r="F26" s="954">
        <f>SUM(F7:F25)</f>
        <v>50670000</v>
      </c>
      <c r="G26" s="48"/>
      <c r="H26" s="954">
        <f>SUM(H7:H25)</f>
        <v>727830000</v>
      </c>
      <c r="I26" s="644"/>
      <c r="J26" s="969">
        <f>SUM(J7:J14)</f>
        <v>92600000</v>
      </c>
      <c r="K26" s="969"/>
      <c r="L26" s="969">
        <f>SUM(L7:L25)</f>
        <v>0</v>
      </c>
      <c r="M26" s="48"/>
      <c r="N26" s="1178">
        <f>SUM(N7:N25)</f>
        <v>3400</v>
      </c>
      <c r="O26" s="48"/>
      <c r="P26" s="878">
        <f>SUM(P7:P25)</f>
        <v>1900</v>
      </c>
    </row>
    <row r="27" spans="1:16">
      <c r="D27" s="3"/>
      <c r="E27" s="3"/>
      <c r="H27" s="3"/>
      <c r="N27" s="1465"/>
    </row>
    <row r="28" spans="1:16">
      <c r="D28" s="3"/>
      <c r="E28" s="3"/>
      <c r="H28" s="3"/>
      <c r="N28" s="1465"/>
    </row>
    <row r="29" spans="1:16">
      <c r="D29" s="3"/>
      <c r="E29" s="3"/>
      <c r="H29" s="3"/>
      <c r="L29" s="661"/>
      <c r="N29" s="1465"/>
    </row>
    <row r="30" spans="1:16">
      <c r="D30" s="3"/>
      <c r="E30" s="3"/>
      <c r="H30" s="3"/>
      <c r="N30" s="1465"/>
    </row>
    <row r="31" spans="1:16">
      <c r="D31" s="3"/>
      <c r="E31" s="3" t="s">
        <v>5310</v>
      </c>
      <c r="H31" s="3"/>
      <c r="N31" s="1465"/>
    </row>
    <row r="32" spans="1:16">
      <c r="C32" s="946"/>
      <c r="D32" s="3"/>
      <c r="E32" s="3"/>
      <c r="G32" s="648" t="s">
        <v>3699</v>
      </c>
      <c r="H32" s="3"/>
      <c r="I32" s="1077" t="s">
        <v>3741</v>
      </c>
      <c r="J32" s="1083">
        <f>J26-L26</f>
        <v>92600000</v>
      </c>
      <c r="M32" s="906" t="s">
        <v>4049</v>
      </c>
      <c r="N32" s="1107">
        <f>N26-P26</f>
        <v>1500</v>
      </c>
    </row>
    <row r="33" spans="1:14">
      <c r="A33" s="1574" t="s">
        <v>3530</v>
      </c>
      <c r="B33" s="1574"/>
      <c r="C33" s="1574"/>
      <c r="D33" s="3">
        <f>D26+F26</f>
        <v>676490000</v>
      </c>
      <c r="E33" s="1009"/>
      <c r="G33" s="1026" t="s">
        <v>3664</v>
      </c>
      <c r="H33" s="661"/>
      <c r="I33" s="1077" t="s">
        <v>4066</v>
      </c>
      <c r="J33" s="1083"/>
      <c r="N33" s="1465"/>
    </row>
    <row r="34" spans="1:14">
      <c r="A34" s="1574" t="s">
        <v>3512</v>
      </c>
      <c r="B34" s="1574"/>
      <c r="C34" s="1574"/>
      <c r="D34" s="3">
        <f>H26-D33</f>
        <v>51340000</v>
      </c>
      <c r="E34" s="1009"/>
      <c r="G34" s="1465"/>
      <c r="H34" s="3"/>
      <c r="I34" s="1068"/>
      <c r="J34" s="661"/>
      <c r="K34" s="661"/>
      <c r="N34" s="1465"/>
    </row>
    <row r="35" spans="1:14">
      <c r="A35" s="1574" t="s">
        <v>3531</v>
      </c>
      <c r="B35" s="1574"/>
      <c r="C35" s="1574"/>
      <c r="D35" s="3">
        <f>+N32</f>
        <v>1500</v>
      </c>
      <c r="E35" s="3"/>
      <c r="H35" s="3"/>
      <c r="J35" s="661"/>
      <c r="K35" s="3"/>
      <c r="N35" s="1465"/>
    </row>
    <row r="36" spans="1:14">
      <c r="A36" s="1564" t="s">
        <v>4455</v>
      </c>
      <c r="B36" s="1564"/>
      <c r="C36" s="1564"/>
      <c r="D36" s="3">
        <f>+J32</f>
        <v>92600000</v>
      </c>
      <c r="E36" s="3"/>
      <c r="H36" s="3"/>
      <c r="J36" s="661"/>
      <c r="L36" s="3"/>
      <c r="N36" s="1465"/>
    </row>
    <row r="37" spans="1:14">
      <c r="D37" s="3"/>
      <c r="E37" s="3"/>
      <c r="H37" s="3"/>
      <c r="N37" s="1465"/>
    </row>
    <row r="41" spans="1:14">
      <c r="E41" s="1477" t="s">
        <v>5657</v>
      </c>
      <c r="F41" s="3">
        <v>15500000</v>
      </c>
    </row>
    <row r="42" spans="1:14">
      <c r="E42" s="1477" t="s">
        <v>5658</v>
      </c>
      <c r="F42" s="3">
        <v>6000000</v>
      </c>
    </row>
    <row r="43" spans="1:14">
      <c r="F43" s="3">
        <f>1700000+1200000</f>
        <v>2900000</v>
      </c>
    </row>
    <row r="44" spans="1:14">
      <c r="F44" s="3">
        <v>2200000</v>
      </c>
    </row>
    <row r="45" spans="1:14">
      <c r="F45" s="3">
        <v>2700000</v>
      </c>
    </row>
  </sheetData>
  <mergeCells count="11">
    <mergeCell ref="M6:N6"/>
    <mergeCell ref="O6:P6"/>
    <mergeCell ref="A33:C33"/>
    <mergeCell ref="A34:C34"/>
    <mergeCell ref="A35:C35"/>
    <mergeCell ref="K6:L6"/>
    <mergeCell ref="A36:C36"/>
    <mergeCell ref="C6:D6"/>
    <mergeCell ref="E6:F6"/>
    <mergeCell ref="G6:H6"/>
    <mergeCell ref="I6:J6"/>
  </mergeCells>
  <pageMargins left="0.70866141732283472" right="0.70866141732283472" top="0.74803149606299213" bottom="0.74803149606299213" header="0.31496062992125984" footer="0.31496062992125984"/>
  <pageSetup paperSize="9" scale="58" orientation="landscape"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workbookViewId="0">
      <selection activeCell="E11" sqref="E11"/>
    </sheetView>
  </sheetViews>
  <sheetFormatPr defaultRowHeight="14.4"/>
  <cols>
    <col min="1" max="1" width="8.88671875" style="648"/>
    <col min="2" max="2" width="36" bestFit="1" customWidth="1"/>
    <col min="3" max="3" width="13.77734375" customWidth="1"/>
    <col min="4" max="4" width="30.33203125" customWidth="1"/>
    <col min="5" max="5" width="18.33203125" style="1084" customWidth="1"/>
    <col min="6" max="6" width="20" style="1084" customWidth="1"/>
    <col min="7" max="7" width="8.88671875" style="1084"/>
  </cols>
  <sheetData>
    <row r="1" spans="1:9">
      <c r="A1" s="572" t="s">
        <v>0</v>
      </c>
      <c r="B1" s="1087" t="s">
        <v>4024</v>
      </c>
      <c r="C1" s="1087" t="s">
        <v>3119</v>
      </c>
      <c r="D1" s="1087" t="s">
        <v>4026</v>
      </c>
      <c r="E1" s="1088" t="s">
        <v>4028</v>
      </c>
      <c r="F1" s="1088" t="s">
        <v>4027</v>
      </c>
      <c r="G1" s="1088" t="s">
        <v>3342</v>
      </c>
      <c r="H1" s="1089" t="s">
        <v>4029</v>
      </c>
      <c r="I1" s="1088" t="s">
        <v>4047</v>
      </c>
    </row>
    <row r="2" spans="1:9">
      <c r="A2" s="572">
        <v>1</v>
      </c>
      <c r="B2" s="973" t="s">
        <v>4025</v>
      </c>
      <c r="C2" s="973"/>
      <c r="D2" s="973">
        <v>31008793110012</v>
      </c>
      <c r="E2" s="1086" t="s">
        <v>4031</v>
      </c>
      <c r="F2" s="1085">
        <v>1</v>
      </c>
      <c r="G2" s="1085">
        <v>33</v>
      </c>
      <c r="H2" s="48" t="s">
        <v>4030</v>
      </c>
      <c r="I2" s="48" t="s">
        <v>3513</v>
      </c>
    </row>
    <row r="3" spans="1:9">
      <c r="A3" s="572">
        <v>2</v>
      </c>
      <c r="B3" s="48" t="s">
        <v>4032</v>
      </c>
      <c r="C3" s="48" t="s">
        <v>4046</v>
      </c>
      <c r="D3" s="973">
        <v>53009047100018</v>
      </c>
      <c r="E3" s="1085" t="s">
        <v>4033</v>
      </c>
      <c r="F3" s="1085"/>
      <c r="G3" s="1085">
        <v>22</v>
      </c>
      <c r="H3" s="48" t="s">
        <v>4034</v>
      </c>
      <c r="I3" s="48" t="s">
        <v>4048</v>
      </c>
    </row>
    <row r="4" spans="1:9">
      <c r="A4" s="572">
        <v>3</v>
      </c>
      <c r="B4" s="48"/>
      <c r="C4" s="48"/>
      <c r="D4" s="48"/>
      <c r="E4" s="1094" t="s">
        <v>4008</v>
      </c>
      <c r="F4" s="1085"/>
      <c r="G4" s="1085"/>
      <c r="H4" s="48"/>
      <c r="I4" s="48"/>
    </row>
    <row r="5" spans="1:9">
      <c r="A5" s="572">
        <v>4</v>
      </c>
      <c r="B5" s="1095" t="s">
        <v>4037</v>
      </c>
      <c r="C5" s="1095"/>
      <c r="D5" s="48">
        <v>42708683180010</v>
      </c>
      <c r="E5" s="1094" t="s">
        <v>4036</v>
      </c>
      <c r="F5" s="1085"/>
      <c r="G5" s="1085"/>
      <c r="H5" s="48"/>
      <c r="I5" s="48"/>
    </row>
    <row r="6" spans="1:9">
      <c r="A6" s="572">
        <v>5</v>
      </c>
      <c r="B6" s="48"/>
      <c r="C6" s="48"/>
      <c r="D6" s="48"/>
      <c r="E6" s="1085"/>
      <c r="F6" s="1085"/>
      <c r="G6" s="1085"/>
      <c r="H6" s="48"/>
      <c r="I6" s="48"/>
    </row>
    <row r="7" spans="1:9">
      <c r="A7" s="572">
        <v>6</v>
      </c>
      <c r="B7" s="48"/>
      <c r="C7" s="48"/>
      <c r="D7" s="48"/>
      <c r="E7" s="1085"/>
      <c r="F7" s="1085"/>
      <c r="G7" s="1085"/>
      <c r="H7" s="48"/>
      <c r="I7" s="48"/>
    </row>
    <row r="8" spans="1:9">
      <c r="A8" s="572">
        <v>7</v>
      </c>
      <c r="B8" s="48"/>
      <c r="C8" s="48"/>
      <c r="D8" s="48"/>
      <c r="E8" s="1085"/>
      <c r="F8" s="1085"/>
      <c r="G8" s="1085"/>
      <c r="H8" s="48"/>
      <c r="I8" s="48"/>
    </row>
    <row r="9" spans="1:9">
      <c r="A9" s="572">
        <v>8</v>
      </c>
      <c r="B9" s="48"/>
      <c r="C9" s="48"/>
      <c r="D9" s="48"/>
      <c r="E9" s="1085"/>
      <c r="F9" s="1085"/>
      <c r="G9" s="1085"/>
      <c r="H9" s="48"/>
      <c r="I9" s="48"/>
    </row>
    <row r="10" spans="1:9">
      <c r="A10" s="572">
        <v>9</v>
      </c>
      <c r="B10" s="48"/>
      <c r="C10" s="48"/>
      <c r="D10" s="48"/>
      <c r="E10" s="1085"/>
      <c r="F10" s="1085"/>
      <c r="G10" s="1085"/>
      <c r="H10" s="48"/>
      <c r="I10" s="48"/>
    </row>
    <row r="11" spans="1:9">
      <c r="A11" s="572">
        <v>10</v>
      </c>
      <c r="B11" s="48"/>
      <c r="C11" s="48"/>
      <c r="D11" s="48"/>
      <c r="E11" s="1085"/>
      <c r="F11" s="1085"/>
      <c r="G11" s="1085"/>
      <c r="H11" s="48"/>
      <c r="I11" s="48"/>
    </row>
    <row r="12" spans="1:9">
      <c r="A12" s="572">
        <v>11</v>
      </c>
      <c r="B12" s="48"/>
      <c r="C12" s="48"/>
      <c r="D12" s="48"/>
      <c r="E12" s="1085"/>
      <c r="F12" s="1085"/>
      <c r="G12" s="1085"/>
      <c r="H12" s="48"/>
      <c r="I12" s="48"/>
    </row>
    <row r="13" spans="1:9">
      <c r="A13" s="572">
        <v>12</v>
      </c>
      <c r="B13" s="48"/>
      <c r="C13" s="48"/>
      <c r="D13" s="48"/>
      <c r="E13" s="1085"/>
      <c r="F13" s="1085"/>
      <c r="G13" s="1085"/>
      <c r="H13" s="48"/>
      <c r="I13" s="48"/>
    </row>
    <row r="14" spans="1:9">
      <c r="A14" s="572">
        <v>13</v>
      </c>
      <c r="B14" s="48"/>
      <c r="C14" s="48"/>
      <c r="D14" s="48"/>
      <c r="E14" s="1085"/>
      <c r="F14" s="1085"/>
      <c r="G14" s="1085"/>
      <c r="H14" s="48"/>
      <c r="I14" s="48"/>
    </row>
    <row r="15" spans="1:9">
      <c r="A15" s="572">
        <v>14</v>
      </c>
      <c r="B15" s="48"/>
      <c r="C15" s="48"/>
      <c r="D15" s="48"/>
      <c r="E15" s="1085"/>
      <c r="F15" s="1085"/>
      <c r="G15" s="1085"/>
      <c r="H15" s="48"/>
      <c r="I15" s="48"/>
    </row>
    <row r="16" spans="1:9">
      <c r="A16" s="572">
        <v>15</v>
      </c>
      <c r="B16" s="48"/>
      <c r="C16" s="48"/>
      <c r="D16" s="48"/>
      <c r="E16" s="1085"/>
      <c r="F16" s="1085"/>
      <c r="G16" s="1085"/>
      <c r="H16" s="48"/>
      <c r="I16" s="48"/>
    </row>
    <row r="17" spans="1:9">
      <c r="A17" s="572">
        <v>16</v>
      </c>
      <c r="B17" s="48"/>
      <c r="C17" s="48"/>
      <c r="D17" s="48"/>
      <c r="E17" s="1085"/>
      <c r="F17" s="1085"/>
      <c r="G17" s="1085"/>
      <c r="H17" s="48"/>
      <c r="I17" s="48"/>
    </row>
    <row r="18" spans="1:9">
      <c r="A18" s="572">
        <v>17</v>
      </c>
      <c r="B18" s="48"/>
      <c r="C18" s="48"/>
      <c r="D18" s="48"/>
      <c r="E18" s="1085"/>
      <c r="F18" s="1085"/>
      <c r="G18" s="1085"/>
      <c r="H18" s="48"/>
      <c r="I18" s="48"/>
    </row>
    <row r="19" spans="1:9">
      <c r="A19" s="572">
        <v>18</v>
      </c>
      <c r="B19" s="48"/>
      <c r="C19" s="48"/>
      <c r="D19" s="48"/>
      <c r="E19" s="1085"/>
      <c r="F19" s="1085"/>
      <c r="G19" s="1085"/>
      <c r="H19" s="48"/>
      <c r="I19" s="48"/>
    </row>
    <row r="20" spans="1:9">
      <c r="A20" s="572">
        <v>19</v>
      </c>
      <c r="B20" s="48"/>
      <c r="C20" s="48"/>
      <c r="D20" s="48"/>
      <c r="E20" s="1085"/>
      <c r="F20" s="1085"/>
      <c r="G20" s="1085"/>
      <c r="H20" s="48"/>
      <c r="I20" s="48"/>
    </row>
    <row r="21" spans="1:9">
      <c r="A21" s="572">
        <v>20</v>
      </c>
      <c r="B21" s="48"/>
      <c r="C21" s="48"/>
      <c r="D21" s="48"/>
      <c r="E21" s="1085"/>
      <c r="F21" s="1085"/>
      <c r="G21" s="1085"/>
      <c r="H21" s="48"/>
      <c r="I21" s="48"/>
    </row>
    <row r="22" spans="1:9">
      <c r="A22" s="572">
        <v>21</v>
      </c>
      <c r="B22" s="48"/>
      <c r="C22" s="48"/>
      <c r="D22" s="48"/>
      <c r="E22" s="1085"/>
      <c r="F22" s="1085"/>
      <c r="G22" s="1085"/>
      <c r="H22" s="48"/>
      <c r="I22" s="48"/>
    </row>
    <row r="23" spans="1:9">
      <c r="A23" s="572">
        <v>22</v>
      </c>
      <c r="B23" s="48"/>
      <c r="C23" s="48"/>
      <c r="D23" s="48"/>
      <c r="E23" s="1085"/>
      <c r="F23" s="1085"/>
      <c r="G23" s="1085"/>
      <c r="H23" s="48"/>
      <c r="I23" s="48"/>
    </row>
    <row r="24" spans="1:9">
      <c r="A24" s="572">
        <v>23</v>
      </c>
      <c r="B24" s="48"/>
      <c r="C24" s="48"/>
      <c r="D24" s="48"/>
      <c r="E24" s="1085"/>
      <c r="F24" s="1085"/>
      <c r="G24" s="1085"/>
      <c r="H24" s="48"/>
      <c r="I24" s="48"/>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selection activeCell="B1" sqref="B1"/>
    </sheetView>
  </sheetViews>
  <sheetFormatPr defaultRowHeight="14.4"/>
  <cols>
    <col min="2" max="2" width="36" bestFit="1" customWidth="1"/>
    <col min="3" max="3" width="19.88671875" customWidth="1"/>
    <col min="4" max="4" width="15.5546875" customWidth="1"/>
    <col min="5" max="5" width="11.33203125" bestFit="1" customWidth="1"/>
    <col min="6" max="6" width="9.33203125" bestFit="1" customWidth="1"/>
    <col min="8" max="8" width="10.33203125" bestFit="1" customWidth="1"/>
    <col min="9" max="9" width="18.6640625" bestFit="1" customWidth="1"/>
    <col min="10" max="10" width="10" bestFit="1" customWidth="1"/>
  </cols>
  <sheetData>
    <row r="1" spans="1:10">
      <c r="A1" s="572" t="s">
        <v>0</v>
      </c>
      <c r="B1" s="1087" t="s">
        <v>4024</v>
      </c>
      <c r="C1" s="1087" t="s">
        <v>3119</v>
      </c>
      <c r="D1" s="1087" t="s">
        <v>4026</v>
      </c>
      <c r="E1" s="1088" t="s">
        <v>4028</v>
      </c>
      <c r="F1" s="1088" t="s">
        <v>4027</v>
      </c>
      <c r="G1" s="1088" t="s">
        <v>3342</v>
      </c>
      <c r="H1" s="1089" t="s">
        <v>4029</v>
      </c>
      <c r="I1" s="1088" t="s">
        <v>4047</v>
      </c>
    </row>
    <row r="2" spans="1:10">
      <c r="A2" s="572">
        <v>1</v>
      </c>
      <c r="B2" s="973" t="s">
        <v>4375</v>
      </c>
      <c r="C2" s="973" t="s">
        <v>4376</v>
      </c>
      <c r="D2" s="973">
        <v>30901863070025</v>
      </c>
      <c r="E2" s="1086" t="s">
        <v>4377</v>
      </c>
      <c r="F2" s="1085"/>
      <c r="G2" s="1085"/>
      <c r="H2" s="48" t="s">
        <v>109</v>
      </c>
      <c r="I2" s="48" t="s">
        <v>4378</v>
      </c>
      <c r="J2">
        <v>971136688</v>
      </c>
    </row>
    <row r="3" spans="1:10">
      <c r="A3" s="572">
        <v>2</v>
      </c>
      <c r="B3" s="48"/>
      <c r="C3" s="48"/>
      <c r="D3" s="973"/>
      <c r="E3" s="1085"/>
      <c r="F3" s="1085"/>
      <c r="G3" s="1085"/>
      <c r="H3" s="48"/>
      <c r="I3" s="48"/>
    </row>
    <row r="4" spans="1:10">
      <c r="A4" s="572">
        <v>3</v>
      </c>
      <c r="B4" s="48"/>
      <c r="C4" s="48"/>
      <c r="D4" s="48"/>
      <c r="E4" s="1094"/>
      <c r="F4" s="1085"/>
      <c r="G4" s="1085"/>
      <c r="H4" s="48"/>
      <c r="I4" s="48"/>
    </row>
    <row r="5" spans="1:10">
      <c r="A5" s="572">
        <v>4</v>
      </c>
      <c r="B5" s="1095"/>
      <c r="C5" s="1095"/>
      <c r="D5" s="48"/>
      <c r="E5" s="1094"/>
      <c r="F5" s="1085"/>
      <c r="G5" s="1085"/>
      <c r="H5" s="48"/>
      <c r="I5" s="48"/>
    </row>
    <row r="6" spans="1:10">
      <c r="A6" s="572">
        <v>5</v>
      </c>
      <c r="B6" s="48"/>
      <c r="C6" s="48"/>
      <c r="D6" s="48"/>
      <c r="E6" s="1085"/>
      <c r="F6" s="1085"/>
      <c r="G6" s="1085"/>
      <c r="H6" s="48"/>
      <c r="I6" s="48"/>
    </row>
    <row r="7" spans="1:10">
      <c r="A7" s="572">
        <v>6</v>
      </c>
      <c r="B7" s="48"/>
      <c r="C7" s="48"/>
      <c r="D7" s="48"/>
      <c r="E7" s="1085"/>
      <c r="F7" s="1085"/>
      <c r="G7" s="1085"/>
      <c r="H7" s="48"/>
      <c r="I7" s="48"/>
    </row>
    <row r="8" spans="1:10">
      <c r="A8" s="572">
        <v>7</v>
      </c>
      <c r="B8" s="48"/>
      <c r="C8" s="48"/>
      <c r="D8" s="48"/>
      <c r="E8" s="1085"/>
      <c r="F8" s="1085"/>
      <c r="G8" s="1085"/>
      <c r="H8" s="48"/>
      <c r="I8" s="48"/>
    </row>
    <row r="9" spans="1:10">
      <c r="A9" s="572">
        <v>8</v>
      </c>
      <c r="B9" s="48"/>
      <c r="C9" s="48"/>
      <c r="D9" s="48"/>
      <c r="E9" s="1085"/>
      <c r="F9" s="1085"/>
      <c r="G9" s="1085"/>
      <c r="H9" s="48"/>
      <c r="I9" s="48"/>
    </row>
    <row r="10" spans="1:10">
      <c r="A10" s="572">
        <v>9</v>
      </c>
      <c r="B10" s="48"/>
      <c r="C10" s="48"/>
      <c r="D10" s="48"/>
      <c r="E10" s="1085"/>
      <c r="F10" s="1085"/>
      <c r="G10" s="1085"/>
      <c r="H10" s="48"/>
      <c r="I10" s="48"/>
    </row>
    <row r="11" spans="1:10">
      <c r="A11" s="572">
        <v>10</v>
      </c>
      <c r="B11" s="48"/>
      <c r="C11" s="48"/>
      <c r="D11" s="48"/>
      <c r="E11" s="1085"/>
      <c r="F11" s="1085"/>
      <c r="G11" s="1085"/>
      <c r="H11" s="48"/>
      <c r="I11" s="48"/>
    </row>
    <row r="12" spans="1:10">
      <c r="A12" s="572">
        <v>11</v>
      </c>
      <c r="B12" s="48"/>
      <c r="C12" s="48"/>
      <c r="D12" s="48"/>
      <c r="E12" s="1085"/>
      <c r="F12" s="1085"/>
      <c r="G12" s="1085"/>
      <c r="H12" s="48"/>
      <c r="I12" s="48"/>
    </row>
    <row r="13" spans="1:10">
      <c r="A13" s="572">
        <v>12</v>
      </c>
      <c r="B13" s="48"/>
      <c r="C13" s="48"/>
      <c r="D13" s="48"/>
      <c r="E13" s="1085"/>
      <c r="F13" s="1085"/>
      <c r="G13" s="1085"/>
      <c r="H13" s="48"/>
      <c r="I13" s="48"/>
    </row>
    <row r="14" spans="1:10">
      <c r="A14" s="572">
        <v>13</v>
      </c>
      <c r="B14" s="48"/>
      <c r="C14" s="48"/>
      <c r="D14" s="48"/>
      <c r="E14" s="1085"/>
      <c r="F14" s="1085"/>
      <c r="G14" s="1085"/>
      <c r="H14" s="48"/>
      <c r="I14" s="48"/>
    </row>
    <row r="15" spans="1:10">
      <c r="A15" s="572">
        <v>14</v>
      </c>
      <c r="B15" s="48"/>
      <c r="C15" s="48"/>
      <c r="D15" s="48"/>
      <c r="E15" s="1085"/>
      <c r="F15" s="1085"/>
      <c r="G15" s="1085"/>
      <c r="H15" s="48"/>
      <c r="I15" s="48"/>
    </row>
    <row r="16" spans="1:10">
      <c r="A16" s="572">
        <v>15</v>
      </c>
      <c r="B16" s="48"/>
      <c r="C16" s="48"/>
      <c r="D16" s="48"/>
      <c r="E16" s="1085"/>
      <c r="F16" s="1085"/>
      <c r="G16" s="1085"/>
      <c r="H16" s="48"/>
      <c r="I16" s="48"/>
    </row>
    <row r="17" spans="1:9">
      <c r="A17" s="572">
        <v>16</v>
      </c>
      <c r="B17" s="48"/>
      <c r="C17" s="48"/>
      <c r="D17" s="48"/>
      <c r="E17" s="1085"/>
      <c r="F17" s="1085"/>
      <c r="G17" s="1085"/>
      <c r="H17" s="48"/>
      <c r="I17" s="48"/>
    </row>
    <row r="18" spans="1:9">
      <c r="A18" s="572">
        <v>17</v>
      </c>
      <c r="B18" s="48"/>
      <c r="C18" s="48"/>
      <c r="D18" s="48"/>
      <c r="E18" s="1085"/>
      <c r="F18" s="1085"/>
      <c r="G18" s="1085"/>
      <c r="H18" s="48"/>
      <c r="I18" s="48"/>
    </row>
    <row r="19" spans="1:9">
      <c r="A19" s="572">
        <v>18</v>
      </c>
      <c r="B19" s="48"/>
      <c r="C19" s="48"/>
      <c r="D19" s="48"/>
      <c r="E19" s="1085"/>
      <c r="F19" s="1085"/>
      <c r="G19" s="1085"/>
      <c r="H19" s="48"/>
      <c r="I19" s="48"/>
    </row>
    <row r="20" spans="1:9">
      <c r="A20" s="572">
        <v>19</v>
      </c>
      <c r="B20" s="48"/>
      <c r="C20" s="48"/>
      <c r="D20" s="48"/>
      <c r="E20" s="1085"/>
      <c r="F20" s="1085"/>
      <c r="G20" s="1085"/>
      <c r="H20" s="48"/>
      <c r="I20" s="48"/>
    </row>
    <row r="21" spans="1:9">
      <c r="A21" s="572">
        <v>20</v>
      </c>
      <c r="B21" s="48"/>
      <c r="C21" s="48"/>
      <c r="D21" s="48"/>
      <c r="E21" s="1085"/>
      <c r="F21" s="1085"/>
      <c r="G21" s="1085"/>
      <c r="H21" s="48"/>
      <c r="I21" s="48"/>
    </row>
    <row r="22" spans="1:9">
      <c r="A22" s="572">
        <v>21</v>
      </c>
      <c r="B22" s="48"/>
      <c r="C22" s="48"/>
      <c r="D22" s="48"/>
      <c r="E22" s="1085"/>
      <c r="F22" s="1085"/>
      <c r="G22" s="1085"/>
      <c r="H22" s="48"/>
      <c r="I22" s="48"/>
    </row>
    <row r="23" spans="1:9">
      <c r="A23" s="572">
        <v>22</v>
      </c>
      <c r="B23" s="48"/>
      <c r="C23" s="48"/>
      <c r="D23" s="48"/>
      <c r="E23" s="1085"/>
      <c r="F23" s="1085"/>
      <c r="G23" s="1085"/>
      <c r="H23" s="48"/>
      <c r="I23" s="48"/>
    </row>
    <row r="24" spans="1:9">
      <c r="A24" s="572">
        <v>23</v>
      </c>
      <c r="B24" s="48"/>
      <c r="C24" s="48"/>
      <c r="D24" s="48"/>
      <c r="E24" s="1085"/>
      <c r="F24" s="1085"/>
      <c r="G24" s="1085"/>
      <c r="H24" s="48"/>
      <c r="I24" s="48"/>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B6" sqref="B6"/>
    </sheetView>
  </sheetViews>
  <sheetFormatPr defaultRowHeight="14.4"/>
  <cols>
    <col min="2" max="2" width="18.44140625" style="1257" bestFit="1" customWidth="1"/>
    <col min="3" max="3" width="40.109375" bestFit="1" customWidth="1"/>
  </cols>
  <sheetData>
    <row r="1" spans="1:5">
      <c r="A1" t="s">
        <v>0</v>
      </c>
    </row>
    <row r="2" spans="1:5">
      <c r="B2" s="1257">
        <v>30509843330071</v>
      </c>
      <c r="C2" s="1258" t="s">
        <v>4390</v>
      </c>
    </row>
    <row r="3" spans="1:5">
      <c r="B3" s="1257">
        <v>42707883330023</v>
      </c>
      <c r="C3" t="s">
        <v>4392</v>
      </c>
      <c r="D3" t="s">
        <v>4393</v>
      </c>
    </row>
    <row r="4" spans="1:5">
      <c r="B4" s="1257">
        <v>31010827230014</v>
      </c>
      <c r="D4" t="s">
        <v>4394</v>
      </c>
    </row>
    <row r="5" spans="1:5">
      <c r="B5" s="1257">
        <v>31708853330102</v>
      </c>
      <c r="C5" t="s">
        <v>4405</v>
      </c>
      <c r="E5" t="s">
        <v>4406</v>
      </c>
    </row>
    <row r="6" spans="1:5">
      <c r="B6" s="1257">
        <v>60704037230044</v>
      </c>
    </row>
    <row r="7" spans="1:5">
      <c r="B7" s="1257">
        <v>31001823330033</v>
      </c>
    </row>
    <row r="8" spans="1:5">
      <c r="B8" s="1257">
        <v>31001823330033</v>
      </c>
    </row>
    <row r="9" spans="1:5">
      <c r="B9" s="1257">
        <v>31708853330102</v>
      </c>
    </row>
    <row r="10" spans="1:5">
      <c r="B10" s="1257">
        <v>50601027230019</v>
      </c>
    </row>
    <row r="11" spans="1:5">
      <c r="B11" s="1257">
        <v>32607953330025</v>
      </c>
    </row>
    <row r="12" spans="1:5">
      <c r="B12" s="1257">
        <v>50601027230019</v>
      </c>
    </row>
    <row r="13" spans="1:5">
      <c r="B13" s="1257">
        <v>41111883330047</v>
      </c>
    </row>
    <row r="14" spans="1:5">
      <c r="B14" s="1257">
        <v>52012017230012</v>
      </c>
    </row>
    <row r="15" spans="1:5">
      <c r="B15" s="1257">
        <v>42401997230021</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69"/>
  <sheetViews>
    <sheetView topLeftCell="A150" workbookViewId="0">
      <selection activeCell="G172" sqref="G172"/>
    </sheetView>
  </sheetViews>
  <sheetFormatPr defaultRowHeight="14.4"/>
  <cols>
    <col min="1" max="1" width="11.21875" style="3" bestFit="1" customWidth="1"/>
    <col min="2" max="2" width="19.5546875" style="3" customWidth="1"/>
    <col min="3" max="3" width="19.44140625" style="3" customWidth="1"/>
    <col min="4" max="4" width="20" style="3" customWidth="1"/>
    <col min="5" max="5" width="17.77734375" style="3" bestFit="1" customWidth="1"/>
  </cols>
  <sheetData>
    <row r="3" spans="1:5">
      <c r="A3" s="49"/>
      <c r="B3" s="49" t="s">
        <v>5220</v>
      </c>
      <c r="C3" s="49" t="s">
        <v>5221</v>
      </c>
      <c r="D3" s="49" t="s">
        <v>5222</v>
      </c>
      <c r="E3" s="49" t="s">
        <v>5223</v>
      </c>
    </row>
    <row r="4" spans="1:5">
      <c r="A4" s="49"/>
      <c r="B4" s="49"/>
      <c r="C4" s="49">
        <v>10000000</v>
      </c>
      <c r="D4" s="49"/>
      <c r="E4" s="49"/>
    </row>
    <row r="5" spans="1:5">
      <c r="A5" s="49"/>
      <c r="B5" s="49"/>
      <c r="C5" s="49">
        <f>25000000*0.98</f>
        <v>24500000</v>
      </c>
      <c r="D5" s="49"/>
      <c r="E5" s="49"/>
    </row>
    <row r="6" spans="1:5">
      <c r="A6" s="49"/>
      <c r="B6" s="49">
        <v>54600000</v>
      </c>
      <c r="C6" s="49">
        <f>+B6*0.99</f>
        <v>54054000</v>
      </c>
      <c r="D6" s="49"/>
      <c r="E6" s="49"/>
    </row>
    <row r="7" spans="1:5">
      <c r="A7" s="49"/>
      <c r="B7" s="49">
        <v>387000000</v>
      </c>
      <c r="C7" s="49">
        <f t="shared" ref="C7:C15" si="0">+B7*0.99</f>
        <v>383130000</v>
      </c>
      <c r="D7" s="49"/>
      <c r="E7" s="49"/>
    </row>
    <row r="8" spans="1:5">
      <c r="A8" s="49"/>
      <c r="B8" s="49">
        <v>67900000</v>
      </c>
      <c r="C8" s="49">
        <f t="shared" si="0"/>
        <v>67221000</v>
      </c>
      <c r="D8" s="49"/>
      <c r="E8" s="49"/>
    </row>
    <row r="9" spans="1:5">
      <c r="A9" s="49"/>
      <c r="B9" s="49">
        <v>89090000</v>
      </c>
      <c r="C9" s="49">
        <f t="shared" si="0"/>
        <v>88199100</v>
      </c>
      <c r="D9" s="49"/>
      <c r="E9" s="49"/>
    </row>
    <row r="10" spans="1:5">
      <c r="A10" s="49"/>
      <c r="B10" s="49">
        <v>600700000</v>
      </c>
      <c r="C10" s="49">
        <f t="shared" si="0"/>
        <v>594693000</v>
      </c>
      <c r="D10" s="49"/>
      <c r="E10" s="49"/>
    </row>
    <row r="11" spans="1:5">
      <c r="A11" s="49"/>
      <c r="B11" s="49">
        <v>867200000</v>
      </c>
      <c r="C11" s="49">
        <f t="shared" si="0"/>
        <v>858528000</v>
      </c>
      <c r="D11" s="49"/>
      <c r="E11" s="49"/>
    </row>
    <row r="12" spans="1:5">
      <c r="A12" s="49"/>
      <c r="B12" s="49">
        <v>94800000</v>
      </c>
      <c r="C12" s="49">
        <f t="shared" si="0"/>
        <v>93852000</v>
      </c>
      <c r="D12" s="49"/>
      <c r="E12" s="49"/>
    </row>
    <row r="13" spans="1:5">
      <c r="A13" s="49"/>
      <c r="B13" s="49">
        <v>144700000</v>
      </c>
      <c r="C13" s="49">
        <f t="shared" si="0"/>
        <v>143253000</v>
      </c>
      <c r="D13" s="49"/>
      <c r="E13" s="49"/>
    </row>
    <row r="14" spans="1:5">
      <c r="A14" s="49"/>
      <c r="B14" s="49">
        <v>667800000</v>
      </c>
      <c r="C14" s="49">
        <f t="shared" si="0"/>
        <v>661122000</v>
      </c>
      <c r="D14" s="49"/>
      <c r="E14" s="49"/>
    </row>
    <row r="15" spans="1:5">
      <c r="A15" s="49"/>
      <c r="B15" s="49">
        <v>148500000</v>
      </c>
      <c r="C15" s="49">
        <f t="shared" si="0"/>
        <v>147015000</v>
      </c>
      <c r="D15" s="49"/>
      <c r="E15" s="49"/>
    </row>
    <row r="16" spans="1:5">
      <c r="A16" s="49" t="s">
        <v>5224</v>
      </c>
      <c r="B16" s="49"/>
      <c r="C16" s="49"/>
      <c r="D16" s="49">
        <v>865000000</v>
      </c>
      <c r="E16" s="49"/>
    </row>
    <row r="17" spans="1:5">
      <c r="A17" s="49" t="s">
        <v>5225</v>
      </c>
      <c r="B17" s="49"/>
      <c r="C17" s="49"/>
      <c r="D17" s="49">
        <v>700000000</v>
      </c>
      <c r="E17" s="49"/>
    </row>
    <row r="18" spans="1:5">
      <c r="A18" s="49" t="s">
        <v>5226</v>
      </c>
      <c r="B18" s="49">
        <v>301000000</v>
      </c>
      <c r="C18" s="49">
        <f t="shared" ref="C18:C23" si="1">+B18*0.99</f>
        <v>297990000</v>
      </c>
      <c r="D18" s="49"/>
      <c r="E18" s="49"/>
    </row>
    <row r="19" spans="1:5">
      <c r="A19" s="49"/>
      <c r="B19" s="49">
        <v>1750000000</v>
      </c>
      <c r="C19" s="49">
        <f t="shared" si="1"/>
        <v>1732500000</v>
      </c>
      <c r="D19" s="49"/>
      <c r="E19" s="49"/>
    </row>
    <row r="20" spans="1:5">
      <c r="A20" s="49"/>
      <c r="B20" s="49">
        <v>257400000</v>
      </c>
      <c r="C20" s="49">
        <f t="shared" si="1"/>
        <v>254826000</v>
      </c>
      <c r="D20" s="49"/>
      <c r="E20" s="49"/>
    </row>
    <row r="21" spans="1:5">
      <c r="A21" s="49"/>
      <c r="B21" s="49">
        <v>297400000</v>
      </c>
      <c r="C21" s="49">
        <f t="shared" si="1"/>
        <v>294426000</v>
      </c>
      <c r="D21" s="49"/>
      <c r="E21" s="49"/>
    </row>
    <row r="22" spans="1:5">
      <c r="A22" s="49"/>
      <c r="B22" s="49">
        <v>63300000</v>
      </c>
      <c r="C22" s="49">
        <f t="shared" si="1"/>
        <v>62667000</v>
      </c>
      <c r="D22" s="49"/>
      <c r="E22" s="49"/>
    </row>
    <row r="23" spans="1:5">
      <c r="A23" s="49"/>
      <c r="B23" s="49">
        <v>51700000</v>
      </c>
      <c r="C23" s="49">
        <f t="shared" si="1"/>
        <v>51183000</v>
      </c>
      <c r="D23" s="49"/>
      <c r="E23" s="49"/>
    </row>
    <row r="24" spans="1:5">
      <c r="A24" s="49" t="s">
        <v>5227</v>
      </c>
      <c r="B24" s="49"/>
      <c r="C24" s="49"/>
      <c r="D24" s="49">
        <v>500000000</v>
      </c>
      <c r="E24" s="49"/>
    </row>
    <row r="25" spans="1:5">
      <c r="A25" s="49"/>
      <c r="B25" s="49">
        <v>49900000</v>
      </c>
      <c r="C25" s="49">
        <f>+B25*0.99</f>
        <v>49401000</v>
      </c>
      <c r="D25" s="49"/>
      <c r="E25" s="49"/>
    </row>
    <row r="26" spans="1:5">
      <c r="A26" s="49"/>
      <c r="B26" s="49">
        <v>45700000</v>
      </c>
      <c r="C26" s="49">
        <f t="shared" ref="C26:C89" si="2">+B26*0.99</f>
        <v>45243000</v>
      </c>
      <c r="D26" s="49"/>
      <c r="E26" s="49"/>
    </row>
    <row r="27" spans="1:5">
      <c r="A27" s="49"/>
      <c r="B27" s="49">
        <v>257400000</v>
      </c>
      <c r="C27" s="49">
        <f t="shared" si="2"/>
        <v>254826000</v>
      </c>
      <c r="D27" s="49"/>
      <c r="E27" s="49"/>
    </row>
    <row r="28" spans="1:5">
      <c r="A28" s="49"/>
      <c r="B28" s="49">
        <v>282300000</v>
      </c>
      <c r="C28" s="49">
        <f t="shared" si="2"/>
        <v>279477000</v>
      </c>
      <c r="D28" s="49"/>
      <c r="E28" s="49"/>
    </row>
    <row r="29" spans="1:5">
      <c r="A29" s="49"/>
      <c r="B29" s="49">
        <v>50000000</v>
      </c>
      <c r="C29" s="49">
        <f t="shared" si="2"/>
        <v>49500000</v>
      </c>
      <c r="D29" s="49"/>
      <c r="E29" s="49"/>
    </row>
    <row r="30" spans="1:5">
      <c r="A30" s="49" t="s">
        <v>5228</v>
      </c>
      <c r="B30" s="49"/>
      <c r="C30" s="49">
        <f t="shared" si="2"/>
        <v>0</v>
      </c>
      <c r="D30" s="49">
        <v>400000000</v>
      </c>
      <c r="E30" s="49"/>
    </row>
    <row r="31" spans="1:5">
      <c r="A31" s="49"/>
      <c r="B31" s="49">
        <v>50000000</v>
      </c>
      <c r="C31" s="49">
        <f t="shared" si="2"/>
        <v>49500000</v>
      </c>
      <c r="D31" s="49"/>
      <c r="E31" s="49"/>
    </row>
    <row r="32" spans="1:5">
      <c r="A32" s="49"/>
      <c r="B32" s="49">
        <v>150000000</v>
      </c>
      <c r="C32" s="49">
        <f t="shared" si="2"/>
        <v>148500000</v>
      </c>
      <c r="D32" s="49"/>
      <c r="E32" s="49"/>
    </row>
    <row r="33" spans="1:5">
      <c r="A33" s="49"/>
      <c r="B33" s="49">
        <v>100000000</v>
      </c>
      <c r="C33" s="49">
        <f t="shared" si="2"/>
        <v>99000000</v>
      </c>
      <c r="D33" s="49"/>
      <c r="E33" s="49"/>
    </row>
    <row r="34" spans="1:5">
      <c r="A34" s="49" t="s">
        <v>5229</v>
      </c>
      <c r="B34" s="49"/>
      <c r="C34" s="49">
        <f t="shared" si="2"/>
        <v>0</v>
      </c>
      <c r="D34" s="49">
        <v>300000000</v>
      </c>
      <c r="E34" s="49"/>
    </row>
    <row r="35" spans="1:5">
      <c r="A35" s="49"/>
      <c r="B35" s="49">
        <v>91250000</v>
      </c>
      <c r="C35" s="49">
        <f t="shared" si="2"/>
        <v>90337500</v>
      </c>
      <c r="D35" s="49"/>
      <c r="E35" s="49"/>
    </row>
    <row r="36" spans="1:5">
      <c r="A36" s="49"/>
      <c r="B36" s="49">
        <v>46000000</v>
      </c>
      <c r="C36" s="49">
        <f t="shared" si="2"/>
        <v>45540000</v>
      </c>
      <c r="D36" s="49"/>
      <c r="E36" s="49"/>
    </row>
    <row r="37" spans="1:5">
      <c r="A37" s="49"/>
      <c r="B37" s="49">
        <v>68900000</v>
      </c>
      <c r="C37" s="49">
        <f t="shared" si="2"/>
        <v>68211000</v>
      </c>
      <c r="D37" s="49"/>
      <c r="E37" s="49"/>
    </row>
    <row r="38" spans="1:5">
      <c r="A38" s="49"/>
      <c r="B38" s="49">
        <v>494500000</v>
      </c>
      <c r="C38" s="49">
        <f t="shared" si="2"/>
        <v>489555000</v>
      </c>
      <c r="D38" s="49"/>
      <c r="E38" s="49"/>
    </row>
    <row r="39" spans="1:5">
      <c r="A39" s="49"/>
      <c r="B39" s="49">
        <v>238500000</v>
      </c>
      <c r="C39" s="49">
        <f t="shared" si="2"/>
        <v>236115000</v>
      </c>
      <c r="D39" s="49"/>
      <c r="E39" s="49"/>
    </row>
    <row r="40" spans="1:5">
      <c r="A40" s="49"/>
      <c r="B40" s="49">
        <v>378800000</v>
      </c>
      <c r="C40" s="49">
        <f t="shared" si="2"/>
        <v>375012000</v>
      </c>
      <c r="D40" s="49"/>
      <c r="E40" s="49"/>
    </row>
    <row r="41" spans="1:5">
      <c r="A41" s="49" t="s">
        <v>5230</v>
      </c>
      <c r="B41" s="49"/>
      <c r="C41" s="49">
        <f t="shared" si="2"/>
        <v>0</v>
      </c>
      <c r="D41" s="49">
        <v>230000000</v>
      </c>
      <c r="E41" s="49"/>
    </row>
    <row r="42" spans="1:5">
      <c r="A42" s="49"/>
      <c r="B42" s="49"/>
      <c r="C42" s="49">
        <f t="shared" si="2"/>
        <v>0</v>
      </c>
      <c r="D42" s="49">
        <v>900000000</v>
      </c>
      <c r="E42" s="49"/>
    </row>
    <row r="43" spans="1:5">
      <c r="A43" s="49"/>
      <c r="B43" s="49"/>
      <c r="C43" s="49">
        <f t="shared" si="2"/>
        <v>0</v>
      </c>
      <c r="D43" s="49">
        <v>1220000000</v>
      </c>
      <c r="E43" s="49"/>
    </row>
    <row r="44" spans="1:5">
      <c r="A44" s="49"/>
      <c r="B44" s="49"/>
      <c r="C44" s="49"/>
      <c r="D44" s="49"/>
      <c r="E44" s="49"/>
    </row>
    <row r="45" spans="1:5">
      <c r="A45" s="49" t="s">
        <v>5231</v>
      </c>
      <c r="B45" s="49"/>
      <c r="C45" s="49">
        <f t="shared" si="2"/>
        <v>0</v>
      </c>
      <c r="D45" s="49">
        <v>500000000</v>
      </c>
      <c r="E45" s="49"/>
    </row>
    <row r="46" spans="1:5">
      <c r="A46" s="49"/>
      <c r="B46" s="49">
        <v>39900000</v>
      </c>
      <c r="C46" s="49">
        <f t="shared" si="2"/>
        <v>39501000</v>
      </c>
      <c r="D46" s="49"/>
      <c r="E46" s="49"/>
    </row>
    <row r="47" spans="1:5">
      <c r="A47" s="49"/>
      <c r="B47" s="49">
        <v>65900000</v>
      </c>
      <c r="C47" s="49">
        <f t="shared" si="2"/>
        <v>65241000</v>
      </c>
      <c r="D47" s="49"/>
      <c r="E47" s="49"/>
    </row>
    <row r="48" spans="1:5">
      <c r="A48" s="49"/>
      <c r="B48" s="49">
        <v>82800000</v>
      </c>
      <c r="C48" s="49">
        <f t="shared" si="2"/>
        <v>81972000</v>
      </c>
      <c r="D48" s="49"/>
      <c r="E48" s="49"/>
    </row>
    <row r="49" spans="1:5">
      <c r="A49" s="49"/>
      <c r="B49" s="49">
        <v>159600000</v>
      </c>
      <c r="C49" s="49">
        <f t="shared" si="2"/>
        <v>158004000</v>
      </c>
      <c r="D49" s="49"/>
      <c r="E49" s="49"/>
    </row>
    <row r="50" spans="1:5">
      <c r="A50" s="49"/>
      <c r="B50" s="49">
        <v>346000000</v>
      </c>
      <c r="C50" s="49">
        <f t="shared" si="2"/>
        <v>342540000</v>
      </c>
      <c r="D50" s="49"/>
      <c r="E50" s="49"/>
    </row>
    <row r="51" spans="1:5">
      <c r="A51" s="49"/>
      <c r="B51" s="49">
        <v>150000000</v>
      </c>
      <c r="C51" s="49">
        <f t="shared" si="2"/>
        <v>148500000</v>
      </c>
      <c r="D51" s="49"/>
      <c r="E51" s="49"/>
    </row>
    <row r="52" spans="1:5">
      <c r="A52" s="49" t="s">
        <v>5232</v>
      </c>
      <c r="B52" s="49"/>
      <c r="C52" s="49">
        <f t="shared" si="2"/>
        <v>0</v>
      </c>
      <c r="D52" s="49"/>
      <c r="E52" s="49"/>
    </row>
    <row r="53" spans="1:5">
      <c r="A53" s="49"/>
      <c r="B53" s="49">
        <v>30000000</v>
      </c>
      <c r="C53" s="49">
        <f t="shared" si="2"/>
        <v>29700000</v>
      </c>
      <c r="D53" s="49"/>
      <c r="E53" s="49"/>
    </row>
    <row r="54" spans="1:5">
      <c r="A54" s="49"/>
      <c r="B54" s="49">
        <v>400000000</v>
      </c>
      <c r="C54" s="49">
        <f t="shared" si="2"/>
        <v>396000000</v>
      </c>
      <c r="D54" s="49"/>
      <c r="E54" s="49"/>
    </row>
    <row r="55" spans="1:5">
      <c r="A55" s="49" t="s">
        <v>5233</v>
      </c>
      <c r="B55" s="49"/>
      <c r="C55" s="49">
        <f t="shared" si="2"/>
        <v>0</v>
      </c>
      <c r="D55" s="49">
        <v>200000000</v>
      </c>
      <c r="E55" s="49"/>
    </row>
    <row r="56" spans="1:5">
      <c r="A56" s="49"/>
      <c r="B56" s="49">
        <v>99700000</v>
      </c>
      <c r="C56" s="49">
        <f t="shared" si="2"/>
        <v>98703000</v>
      </c>
      <c r="D56" s="49"/>
      <c r="E56" s="49"/>
    </row>
    <row r="57" spans="1:5">
      <c r="A57" s="49"/>
      <c r="B57" s="49">
        <v>199500000</v>
      </c>
      <c r="C57" s="49">
        <f t="shared" si="2"/>
        <v>197505000</v>
      </c>
      <c r="D57" s="49"/>
      <c r="E57" s="49"/>
    </row>
    <row r="58" spans="1:5">
      <c r="A58" s="49"/>
      <c r="B58" s="49">
        <v>109400000</v>
      </c>
      <c r="C58" s="49">
        <f t="shared" si="2"/>
        <v>108306000</v>
      </c>
      <c r="D58" s="49"/>
      <c r="E58" s="49"/>
    </row>
    <row r="59" spans="1:5">
      <c r="A59" s="49"/>
      <c r="B59" s="49">
        <v>154500000</v>
      </c>
      <c r="C59" s="49">
        <f t="shared" si="2"/>
        <v>152955000</v>
      </c>
      <c r="D59" s="49"/>
      <c r="E59" s="49"/>
    </row>
    <row r="60" spans="1:5">
      <c r="A60" s="49"/>
      <c r="B60" s="49">
        <v>107800000</v>
      </c>
      <c r="C60" s="49">
        <f t="shared" si="2"/>
        <v>106722000</v>
      </c>
      <c r="D60" s="49"/>
      <c r="E60" s="49"/>
    </row>
    <row r="61" spans="1:5">
      <c r="A61" s="49" t="s">
        <v>5234</v>
      </c>
      <c r="B61" s="49"/>
      <c r="C61" s="49">
        <f t="shared" si="2"/>
        <v>0</v>
      </c>
      <c r="D61" s="49"/>
      <c r="E61" s="49"/>
    </row>
    <row r="62" spans="1:5">
      <c r="A62" s="49"/>
      <c r="B62" s="49">
        <v>46900000</v>
      </c>
      <c r="C62" s="49">
        <f t="shared" si="2"/>
        <v>46431000</v>
      </c>
      <c r="D62" s="49"/>
      <c r="E62" s="49"/>
    </row>
    <row r="63" spans="1:5">
      <c r="A63" s="49"/>
      <c r="B63" s="49">
        <v>82300000</v>
      </c>
      <c r="C63" s="49">
        <f t="shared" si="2"/>
        <v>81477000</v>
      </c>
      <c r="D63" s="49"/>
      <c r="E63" s="49"/>
    </row>
    <row r="64" spans="1:5">
      <c r="A64" s="49"/>
      <c r="B64" s="49">
        <v>101800000</v>
      </c>
      <c r="C64" s="49">
        <f t="shared" si="2"/>
        <v>100782000</v>
      </c>
      <c r="D64" s="49"/>
      <c r="E64" s="49"/>
    </row>
    <row r="65" spans="1:5">
      <c r="A65" s="49"/>
      <c r="B65" s="49">
        <v>59800000</v>
      </c>
      <c r="C65" s="49">
        <f t="shared" si="2"/>
        <v>59202000</v>
      </c>
      <c r="D65" s="49"/>
      <c r="E65" s="49"/>
    </row>
    <row r="66" spans="1:5">
      <c r="A66" s="49"/>
      <c r="B66" s="49">
        <v>112600000</v>
      </c>
      <c r="C66" s="49">
        <f t="shared" si="2"/>
        <v>111474000</v>
      </c>
      <c r="D66" s="49"/>
      <c r="E66" s="49"/>
    </row>
    <row r="67" spans="1:5">
      <c r="A67" s="49"/>
      <c r="B67" s="49">
        <v>150000000</v>
      </c>
      <c r="C67" s="49">
        <f t="shared" si="2"/>
        <v>148500000</v>
      </c>
      <c r="D67" s="49"/>
      <c r="E67" s="49"/>
    </row>
    <row r="68" spans="1:5">
      <c r="A68" s="49" t="s">
        <v>5235</v>
      </c>
      <c r="B68" s="49"/>
      <c r="C68" s="49">
        <f t="shared" si="2"/>
        <v>0</v>
      </c>
      <c r="D68" s="49">
        <v>902000000</v>
      </c>
      <c r="E68" s="49"/>
    </row>
    <row r="69" spans="1:5">
      <c r="A69" s="49"/>
      <c r="B69" s="49">
        <v>62900000</v>
      </c>
      <c r="C69" s="49">
        <f t="shared" si="2"/>
        <v>62271000</v>
      </c>
      <c r="D69" s="49"/>
      <c r="E69" s="49"/>
    </row>
    <row r="70" spans="1:5">
      <c r="A70" s="49"/>
      <c r="B70" s="49">
        <v>99900000</v>
      </c>
      <c r="C70" s="49">
        <f t="shared" si="2"/>
        <v>98901000</v>
      </c>
      <c r="D70" s="49"/>
      <c r="E70" s="49"/>
    </row>
    <row r="71" spans="1:5">
      <c r="A71" s="49"/>
      <c r="B71" s="49">
        <v>35200000</v>
      </c>
      <c r="C71" s="49">
        <f t="shared" si="2"/>
        <v>34848000</v>
      </c>
      <c r="D71" s="49"/>
      <c r="E71" s="49"/>
    </row>
    <row r="72" spans="1:5">
      <c r="A72" s="49"/>
      <c r="B72" s="49">
        <v>32000000</v>
      </c>
      <c r="C72" s="49">
        <f t="shared" si="2"/>
        <v>31680000</v>
      </c>
      <c r="D72" s="49"/>
      <c r="E72" s="49"/>
    </row>
    <row r="73" spans="1:5">
      <c r="A73" s="49"/>
      <c r="B73" s="49">
        <v>53000000</v>
      </c>
      <c r="C73" s="49">
        <f t="shared" si="2"/>
        <v>52470000</v>
      </c>
      <c r="D73" s="49"/>
      <c r="E73" s="49"/>
    </row>
    <row r="74" spans="1:5">
      <c r="A74" s="49"/>
      <c r="B74" s="49">
        <v>100000000</v>
      </c>
      <c r="C74" s="49">
        <f t="shared" si="2"/>
        <v>99000000</v>
      </c>
      <c r="D74" s="49"/>
      <c r="E74" s="49"/>
    </row>
    <row r="75" spans="1:5">
      <c r="A75" s="49"/>
      <c r="B75" s="49">
        <v>150000000</v>
      </c>
      <c r="C75" s="49">
        <f t="shared" si="2"/>
        <v>148500000</v>
      </c>
      <c r="D75" s="49"/>
      <c r="E75" s="49"/>
    </row>
    <row r="76" spans="1:5">
      <c r="A76" s="49"/>
      <c r="B76" s="49">
        <v>170000000</v>
      </c>
      <c r="C76" s="49">
        <f t="shared" si="2"/>
        <v>168300000</v>
      </c>
      <c r="D76" s="49"/>
      <c r="E76" s="49"/>
    </row>
    <row r="77" spans="1:5">
      <c r="A77" s="49" t="s">
        <v>5236</v>
      </c>
      <c r="B77" s="49"/>
      <c r="C77" s="49">
        <f t="shared" si="2"/>
        <v>0</v>
      </c>
      <c r="D77" s="49">
        <v>700000000</v>
      </c>
      <c r="E77" s="49"/>
    </row>
    <row r="78" spans="1:5">
      <c r="A78" s="49"/>
      <c r="B78" s="49">
        <v>200000000</v>
      </c>
      <c r="C78" s="49">
        <f t="shared" si="2"/>
        <v>198000000</v>
      </c>
      <c r="D78" s="49"/>
      <c r="E78" s="49"/>
    </row>
    <row r="79" spans="1:5">
      <c r="A79" s="49" t="s">
        <v>5237</v>
      </c>
      <c r="B79" s="49"/>
      <c r="C79" s="49">
        <f t="shared" si="2"/>
        <v>0</v>
      </c>
      <c r="D79" s="49">
        <v>600000000</v>
      </c>
      <c r="E79" s="49"/>
    </row>
    <row r="80" spans="1:5">
      <c r="A80" s="49"/>
      <c r="B80" s="49">
        <v>150000000</v>
      </c>
      <c r="C80" s="49">
        <f t="shared" si="2"/>
        <v>148500000</v>
      </c>
      <c r="D80" s="49"/>
      <c r="E80" s="49"/>
    </row>
    <row r="81" spans="1:5">
      <c r="A81" s="49"/>
      <c r="B81" s="49"/>
      <c r="C81" s="49">
        <f t="shared" si="2"/>
        <v>0</v>
      </c>
      <c r="D81" s="49"/>
      <c r="E81" s="49"/>
    </row>
    <row r="82" spans="1:5">
      <c r="A82" s="48" t="s">
        <v>5254</v>
      </c>
      <c r="B82" s="48"/>
      <c r="C82" s="49">
        <f t="shared" si="2"/>
        <v>0</v>
      </c>
      <c r="D82" s="49">
        <v>400000000</v>
      </c>
      <c r="E82" s="48"/>
    </row>
    <row r="83" spans="1:5">
      <c r="A83" s="48"/>
      <c r="B83" s="49">
        <v>174000000</v>
      </c>
      <c r="C83" s="49">
        <f t="shared" si="2"/>
        <v>172260000</v>
      </c>
      <c r="D83" s="49"/>
      <c r="E83" s="48"/>
    </row>
    <row r="84" spans="1:5">
      <c r="A84" s="48"/>
      <c r="B84" s="49">
        <v>267945000</v>
      </c>
      <c r="C84" s="49">
        <f t="shared" si="2"/>
        <v>265265550</v>
      </c>
      <c r="D84" s="49"/>
      <c r="E84" s="48"/>
    </row>
    <row r="85" spans="1:5">
      <c r="A85" s="48" t="s">
        <v>5282</v>
      </c>
      <c r="B85" s="49"/>
      <c r="C85" s="49">
        <f t="shared" si="2"/>
        <v>0</v>
      </c>
      <c r="D85" s="49">
        <v>300000000</v>
      </c>
      <c r="E85" s="48"/>
    </row>
    <row r="86" spans="1:5">
      <c r="A86" s="48"/>
      <c r="B86" s="49"/>
      <c r="C86" s="49">
        <f t="shared" si="2"/>
        <v>0</v>
      </c>
      <c r="D86" s="49"/>
      <c r="E86" s="48"/>
    </row>
    <row r="87" spans="1:5">
      <c r="A87" s="48" t="s">
        <v>5283</v>
      </c>
      <c r="B87" s="49">
        <v>300000000</v>
      </c>
      <c r="C87" s="49">
        <f t="shared" si="2"/>
        <v>297000000</v>
      </c>
      <c r="D87" s="49">
        <v>800000000</v>
      </c>
      <c r="E87" s="48"/>
    </row>
    <row r="88" spans="1:5">
      <c r="A88" s="48"/>
      <c r="B88" s="49">
        <v>121000000</v>
      </c>
      <c r="C88" s="49">
        <f t="shared" si="2"/>
        <v>119790000</v>
      </c>
      <c r="D88" s="49"/>
      <c r="E88" s="48"/>
    </row>
    <row r="89" spans="1:5">
      <c r="A89" s="48"/>
      <c r="B89" s="49">
        <v>322000000</v>
      </c>
      <c r="C89" s="49">
        <f t="shared" si="2"/>
        <v>318780000</v>
      </c>
      <c r="D89" s="49"/>
      <c r="E89" s="48"/>
    </row>
    <row r="90" spans="1:5">
      <c r="A90" s="48" t="s">
        <v>5312</v>
      </c>
      <c r="B90" s="49"/>
      <c r="C90" s="49">
        <f t="shared" ref="C90:C168" si="3">+B90*0.99</f>
        <v>0</v>
      </c>
      <c r="D90" s="49"/>
      <c r="E90" s="48"/>
    </row>
    <row r="91" spans="1:5">
      <c r="A91" s="48"/>
      <c r="B91" s="49">
        <v>300000000</v>
      </c>
      <c r="C91" s="49">
        <f t="shared" si="3"/>
        <v>297000000</v>
      </c>
      <c r="D91" s="49"/>
      <c r="E91" s="48"/>
    </row>
    <row r="92" spans="1:5">
      <c r="A92" s="48"/>
      <c r="B92" s="49">
        <v>472400000</v>
      </c>
      <c r="C92" s="49">
        <f t="shared" si="3"/>
        <v>467676000</v>
      </c>
      <c r="D92" s="49"/>
      <c r="E92" s="48"/>
    </row>
    <row r="93" spans="1:5">
      <c r="A93" s="48" t="s">
        <v>5317</v>
      </c>
      <c r="B93" s="49"/>
      <c r="C93" s="49">
        <f t="shared" si="3"/>
        <v>0</v>
      </c>
      <c r="D93" s="49">
        <v>700000000</v>
      </c>
      <c r="E93" s="48"/>
    </row>
    <row r="94" spans="1:5">
      <c r="A94" s="48"/>
      <c r="B94" s="49">
        <v>100000000</v>
      </c>
      <c r="C94" s="49">
        <f t="shared" si="3"/>
        <v>99000000</v>
      </c>
      <c r="D94" s="49"/>
      <c r="E94" s="48"/>
    </row>
    <row r="95" spans="1:5">
      <c r="A95" s="48"/>
      <c r="B95" s="49">
        <v>72800000</v>
      </c>
      <c r="C95" s="49">
        <f t="shared" si="3"/>
        <v>72072000</v>
      </c>
      <c r="D95" s="49"/>
      <c r="E95" s="48"/>
    </row>
    <row r="96" spans="1:5">
      <c r="A96" s="48"/>
      <c r="B96" s="49">
        <v>204500000</v>
      </c>
      <c r="C96" s="49">
        <f t="shared" si="3"/>
        <v>202455000</v>
      </c>
      <c r="D96" s="49"/>
      <c r="E96" s="48"/>
    </row>
    <row r="97" spans="1:5">
      <c r="A97" s="48"/>
      <c r="B97" s="49">
        <v>199500000</v>
      </c>
      <c r="C97" s="49">
        <f t="shared" si="3"/>
        <v>197505000</v>
      </c>
      <c r="D97" s="49"/>
      <c r="E97" s="48"/>
    </row>
    <row r="98" spans="1:5">
      <c r="A98" s="48"/>
      <c r="B98" s="49">
        <v>40000000</v>
      </c>
      <c r="C98" s="49">
        <f t="shared" si="3"/>
        <v>39600000</v>
      </c>
      <c r="D98" s="49"/>
      <c r="E98" s="48"/>
    </row>
    <row r="99" spans="1:5">
      <c r="A99" s="48"/>
      <c r="B99" s="49">
        <v>55800000</v>
      </c>
      <c r="C99" s="49">
        <f t="shared" si="3"/>
        <v>55242000</v>
      </c>
      <c r="D99" s="49"/>
      <c r="E99" s="48"/>
    </row>
    <row r="100" spans="1:5">
      <c r="A100" s="48"/>
      <c r="B100" s="49">
        <v>124500000</v>
      </c>
      <c r="C100" s="49">
        <f t="shared" si="3"/>
        <v>123255000</v>
      </c>
      <c r="D100" s="49"/>
      <c r="E100" s="48"/>
    </row>
    <row r="101" spans="1:5">
      <c r="A101" s="48"/>
      <c r="B101" s="49">
        <v>197500000</v>
      </c>
      <c r="C101" s="49">
        <f t="shared" si="3"/>
        <v>195525000</v>
      </c>
      <c r="D101" s="49"/>
      <c r="E101" s="48"/>
    </row>
    <row r="102" spans="1:5">
      <c r="A102" s="48"/>
      <c r="B102" s="49">
        <v>40000000</v>
      </c>
      <c r="C102" s="49">
        <f t="shared" si="3"/>
        <v>39600000</v>
      </c>
      <c r="D102" s="49"/>
      <c r="E102" s="48"/>
    </row>
    <row r="103" spans="1:5">
      <c r="A103" s="48" t="s">
        <v>5338</v>
      </c>
      <c r="B103" s="49"/>
      <c r="C103" s="49">
        <f t="shared" si="3"/>
        <v>0</v>
      </c>
      <c r="D103" s="49">
        <v>900000000</v>
      </c>
      <c r="E103" s="48"/>
    </row>
    <row r="104" spans="1:5">
      <c r="A104" s="48" t="s">
        <v>5351</v>
      </c>
      <c r="B104" s="49"/>
      <c r="C104" s="49">
        <f t="shared" si="3"/>
        <v>0</v>
      </c>
      <c r="D104" s="49">
        <v>400000000</v>
      </c>
      <c r="E104" s="48"/>
    </row>
    <row r="105" spans="1:5">
      <c r="A105" s="48" t="s">
        <v>5389</v>
      </c>
      <c r="B105" s="49"/>
      <c r="C105" s="49">
        <f t="shared" si="3"/>
        <v>0</v>
      </c>
      <c r="D105" s="49">
        <v>1100000000</v>
      </c>
      <c r="E105" s="48"/>
    </row>
    <row r="106" spans="1:5">
      <c r="A106" s="48" t="s">
        <v>5403</v>
      </c>
      <c r="B106" s="49">
        <v>330000000</v>
      </c>
      <c r="C106" s="49">
        <f t="shared" si="3"/>
        <v>326700000</v>
      </c>
      <c r="D106" s="49"/>
      <c r="E106" s="48"/>
    </row>
    <row r="107" spans="1:5">
      <c r="A107" s="48" t="s">
        <v>5421</v>
      </c>
      <c r="B107" s="49"/>
      <c r="C107" s="49">
        <f t="shared" si="3"/>
        <v>0</v>
      </c>
      <c r="D107" s="49">
        <v>890000000</v>
      </c>
      <c r="E107" s="48"/>
    </row>
    <row r="108" spans="1:5">
      <c r="A108" s="48"/>
      <c r="B108" s="49">
        <v>185000000</v>
      </c>
      <c r="C108" s="49">
        <f t="shared" si="3"/>
        <v>183150000</v>
      </c>
      <c r="D108" s="49"/>
      <c r="E108" s="48"/>
    </row>
    <row r="109" spans="1:5">
      <c r="A109" s="49"/>
      <c r="B109" s="49">
        <v>41500000</v>
      </c>
      <c r="C109" s="49">
        <f t="shared" si="3"/>
        <v>41085000</v>
      </c>
      <c r="D109" s="49"/>
      <c r="E109" s="49"/>
    </row>
    <row r="110" spans="1:5">
      <c r="A110" s="49"/>
      <c r="B110" s="49">
        <v>496900000</v>
      </c>
      <c r="C110" s="49">
        <f t="shared" si="3"/>
        <v>491931000</v>
      </c>
      <c r="D110" s="49"/>
      <c r="E110" s="49"/>
    </row>
    <row r="111" spans="1:5">
      <c r="A111" s="49"/>
      <c r="B111" s="49">
        <v>377000000</v>
      </c>
      <c r="C111" s="49">
        <f t="shared" si="3"/>
        <v>373230000</v>
      </c>
      <c r="D111" s="49"/>
      <c r="E111" s="49"/>
    </row>
    <row r="112" spans="1:5">
      <c r="A112" s="49"/>
      <c r="B112" s="49">
        <v>244400000</v>
      </c>
      <c r="C112" s="49">
        <f t="shared" si="3"/>
        <v>241956000</v>
      </c>
      <c r="D112" s="49"/>
      <c r="E112" s="49"/>
    </row>
    <row r="113" spans="1:5">
      <c r="A113" s="49" t="s">
        <v>5483</v>
      </c>
      <c r="B113" s="49"/>
      <c r="C113" s="49"/>
      <c r="D113" s="49"/>
      <c r="E113" s="49"/>
    </row>
    <row r="114" spans="1:5">
      <c r="A114" s="49"/>
      <c r="B114" s="49">
        <v>160000000</v>
      </c>
      <c r="C114" s="49">
        <f>+B114*0.99</f>
        <v>158400000</v>
      </c>
      <c r="D114" s="49"/>
      <c r="E114" s="49"/>
    </row>
    <row r="115" spans="1:5">
      <c r="A115" s="49"/>
      <c r="B115" s="49">
        <v>218000000</v>
      </c>
      <c r="C115" s="49">
        <f>+B115*0.99</f>
        <v>215820000</v>
      </c>
      <c r="D115" s="49"/>
      <c r="E115" s="49"/>
    </row>
    <row r="116" spans="1:5">
      <c r="A116" s="49"/>
      <c r="B116" s="49">
        <v>120600000</v>
      </c>
      <c r="C116" s="49">
        <f>+B116*0.99</f>
        <v>119394000</v>
      </c>
      <c r="D116" s="49"/>
      <c r="E116" s="49"/>
    </row>
    <row r="117" spans="1:5">
      <c r="A117" s="49"/>
      <c r="B117" s="49"/>
      <c r="C117" s="49"/>
      <c r="D117" s="49"/>
      <c r="E117" s="49"/>
    </row>
    <row r="118" spans="1:5">
      <c r="A118" s="1448" t="s">
        <v>5481</v>
      </c>
      <c r="B118" s="49"/>
      <c r="C118" s="49">
        <f t="shared" si="3"/>
        <v>0</v>
      </c>
      <c r="D118" s="49">
        <v>1198000000</v>
      </c>
      <c r="E118" s="49"/>
    </row>
    <row r="119" spans="1:5">
      <c r="A119" s="49"/>
      <c r="B119" s="49"/>
      <c r="C119" s="49">
        <f t="shared" si="3"/>
        <v>0</v>
      </c>
      <c r="D119" s="49"/>
      <c r="E119" s="49"/>
    </row>
    <row r="120" spans="1:5">
      <c r="A120" s="49" t="s">
        <v>5488</v>
      </c>
      <c r="B120" s="49"/>
      <c r="C120" s="49">
        <f t="shared" si="3"/>
        <v>0</v>
      </c>
      <c r="D120" s="49">
        <v>166500000</v>
      </c>
      <c r="E120" s="49"/>
    </row>
    <row r="121" spans="1:5">
      <c r="A121" s="49"/>
      <c r="B121" s="49"/>
      <c r="C121" s="49">
        <f t="shared" si="3"/>
        <v>0</v>
      </c>
      <c r="D121" s="49"/>
      <c r="E121" s="49"/>
    </row>
    <row r="122" spans="1:5">
      <c r="A122" s="49" t="s">
        <v>5503</v>
      </c>
      <c r="B122" s="49"/>
      <c r="C122" s="49">
        <f t="shared" si="3"/>
        <v>0</v>
      </c>
      <c r="D122" s="49">
        <v>1000000000</v>
      </c>
      <c r="E122" s="49"/>
    </row>
    <row r="123" spans="1:5">
      <c r="A123" s="49"/>
      <c r="B123" s="49"/>
      <c r="C123" s="49">
        <f t="shared" si="3"/>
        <v>0</v>
      </c>
      <c r="D123" s="49"/>
      <c r="E123" s="49"/>
    </row>
    <row r="124" spans="1:5">
      <c r="A124" s="49" t="s">
        <v>5502</v>
      </c>
      <c r="B124" s="49">
        <v>200000000</v>
      </c>
      <c r="C124" s="49">
        <f t="shared" si="3"/>
        <v>198000000</v>
      </c>
      <c r="D124" s="49"/>
      <c r="E124" s="49"/>
    </row>
    <row r="125" spans="1:5">
      <c r="A125" s="49"/>
      <c r="B125" s="49">
        <v>43500000</v>
      </c>
      <c r="C125" s="49">
        <f t="shared" si="3"/>
        <v>43065000</v>
      </c>
      <c r="D125" s="49"/>
      <c r="E125" s="49"/>
    </row>
    <row r="126" spans="1:5">
      <c r="A126" s="49"/>
      <c r="B126" s="49">
        <v>361200000</v>
      </c>
      <c r="C126" s="49">
        <f t="shared" si="3"/>
        <v>357588000</v>
      </c>
      <c r="D126" s="49"/>
      <c r="E126" s="49"/>
    </row>
    <row r="127" spans="1:5">
      <c r="A127" s="49"/>
      <c r="B127" s="49">
        <v>17690000</v>
      </c>
      <c r="C127" s="49">
        <f t="shared" si="3"/>
        <v>17513100</v>
      </c>
      <c r="D127" s="49"/>
      <c r="E127" s="49"/>
    </row>
    <row r="128" spans="1:5">
      <c r="A128" s="49" t="s">
        <v>5517</v>
      </c>
      <c r="B128" s="49"/>
      <c r="C128" s="49">
        <f t="shared" si="3"/>
        <v>0</v>
      </c>
      <c r="D128" s="49">
        <v>520000000</v>
      </c>
      <c r="E128" s="49"/>
    </row>
    <row r="129" spans="1:5">
      <c r="A129" s="49"/>
      <c r="B129" s="49">
        <v>43493000</v>
      </c>
      <c r="C129" s="49">
        <f t="shared" si="3"/>
        <v>43058070</v>
      </c>
      <c r="D129" s="49"/>
      <c r="E129" s="49"/>
    </row>
    <row r="130" spans="1:5">
      <c r="A130" s="49" t="s">
        <v>5533</v>
      </c>
      <c r="B130" s="49">
        <v>40993000</v>
      </c>
      <c r="C130" s="49">
        <f t="shared" si="3"/>
        <v>40583070</v>
      </c>
      <c r="D130" s="49"/>
      <c r="E130" s="49"/>
    </row>
    <row r="131" spans="1:5">
      <c r="A131" s="49"/>
      <c r="B131" s="49"/>
      <c r="C131" s="49">
        <f t="shared" si="3"/>
        <v>0</v>
      </c>
      <c r="D131" s="49"/>
      <c r="E131" s="49"/>
    </row>
    <row r="132" spans="1:5">
      <c r="A132" s="49" t="s">
        <v>5538</v>
      </c>
      <c r="B132" s="49">
        <v>300000000</v>
      </c>
      <c r="C132" s="49">
        <f t="shared" si="3"/>
        <v>297000000</v>
      </c>
      <c r="D132" s="49">
        <v>350000000</v>
      </c>
      <c r="E132" s="49"/>
    </row>
    <row r="133" spans="1:5">
      <c r="A133" s="49"/>
      <c r="B133" s="49"/>
      <c r="C133" s="49">
        <f t="shared" si="3"/>
        <v>0</v>
      </c>
      <c r="D133" s="49"/>
      <c r="E133" s="49"/>
    </row>
    <row r="134" spans="1:5">
      <c r="A134" s="1464" t="s">
        <v>5544</v>
      </c>
      <c r="B134" s="49">
        <v>300000000</v>
      </c>
      <c r="C134" s="49">
        <f t="shared" si="3"/>
        <v>297000000</v>
      </c>
      <c r="D134" s="49">
        <v>500000000</v>
      </c>
      <c r="E134" s="49"/>
    </row>
    <row r="135" spans="1:5">
      <c r="A135" s="49"/>
      <c r="B135" s="49"/>
      <c r="C135" s="49">
        <f t="shared" si="3"/>
        <v>0</v>
      </c>
      <c r="D135" s="49"/>
      <c r="E135" s="49"/>
    </row>
    <row r="136" spans="1:5">
      <c r="A136" s="49" t="s">
        <v>5566</v>
      </c>
      <c r="B136" s="49">
        <v>300000000</v>
      </c>
      <c r="C136" s="49">
        <f t="shared" si="3"/>
        <v>297000000</v>
      </c>
      <c r="D136" s="49"/>
      <c r="E136" s="49"/>
    </row>
    <row r="137" spans="1:5">
      <c r="A137" s="49"/>
      <c r="B137" s="49"/>
      <c r="C137" s="49">
        <f t="shared" si="3"/>
        <v>0</v>
      </c>
      <c r="D137" s="49"/>
      <c r="E137" s="49"/>
    </row>
    <row r="138" spans="1:5">
      <c r="A138" s="49" t="s">
        <v>5572</v>
      </c>
      <c r="B138" s="49">
        <v>200000000</v>
      </c>
      <c r="C138" s="49">
        <f t="shared" si="3"/>
        <v>198000000</v>
      </c>
      <c r="D138" s="49">
        <v>700000000</v>
      </c>
      <c r="E138" s="49"/>
    </row>
    <row r="139" spans="1:5">
      <c r="A139" s="49"/>
      <c r="B139" s="49"/>
      <c r="C139" s="49">
        <f t="shared" si="3"/>
        <v>0</v>
      </c>
      <c r="D139" s="49"/>
      <c r="E139" s="49"/>
    </row>
    <row r="140" spans="1:5">
      <c r="A140" s="49" t="s">
        <v>5610</v>
      </c>
      <c r="B140" s="49">
        <v>50000000</v>
      </c>
      <c r="C140" s="49">
        <f t="shared" si="3"/>
        <v>49500000</v>
      </c>
      <c r="D140" s="49"/>
      <c r="E140" s="49"/>
    </row>
    <row r="141" spans="1:5">
      <c r="A141" s="49"/>
      <c r="B141" s="49"/>
      <c r="C141" s="49">
        <f t="shared" si="3"/>
        <v>0</v>
      </c>
      <c r="D141" s="49"/>
      <c r="E141" s="49"/>
    </row>
    <row r="142" spans="1:5">
      <c r="A142" s="49" t="s">
        <v>5665</v>
      </c>
      <c r="B142" s="49"/>
      <c r="C142" s="49">
        <f t="shared" si="3"/>
        <v>0</v>
      </c>
      <c r="D142" s="49">
        <v>300000000</v>
      </c>
      <c r="E142" s="49"/>
    </row>
    <row r="143" spans="1:5">
      <c r="A143" s="49"/>
      <c r="B143" s="49"/>
      <c r="C143" s="49">
        <f t="shared" si="3"/>
        <v>0</v>
      </c>
      <c r="D143" s="49"/>
      <c r="E143" s="49"/>
    </row>
    <row r="144" spans="1:5">
      <c r="A144" s="1490" t="s">
        <v>5708</v>
      </c>
      <c r="B144" s="49">
        <v>100000000</v>
      </c>
      <c r="C144" s="49">
        <f t="shared" si="3"/>
        <v>99000000</v>
      </c>
      <c r="D144" s="49"/>
      <c r="E144" s="49"/>
    </row>
    <row r="145" spans="1:5">
      <c r="A145" s="49"/>
      <c r="B145" s="49">
        <v>492000000</v>
      </c>
      <c r="C145" s="49">
        <f t="shared" si="3"/>
        <v>487080000</v>
      </c>
      <c r="D145" s="49"/>
      <c r="E145" s="49"/>
    </row>
    <row r="146" spans="1:5">
      <c r="A146" s="49"/>
      <c r="B146" s="49">
        <v>235000000</v>
      </c>
      <c r="C146" s="49">
        <f t="shared" si="3"/>
        <v>232650000</v>
      </c>
      <c r="D146" s="49"/>
      <c r="E146" s="49"/>
    </row>
    <row r="147" spans="1:5">
      <c r="A147" s="49"/>
      <c r="B147" s="49"/>
      <c r="C147" s="49">
        <f t="shared" si="3"/>
        <v>0</v>
      </c>
      <c r="D147" s="49"/>
      <c r="E147" s="49"/>
    </row>
    <row r="148" spans="1:5">
      <c r="A148" s="1498" t="s">
        <v>5758</v>
      </c>
      <c r="B148" s="49"/>
      <c r="C148" s="49">
        <f t="shared" si="3"/>
        <v>0</v>
      </c>
      <c r="D148" s="49">
        <v>800000000</v>
      </c>
      <c r="E148" s="49"/>
    </row>
    <row r="149" spans="1:5">
      <c r="A149" s="49"/>
      <c r="B149" s="49"/>
      <c r="C149" s="49">
        <f t="shared" si="3"/>
        <v>0</v>
      </c>
      <c r="D149" s="49"/>
      <c r="E149" s="49"/>
    </row>
    <row r="150" spans="1:5">
      <c r="A150" s="1495" t="s">
        <v>5761</v>
      </c>
      <c r="B150" s="49">
        <v>275000000</v>
      </c>
      <c r="C150" s="49">
        <f t="shared" si="3"/>
        <v>272250000</v>
      </c>
      <c r="D150" s="49"/>
      <c r="E150" s="49"/>
    </row>
    <row r="151" spans="1:5">
      <c r="A151" s="1498" t="s">
        <v>5817</v>
      </c>
      <c r="B151" s="49"/>
      <c r="C151" s="49">
        <f t="shared" si="3"/>
        <v>0</v>
      </c>
      <c r="D151" s="49">
        <v>300000000</v>
      </c>
      <c r="E151" s="49"/>
    </row>
    <row r="152" spans="1:5">
      <c r="A152" s="49"/>
      <c r="B152" s="49"/>
      <c r="C152" s="49"/>
      <c r="D152" s="49"/>
      <c r="E152" s="49"/>
    </row>
    <row r="153" spans="1:5">
      <c r="A153" s="1498" t="s">
        <v>5816</v>
      </c>
      <c r="B153" s="49">
        <v>85000000</v>
      </c>
      <c r="C153" s="49">
        <f t="shared" si="3"/>
        <v>84150000</v>
      </c>
      <c r="D153" s="49"/>
      <c r="E153" s="49"/>
    </row>
    <row r="154" spans="1:5">
      <c r="A154" s="49"/>
      <c r="B154" s="49">
        <v>98700000</v>
      </c>
      <c r="C154" s="49">
        <f t="shared" si="3"/>
        <v>97713000</v>
      </c>
      <c r="D154" s="49"/>
      <c r="E154" s="49"/>
    </row>
    <row r="155" spans="1:5">
      <c r="A155" s="49"/>
      <c r="B155" s="49"/>
      <c r="C155" s="49">
        <f t="shared" si="3"/>
        <v>0</v>
      </c>
      <c r="D155" s="49">
        <v>497600000</v>
      </c>
      <c r="E155" s="49"/>
    </row>
    <row r="156" spans="1:5">
      <c r="A156" s="1526" t="s">
        <v>5904</v>
      </c>
      <c r="B156" s="49">
        <v>500000000</v>
      </c>
      <c r="C156" s="49">
        <f t="shared" si="3"/>
        <v>495000000</v>
      </c>
      <c r="D156" s="49"/>
      <c r="E156" s="49"/>
    </row>
    <row r="157" spans="1:5">
      <c r="A157" s="49"/>
      <c r="B157" s="49">
        <v>187200000</v>
      </c>
      <c r="C157" s="49">
        <f t="shared" si="3"/>
        <v>185328000</v>
      </c>
      <c r="D157" s="49"/>
      <c r="E157" s="49"/>
    </row>
    <row r="158" spans="1:5">
      <c r="A158" s="49"/>
      <c r="B158" s="49"/>
      <c r="C158" s="49">
        <f t="shared" si="3"/>
        <v>0</v>
      </c>
      <c r="D158" s="49">
        <v>680320000</v>
      </c>
      <c r="E158" s="49"/>
    </row>
    <row r="159" spans="1:5">
      <c r="A159" s="49"/>
      <c r="B159" s="49"/>
      <c r="C159" s="49">
        <f t="shared" si="3"/>
        <v>0</v>
      </c>
      <c r="D159" s="49"/>
      <c r="E159" s="49"/>
    </row>
    <row r="160" spans="1:5">
      <c r="A160" s="49"/>
      <c r="B160" s="49"/>
      <c r="C160" s="49">
        <f t="shared" si="3"/>
        <v>0</v>
      </c>
      <c r="D160" s="49"/>
      <c r="E160" s="49"/>
    </row>
    <row r="161" spans="1:5">
      <c r="A161" s="49"/>
      <c r="B161" s="49"/>
      <c r="C161" s="49">
        <f t="shared" si="3"/>
        <v>0</v>
      </c>
      <c r="D161" s="49"/>
      <c r="E161" s="49"/>
    </row>
    <row r="162" spans="1:5">
      <c r="A162" s="49"/>
      <c r="B162" s="49"/>
      <c r="C162" s="49">
        <f t="shared" si="3"/>
        <v>0</v>
      </c>
      <c r="D162" s="49"/>
      <c r="E162" s="49"/>
    </row>
    <row r="163" spans="1:5">
      <c r="A163" s="49"/>
      <c r="B163" s="49"/>
      <c r="C163" s="49">
        <f t="shared" si="3"/>
        <v>0</v>
      </c>
      <c r="D163" s="49"/>
      <c r="E163" s="49"/>
    </row>
    <row r="164" spans="1:5">
      <c r="A164" s="49"/>
      <c r="B164" s="49"/>
      <c r="C164" s="49">
        <f t="shared" si="3"/>
        <v>0</v>
      </c>
      <c r="D164" s="49"/>
      <c r="E164" s="49"/>
    </row>
    <row r="165" spans="1:5">
      <c r="A165" s="49"/>
      <c r="B165" s="49"/>
      <c r="C165" s="49">
        <f t="shared" si="3"/>
        <v>0</v>
      </c>
      <c r="D165" s="49"/>
      <c r="E165" s="49"/>
    </row>
    <row r="166" spans="1:5">
      <c r="A166" s="49"/>
      <c r="B166" s="49"/>
      <c r="C166" s="49">
        <f t="shared" si="3"/>
        <v>0</v>
      </c>
      <c r="D166" s="49"/>
      <c r="E166" s="49"/>
    </row>
    <row r="167" spans="1:5">
      <c r="A167" s="49"/>
      <c r="B167" s="49"/>
      <c r="C167" s="49">
        <f t="shared" si="3"/>
        <v>0</v>
      </c>
      <c r="D167" s="49"/>
      <c r="E167" s="49"/>
    </row>
    <row r="168" spans="1:5">
      <c r="A168" s="49"/>
      <c r="B168" s="49"/>
      <c r="C168" s="49">
        <f t="shared" si="3"/>
        <v>0</v>
      </c>
      <c r="D168" s="49"/>
      <c r="E168" s="49"/>
    </row>
    <row r="169" spans="1:5">
      <c r="A169" s="49">
        <f>SUM(A4:A168)</f>
        <v>0</v>
      </c>
      <c r="B169" s="49">
        <f>SUM(B4:B168)</f>
        <v>20692961000</v>
      </c>
      <c r="C169" s="49">
        <f>SUM(C4:C168)</f>
        <v>20520531390</v>
      </c>
      <c r="D169" s="49">
        <f>SUM(D4:D168)</f>
        <v>20519420000</v>
      </c>
      <c r="E169" s="49">
        <f>+C169-D169</f>
        <v>1111390</v>
      </c>
    </row>
  </sheetData>
  <pageMargins left="0.70866141732283472" right="0.70866141732283472" top="0.74803149606299213" bottom="0.74803149606299213" header="0.31496062992125984" footer="0.31496062992125984"/>
  <pageSetup paperSize="9" scale="85"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
    <comment s:ref="A1" rgbClr="CFC4F8"/>
  </commentList>
</comment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20</vt:i4>
      </vt:variant>
    </vt:vector>
  </HeadingPairs>
  <TitlesOfParts>
    <vt:vector size="20" baseType="lpstr">
      <vt:lpstr>Лист3</vt:lpstr>
      <vt:lpstr>Qoraqalpoq </vt:lpstr>
      <vt:lpstr>QAraqalpoq Jonibek og`a </vt:lpstr>
      <vt:lpstr>МХК</vt:lpstr>
      <vt:lpstr>Списка фирма</vt:lpstr>
      <vt:lpstr>Лист6</vt:lpstr>
      <vt:lpstr>с</vt:lpstr>
      <vt:lpstr>сомпютер </vt:lpstr>
      <vt:lpstr>Лист1</vt:lpstr>
      <vt:lpstr>Qarzdorlar </vt:lpstr>
      <vt:lpstr>панел</vt:lpstr>
      <vt:lpstr>Остатка</vt:lpstr>
      <vt:lpstr>Лист7</vt:lpstr>
      <vt:lpstr>Лист2</vt:lpstr>
      <vt:lpstr>Касса</vt:lpstr>
      <vt:lpstr>Лист8</vt:lpstr>
      <vt:lpstr>Смарт</vt:lpstr>
      <vt:lpstr>Лист4</vt:lpstr>
      <vt:lpstr>Лист5</vt:lpstr>
      <vt:lpstr>Rasulbek Xisob kitob </vt:lpstr>
    </vt:vector>
  </TitlesOfParts>
  <Company>SPecialiST RePack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ACS</cp:lastModifiedBy>
  <cp:lastPrinted>2026-05-09T14:17:00Z</cp:lastPrinted>
  <dcterms:created xsi:type="dcterms:W3CDTF">2021-08-05T05:26:00Z</dcterms:created>
  <dcterms:modified xsi:type="dcterms:W3CDTF">2026-06-09T13:54:03Z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FE7649E9A86D4AEB916BCE51B01C8BE8</vt:lpwstr>
  </property>
  <property fmtid="{D5CDD505-2E9C-101B-9397-08002B2CF9AE}" pid="3" name="KSOProductBuildVer">
    <vt:lpwstr>1049-11.2.0.11029</vt:lpwstr>
  </property>
</Properties>
</file>